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7.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24226"/>
  <xr:revisionPtr revIDLastSave="0" documentId="13_ncr:1_{886F89C5-E93A-4416-BD6D-ADD02A561244}" xr6:coauthVersionLast="47" xr6:coauthVersionMax="47" xr10:uidLastSave="{00000000-0000-0000-0000-000000000000}"/>
  <bookViews>
    <workbookView xWindow="-120" yWindow="-120" windowWidth="20730" windowHeight="11310" firstSheet="7" activeTab="11" xr2:uid="{00000000-000D-0000-FFFF-FFFF00000000}"/>
  </bookViews>
  <sheets>
    <sheet name="first_half" sheetId="1" r:id="rId1"/>
    <sheet name="second_half" sheetId="2" r:id="rId2"/>
    <sheet name="Sheet2" sheetId="13" r:id="rId3"/>
    <sheet name="all_sales" sheetId="3" r:id="rId4"/>
    <sheet name="Coulmn Match" sheetId="4" r:id="rId5"/>
    <sheet name="Insights" sheetId="5" r:id="rId6"/>
    <sheet name="Order by Status" sheetId="6" r:id="rId7"/>
    <sheet name="State-Wise " sheetId="7" r:id="rId8"/>
    <sheet name="By HSN" sheetId="8" r:id="rId9"/>
    <sheet name="by GST" sheetId="11" r:id="rId10"/>
    <sheet name="by Month" sheetId="12" r:id="rId11"/>
    <sheet name="Dashboard" sheetId="9" r:id="rId12"/>
  </sheets>
  <definedNames>
    <definedName name="_xlnm._FilterDatabase" localSheetId="3" hidden="1">all_sales!$A$1:$L$1589</definedName>
    <definedName name="_xlnm._FilterDatabase" localSheetId="0" hidden="1">first_half!$A$1:$K$1</definedName>
    <definedName name="_xlnm._FilterDatabase" localSheetId="1" hidden="1">second_half!$A$1:$K$1</definedName>
    <definedName name="_xlcn.WorksheetConnection_all_salesA1K1589" hidden="1">all_sales!$A$1:$L$1589</definedName>
    <definedName name="_xlcn.WorksheetConnection_cleaned_meesho_sales_data.xlsxTable1" hidden="1">Table1[]</definedName>
    <definedName name="_xlnm.Print_Area" localSheetId="11">Dashboard!$A$1:$W$38</definedName>
    <definedName name="Slicer_end_customer_state_new">#N/A</definedName>
    <definedName name="Slicer_gst_rate">#N/A</definedName>
    <definedName name="Slicer_hsn_code">#N/A</definedName>
    <definedName name="Slicer_Month">#N/A</definedName>
    <definedName name="Slicer_order_status">#N/A</definedName>
    <definedName name="Slicer_order_status1">#N/A</definedName>
    <definedName name="Slicer_order_status2">#N/A</definedName>
    <definedName name="Slicer_order_status3">#N/A</definedName>
    <definedName name="Slicer_order_status4">#N/A</definedName>
  </definedNames>
  <calcPr calcId="191029"/>
  <pivotCaches>
    <pivotCache cacheId="0" r:id="rId13"/>
    <pivotCache cacheId="1" r:id="rId14"/>
    <pivotCache cacheId="2" r:id="rId15"/>
  </pivotCaches>
  <extLst>
    <ext xmlns:x14="http://schemas.microsoft.com/office/spreadsheetml/2009/9/main" uri="{876F7934-8845-4945-9796-88D515C7AA90}">
      <x14:pivotCaches>
        <pivotCache cacheId="3"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all_sales!$A$1:$K$1589"/>
          <x15:modelTable id="Table1" name="Table1" connection="WorksheetConnection_cleaned_meesho_sales_data.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 i="9" l="1"/>
  <c r="P6" i="9"/>
  <c r="K6" i="9"/>
  <c r="E6" i="9"/>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2" i="4" l="1"/>
  <c r="C3" i="4"/>
  <c r="C4" i="4"/>
  <c r="C5" i="4"/>
  <c r="C6" i="4"/>
  <c r="C7" i="4"/>
  <c r="C8" i="4"/>
  <c r="C9" i="4"/>
  <c r="C10" i="4"/>
  <c r="C11" i="4"/>
  <c r="C1" i="4"/>
  <c r="J975" i="3"/>
  <c r="J974" i="3"/>
  <c r="J973" i="3"/>
  <c r="J972" i="3"/>
  <c r="J971" i="3"/>
  <c r="J970" i="3"/>
  <c r="J969" i="3"/>
  <c r="J968" i="3"/>
  <c r="J967" i="3"/>
  <c r="J966" i="3"/>
  <c r="J965" i="3"/>
  <c r="J964" i="3"/>
  <c r="J963" i="3"/>
  <c r="J962" i="3"/>
  <c r="J961" i="3"/>
  <c r="J960" i="3"/>
  <c r="J959" i="3"/>
  <c r="J958" i="3"/>
  <c r="J957" i="3"/>
  <c r="J956" i="3"/>
  <c r="J955" i="3"/>
  <c r="J954" i="3"/>
  <c r="J953" i="3"/>
  <c r="J952" i="3"/>
  <c r="J951" i="3"/>
  <c r="J950" i="3"/>
  <c r="J949" i="3"/>
  <c r="J948" i="3"/>
  <c r="J947" i="3"/>
  <c r="J946" i="3"/>
  <c r="J945" i="3"/>
  <c r="J944" i="3"/>
  <c r="J943" i="3"/>
  <c r="J942" i="3"/>
  <c r="J941" i="3"/>
  <c r="J940" i="3"/>
  <c r="J939" i="3"/>
  <c r="J938" i="3"/>
  <c r="J937" i="3"/>
  <c r="J936" i="3"/>
  <c r="J935" i="3"/>
  <c r="J934" i="3"/>
  <c r="J933" i="3"/>
  <c r="J932" i="3"/>
  <c r="J931" i="3"/>
  <c r="J930" i="3"/>
  <c r="J929" i="3"/>
  <c r="J928" i="3"/>
  <c r="J927" i="3"/>
  <c r="J926" i="3"/>
  <c r="J925" i="3"/>
  <c r="J924" i="3"/>
  <c r="J923" i="3"/>
  <c r="J922" i="3"/>
  <c r="J921" i="3"/>
  <c r="J920" i="3"/>
  <c r="J919" i="3"/>
  <c r="J918" i="3"/>
  <c r="J917" i="3"/>
  <c r="J916" i="3"/>
  <c r="J915" i="3"/>
  <c r="J914" i="3"/>
  <c r="J913" i="3"/>
  <c r="J912" i="3"/>
  <c r="J911" i="3"/>
  <c r="J910" i="3"/>
  <c r="J909" i="3"/>
  <c r="J908" i="3"/>
  <c r="J907" i="3"/>
  <c r="J906" i="3"/>
  <c r="J905" i="3"/>
  <c r="J904" i="3"/>
  <c r="J903" i="3"/>
  <c r="J902" i="3"/>
  <c r="J901" i="3"/>
  <c r="J900" i="3"/>
  <c r="J899" i="3"/>
  <c r="J898" i="3"/>
  <c r="J897" i="3"/>
  <c r="J896" i="3"/>
  <c r="J895" i="3"/>
  <c r="J894" i="3"/>
  <c r="J893" i="3"/>
  <c r="J892" i="3"/>
  <c r="J891" i="3"/>
  <c r="J890" i="3"/>
  <c r="J889" i="3"/>
  <c r="J888" i="3"/>
  <c r="J887" i="3"/>
  <c r="J886" i="3"/>
  <c r="J885" i="3"/>
  <c r="J884" i="3"/>
  <c r="J883" i="3"/>
  <c r="J882" i="3"/>
  <c r="J881" i="3"/>
  <c r="J880" i="3"/>
  <c r="J879" i="3"/>
  <c r="J878" i="3"/>
  <c r="J877" i="3"/>
  <c r="J876" i="3"/>
  <c r="J875" i="3"/>
  <c r="J874" i="3"/>
  <c r="J873" i="3"/>
  <c r="J872" i="3"/>
  <c r="J871" i="3"/>
  <c r="J870" i="3"/>
  <c r="J869" i="3"/>
  <c r="J868" i="3"/>
  <c r="J867" i="3"/>
  <c r="J866" i="3"/>
  <c r="J865" i="3"/>
  <c r="J864" i="3"/>
  <c r="J863" i="3"/>
  <c r="J862" i="3"/>
  <c r="J861" i="3"/>
  <c r="J860" i="3"/>
  <c r="J859" i="3"/>
  <c r="J858" i="3"/>
  <c r="J857" i="3"/>
  <c r="J856" i="3"/>
  <c r="J855" i="3"/>
  <c r="J854" i="3"/>
  <c r="J853" i="3"/>
  <c r="J852" i="3"/>
  <c r="J851" i="3"/>
  <c r="J850" i="3"/>
  <c r="J849" i="3"/>
  <c r="J848" i="3"/>
  <c r="J847" i="3"/>
  <c r="J846" i="3"/>
  <c r="J845" i="3"/>
  <c r="J844" i="3"/>
  <c r="J843" i="3"/>
  <c r="J842" i="3"/>
  <c r="J841" i="3"/>
  <c r="J840" i="3"/>
  <c r="J839" i="3"/>
  <c r="J838" i="3"/>
  <c r="J837" i="3"/>
  <c r="J836" i="3"/>
  <c r="J835" i="3"/>
  <c r="J834" i="3"/>
  <c r="J833" i="3"/>
  <c r="J832" i="3"/>
  <c r="J831" i="3"/>
  <c r="J830" i="3"/>
  <c r="J829" i="3"/>
  <c r="J828" i="3"/>
  <c r="J827" i="3"/>
  <c r="J826" i="3"/>
  <c r="J825" i="3"/>
  <c r="J824" i="3"/>
  <c r="J823" i="3"/>
  <c r="J822" i="3"/>
  <c r="J821" i="3"/>
  <c r="J820" i="3"/>
  <c r="J819" i="3"/>
  <c r="J818" i="3"/>
  <c r="J817" i="3"/>
  <c r="J816" i="3"/>
  <c r="J815" i="3"/>
  <c r="J814" i="3"/>
  <c r="J813" i="3"/>
  <c r="J812" i="3"/>
  <c r="J811" i="3"/>
  <c r="J810" i="3"/>
  <c r="J809" i="3"/>
  <c r="J808" i="3"/>
  <c r="J807" i="3"/>
  <c r="J806" i="3"/>
  <c r="J805" i="3"/>
  <c r="J804" i="3"/>
  <c r="J803" i="3"/>
  <c r="J802" i="3"/>
  <c r="J801" i="3"/>
  <c r="J800" i="3"/>
  <c r="J799" i="3"/>
  <c r="J798" i="3"/>
  <c r="J797" i="3"/>
  <c r="J796" i="3"/>
  <c r="J795" i="3"/>
  <c r="J794" i="3"/>
  <c r="J793" i="3"/>
  <c r="J792" i="3"/>
  <c r="J791" i="3"/>
  <c r="J790" i="3"/>
  <c r="J789" i="3"/>
  <c r="J788" i="3"/>
  <c r="J787" i="3"/>
  <c r="J786" i="3"/>
  <c r="J785" i="3"/>
  <c r="J784" i="3"/>
  <c r="J783" i="3"/>
  <c r="J782" i="3"/>
  <c r="J781" i="3"/>
  <c r="J780" i="3"/>
  <c r="J779" i="3"/>
  <c r="J778" i="3"/>
  <c r="J777" i="3"/>
  <c r="J776" i="3"/>
  <c r="J775" i="3"/>
  <c r="J774" i="3"/>
  <c r="J773" i="3"/>
  <c r="J772" i="3"/>
  <c r="J771" i="3"/>
  <c r="J770" i="3"/>
  <c r="J769" i="3"/>
  <c r="J768" i="3"/>
  <c r="J767" i="3"/>
  <c r="J766" i="3"/>
  <c r="J765" i="3"/>
  <c r="J764" i="3"/>
  <c r="J763" i="3"/>
  <c r="J762" i="3"/>
  <c r="J761" i="3"/>
  <c r="J760" i="3"/>
  <c r="J759" i="3"/>
  <c r="J758" i="3"/>
  <c r="J757" i="3"/>
  <c r="J756" i="3"/>
  <c r="J755" i="3"/>
  <c r="J754" i="3"/>
  <c r="J753" i="3"/>
  <c r="J752" i="3"/>
  <c r="J751" i="3"/>
  <c r="J750" i="3"/>
  <c r="J749" i="3"/>
  <c r="J748" i="3"/>
  <c r="J747" i="3"/>
  <c r="J746" i="3"/>
  <c r="J745" i="3"/>
  <c r="J744" i="3"/>
  <c r="J743" i="3"/>
  <c r="J742" i="3"/>
  <c r="J741" i="3"/>
  <c r="J740" i="3"/>
  <c r="J739" i="3"/>
  <c r="J738" i="3"/>
  <c r="J737" i="3"/>
  <c r="J736" i="3"/>
  <c r="J735" i="3"/>
  <c r="J734" i="3"/>
  <c r="J733" i="3"/>
  <c r="J732" i="3"/>
  <c r="J731" i="3"/>
  <c r="J730" i="3"/>
  <c r="J729" i="3"/>
  <c r="J728" i="3"/>
  <c r="J727" i="3"/>
  <c r="J726" i="3"/>
  <c r="J725" i="3"/>
  <c r="J724" i="3"/>
  <c r="J723" i="3"/>
  <c r="J722" i="3"/>
  <c r="J721" i="3"/>
  <c r="J720" i="3"/>
  <c r="J719" i="3"/>
  <c r="J718" i="3"/>
  <c r="J717" i="3"/>
  <c r="J716" i="3"/>
  <c r="J715" i="3"/>
  <c r="J714" i="3"/>
  <c r="J713" i="3"/>
  <c r="J712" i="3"/>
  <c r="J711" i="3"/>
  <c r="J710" i="3"/>
  <c r="J709" i="3"/>
  <c r="J708" i="3"/>
  <c r="J707" i="3"/>
  <c r="J706" i="3"/>
  <c r="J705" i="3"/>
  <c r="J704" i="3"/>
  <c r="J703" i="3"/>
  <c r="J702" i="3"/>
  <c r="J701" i="3"/>
  <c r="J700" i="3"/>
  <c r="J699" i="3"/>
  <c r="J698" i="3"/>
  <c r="J697" i="3"/>
  <c r="J696" i="3"/>
  <c r="J695" i="3"/>
  <c r="J694" i="3"/>
  <c r="J693" i="3"/>
  <c r="J692" i="3"/>
  <c r="J691" i="3"/>
  <c r="J690" i="3"/>
  <c r="J689" i="3"/>
  <c r="J688" i="3"/>
  <c r="J687" i="3"/>
  <c r="J686" i="3"/>
  <c r="J685" i="3"/>
  <c r="J684" i="3"/>
  <c r="J683" i="3"/>
  <c r="J682" i="3"/>
  <c r="J681" i="3"/>
  <c r="J680" i="3"/>
  <c r="J679" i="3"/>
  <c r="J678" i="3"/>
  <c r="J677" i="3"/>
  <c r="J676" i="3"/>
  <c r="J675" i="3"/>
  <c r="J674" i="3"/>
  <c r="J673" i="3"/>
  <c r="J672" i="3"/>
  <c r="J671" i="3"/>
  <c r="J670" i="3"/>
  <c r="J669" i="3"/>
  <c r="J668" i="3"/>
  <c r="J667" i="3"/>
  <c r="J666" i="3"/>
  <c r="J665" i="3"/>
  <c r="J664" i="3"/>
  <c r="J663" i="3"/>
  <c r="J662" i="3"/>
  <c r="J661" i="3"/>
  <c r="J660" i="3"/>
  <c r="J659" i="3"/>
  <c r="J658" i="3"/>
  <c r="J657" i="3"/>
  <c r="J656" i="3"/>
  <c r="J655" i="3"/>
  <c r="J654" i="3"/>
  <c r="J653" i="3"/>
  <c r="J652" i="3"/>
  <c r="J651" i="3"/>
  <c r="J650" i="3"/>
  <c r="J649" i="3"/>
  <c r="J648" i="3"/>
  <c r="J647" i="3"/>
  <c r="J646" i="3"/>
  <c r="J645" i="3"/>
  <c r="J644" i="3"/>
  <c r="J643" i="3"/>
  <c r="J642" i="3"/>
  <c r="J641" i="3"/>
  <c r="J640" i="3"/>
  <c r="J639" i="3"/>
  <c r="J638" i="3"/>
  <c r="J637" i="3"/>
  <c r="J636" i="3"/>
  <c r="J635" i="3"/>
  <c r="J634" i="3"/>
  <c r="J633" i="3"/>
  <c r="J632" i="3"/>
  <c r="J631" i="3"/>
  <c r="J630" i="3"/>
  <c r="J629" i="3"/>
  <c r="J628" i="3"/>
  <c r="J627" i="3"/>
  <c r="J626" i="3"/>
  <c r="J625" i="3"/>
  <c r="J624" i="3"/>
  <c r="J623" i="3"/>
  <c r="J622" i="3"/>
  <c r="J621" i="3"/>
  <c r="J620" i="3"/>
  <c r="J619" i="3"/>
  <c r="J618" i="3"/>
  <c r="J617" i="3"/>
  <c r="J616" i="3"/>
  <c r="J615" i="3"/>
  <c r="J614" i="3"/>
  <c r="J613" i="3"/>
  <c r="J612" i="3"/>
  <c r="J611" i="3"/>
  <c r="J610" i="3"/>
  <c r="J609" i="3"/>
  <c r="J608" i="3"/>
  <c r="J607" i="3"/>
  <c r="J606" i="3"/>
  <c r="J605" i="3"/>
  <c r="J604" i="3"/>
  <c r="J603" i="3"/>
  <c r="J602" i="3"/>
  <c r="J601" i="3"/>
  <c r="J600" i="3"/>
  <c r="J599" i="3"/>
  <c r="J598" i="3"/>
  <c r="J597" i="3"/>
  <c r="J596" i="3"/>
  <c r="J595" i="3"/>
  <c r="J594" i="3"/>
  <c r="J593" i="3"/>
  <c r="J592" i="3"/>
  <c r="J591" i="3"/>
  <c r="J590" i="3"/>
  <c r="J589" i="3"/>
  <c r="J588" i="3"/>
  <c r="J587" i="3"/>
  <c r="J586" i="3"/>
  <c r="J585" i="3"/>
  <c r="J584" i="3"/>
  <c r="J583" i="3"/>
  <c r="J582" i="3"/>
  <c r="J581" i="3"/>
  <c r="J580" i="3"/>
  <c r="J579" i="3"/>
  <c r="J578" i="3"/>
  <c r="J577" i="3"/>
  <c r="J576" i="3"/>
  <c r="J575" i="3"/>
  <c r="J574" i="3"/>
  <c r="J573" i="3"/>
  <c r="J572" i="3"/>
  <c r="J571" i="3"/>
  <c r="J570" i="3"/>
  <c r="J569" i="3"/>
  <c r="J568" i="3"/>
  <c r="J567" i="3"/>
  <c r="J566" i="3"/>
  <c r="J565" i="3"/>
  <c r="J564" i="3"/>
  <c r="J563" i="3"/>
  <c r="J562" i="3"/>
  <c r="J561" i="3"/>
  <c r="J560" i="3"/>
  <c r="J559" i="3"/>
  <c r="J558" i="3"/>
  <c r="J557" i="3"/>
  <c r="J556" i="3"/>
  <c r="J555" i="3"/>
  <c r="J554" i="3"/>
  <c r="J553" i="3"/>
  <c r="J552" i="3"/>
  <c r="J551" i="3"/>
  <c r="J550" i="3"/>
  <c r="J549" i="3"/>
  <c r="J548" i="3"/>
  <c r="J547" i="3"/>
  <c r="J546" i="3"/>
  <c r="J545" i="3"/>
  <c r="J544" i="3"/>
  <c r="J543" i="3"/>
  <c r="J542" i="3"/>
  <c r="J541" i="3"/>
  <c r="J540" i="3"/>
  <c r="J539" i="3"/>
  <c r="J538" i="3"/>
  <c r="J537" i="3"/>
  <c r="J536" i="3"/>
  <c r="J535" i="3"/>
  <c r="J534" i="3"/>
  <c r="J533" i="3"/>
  <c r="J532" i="3"/>
  <c r="J531" i="3"/>
  <c r="J530" i="3"/>
  <c r="J529" i="3"/>
  <c r="J528" i="3"/>
  <c r="J527" i="3"/>
  <c r="J526" i="3"/>
  <c r="J525" i="3"/>
  <c r="J524" i="3"/>
  <c r="J523" i="3"/>
  <c r="J522" i="3"/>
  <c r="J521" i="3"/>
  <c r="J520" i="3"/>
  <c r="J519" i="3"/>
  <c r="J518" i="3"/>
  <c r="J517" i="3"/>
  <c r="J516" i="3"/>
  <c r="J515" i="3"/>
  <c r="J514" i="3"/>
  <c r="J513" i="3"/>
  <c r="J512" i="3"/>
  <c r="J511" i="3"/>
  <c r="J510" i="3"/>
  <c r="J509" i="3"/>
  <c r="J508" i="3"/>
  <c r="J507" i="3"/>
  <c r="J506" i="3"/>
  <c r="J505" i="3"/>
  <c r="J504" i="3"/>
  <c r="J503" i="3"/>
  <c r="J502" i="3"/>
  <c r="J501" i="3"/>
  <c r="J500" i="3"/>
  <c r="J499" i="3"/>
  <c r="J498" i="3"/>
  <c r="J497" i="3"/>
  <c r="J496" i="3"/>
  <c r="J495" i="3"/>
  <c r="J494" i="3"/>
  <c r="J493" i="3"/>
  <c r="J492" i="3"/>
  <c r="J491" i="3"/>
  <c r="J490" i="3"/>
  <c r="J489" i="3"/>
  <c r="J488" i="3"/>
  <c r="J487" i="3"/>
  <c r="J486" i="3"/>
  <c r="J485" i="3"/>
  <c r="J484" i="3"/>
  <c r="J483" i="3"/>
  <c r="J482" i="3"/>
  <c r="J481" i="3"/>
  <c r="J480" i="3"/>
  <c r="J479" i="3"/>
  <c r="J478" i="3"/>
  <c r="J477" i="3"/>
  <c r="J476" i="3"/>
  <c r="J475" i="3"/>
  <c r="J474" i="3"/>
  <c r="J473" i="3"/>
  <c r="J472" i="3"/>
  <c r="J471" i="3"/>
  <c r="J470" i="3"/>
  <c r="J469" i="3"/>
  <c r="J468" i="3"/>
  <c r="J467" i="3"/>
  <c r="J466" i="3"/>
  <c r="J465" i="3"/>
  <c r="J464" i="3"/>
  <c r="J463" i="3"/>
  <c r="J462" i="3"/>
  <c r="J461" i="3"/>
  <c r="J460" i="3"/>
  <c r="J459" i="3"/>
  <c r="J458" i="3"/>
  <c r="J457" i="3"/>
  <c r="J456" i="3"/>
  <c r="J455" i="3"/>
  <c r="J454" i="3"/>
  <c r="J453" i="3"/>
  <c r="J452" i="3"/>
  <c r="J451" i="3"/>
  <c r="J450" i="3"/>
  <c r="J449" i="3"/>
  <c r="J448" i="3"/>
  <c r="J447" i="3"/>
  <c r="J446" i="3"/>
  <c r="J445" i="3"/>
  <c r="J444" i="3"/>
  <c r="J443" i="3"/>
  <c r="J442" i="3"/>
  <c r="J441" i="3"/>
  <c r="J440" i="3"/>
  <c r="J439" i="3"/>
  <c r="J438" i="3"/>
  <c r="J437" i="3"/>
  <c r="J436" i="3"/>
  <c r="J435" i="3"/>
  <c r="J434" i="3"/>
  <c r="J433" i="3"/>
  <c r="J432" i="3"/>
  <c r="J431" i="3"/>
  <c r="J430" i="3"/>
  <c r="J429" i="3"/>
  <c r="J428" i="3"/>
  <c r="J427" i="3"/>
  <c r="J426" i="3"/>
  <c r="J425" i="3"/>
  <c r="J424" i="3"/>
  <c r="J423" i="3"/>
  <c r="J422" i="3"/>
  <c r="J421" i="3"/>
  <c r="J420" i="3"/>
  <c r="J419" i="3"/>
  <c r="J418" i="3"/>
  <c r="J417" i="3"/>
  <c r="J416" i="3"/>
  <c r="J415" i="3"/>
  <c r="J414" i="3"/>
  <c r="J413" i="3"/>
  <c r="J412" i="3"/>
  <c r="J411" i="3"/>
  <c r="J410" i="3"/>
  <c r="J409" i="3"/>
  <c r="J408" i="3"/>
  <c r="J407" i="3"/>
  <c r="J406" i="3"/>
  <c r="J405" i="3"/>
  <c r="J404" i="3"/>
  <c r="J403" i="3"/>
  <c r="J402" i="3"/>
  <c r="J401" i="3"/>
  <c r="J400" i="3"/>
  <c r="J399" i="3"/>
  <c r="J398" i="3"/>
  <c r="J397" i="3"/>
  <c r="J396" i="3"/>
  <c r="J395" i="3"/>
  <c r="J394" i="3"/>
  <c r="J393" i="3"/>
  <c r="J392" i="3"/>
  <c r="J391" i="3"/>
  <c r="J390" i="3"/>
  <c r="J389" i="3"/>
  <c r="J388" i="3"/>
  <c r="J387" i="3"/>
  <c r="J386" i="3"/>
  <c r="J385" i="3"/>
  <c r="J384" i="3"/>
  <c r="J383" i="3"/>
  <c r="J382" i="3"/>
  <c r="J381" i="3"/>
  <c r="J380" i="3"/>
  <c r="J379" i="3"/>
  <c r="J378" i="3"/>
  <c r="J377" i="3"/>
  <c r="J376" i="3"/>
  <c r="J375" i="3"/>
  <c r="J374" i="3"/>
  <c r="J373" i="3"/>
  <c r="J372" i="3"/>
  <c r="J371" i="3"/>
  <c r="J370" i="3"/>
  <c r="J369" i="3"/>
  <c r="J368" i="3"/>
  <c r="J367" i="3"/>
  <c r="J366" i="3"/>
  <c r="J365" i="3"/>
  <c r="J364" i="3"/>
  <c r="J363" i="3"/>
  <c r="J362" i="3"/>
  <c r="J361" i="3"/>
  <c r="J360" i="3"/>
  <c r="J359" i="3"/>
  <c r="J358" i="3"/>
  <c r="J357" i="3"/>
  <c r="J356" i="3"/>
  <c r="J355" i="3"/>
  <c r="J354" i="3"/>
  <c r="J353" i="3"/>
  <c r="J352" i="3"/>
  <c r="J351" i="3"/>
  <c r="J350" i="3"/>
  <c r="J349" i="3"/>
  <c r="J348" i="3"/>
  <c r="J347" i="3"/>
  <c r="J346" i="3"/>
  <c r="J345" i="3"/>
  <c r="J344" i="3"/>
  <c r="J343" i="3"/>
  <c r="J342" i="3"/>
  <c r="J341" i="3"/>
  <c r="J340" i="3"/>
  <c r="J339" i="3"/>
  <c r="J338" i="3"/>
  <c r="J337" i="3"/>
  <c r="J336" i="3"/>
  <c r="J335" i="3"/>
  <c r="J334" i="3"/>
  <c r="J333" i="3"/>
  <c r="J332" i="3"/>
  <c r="J331" i="3"/>
  <c r="J330" i="3"/>
  <c r="J329" i="3"/>
  <c r="J328" i="3"/>
  <c r="J327" i="3"/>
  <c r="J326" i="3"/>
  <c r="J325" i="3"/>
  <c r="J324" i="3"/>
  <c r="J323" i="3"/>
  <c r="J322" i="3"/>
  <c r="J321" i="3"/>
  <c r="J320" i="3"/>
  <c r="J319" i="3"/>
  <c r="J318" i="3"/>
  <c r="J317" i="3"/>
  <c r="J316" i="3"/>
  <c r="J315" i="3"/>
  <c r="J314" i="3"/>
  <c r="J313" i="3"/>
  <c r="J312" i="3"/>
  <c r="J311" i="3"/>
  <c r="J310" i="3"/>
  <c r="J309" i="3"/>
  <c r="J308" i="3"/>
  <c r="J307" i="3"/>
  <c r="J306" i="3"/>
  <c r="J305" i="3"/>
  <c r="J304" i="3"/>
  <c r="J303" i="3"/>
  <c r="J302" i="3"/>
  <c r="J301" i="3"/>
  <c r="J300" i="3"/>
  <c r="J299" i="3"/>
  <c r="J298" i="3"/>
  <c r="J297" i="3"/>
  <c r="J296" i="3"/>
  <c r="J295" i="3"/>
  <c r="J294" i="3"/>
  <c r="J293" i="3"/>
  <c r="J292" i="3"/>
  <c r="J291" i="3"/>
  <c r="J290" i="3"/>
  <c r="J289" i="3"/>
  <c r="J288" i="3"/>
  <c r="J287" i="3"/>
  <c r="J286" i="3"/>
  <c r="J285" i="3"/>
  <c r="J284" i="3"/>
  <c r="J283" i="3"/>
  <c r="J282" i="3"/>
  <c r="J281" i="3"/>
  <c r="J280" i="3"/>
  <c r="J279" i="3"/>
  <c r="J278" i="3"/>
  <c r="J277" i="3"/>
  <c r="J276" i="3"/>
  <c r="J275" i="3"/>
  <c r="J274" i="3"/>
  <c r="J273" i="3"/>
  <c r="J272" i="3"/>
  <c r="J271" i="3"/>
  <c r="J270" i="3"/>
  <c r="J269" i="3"/>
  <c r="J268" i="3"/>
  <c r="J267" i="3"/>
  <c r="J266" i="3"/>
  <c r="J265" i="3"/>
  <c r="J264" i="3"/>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J2" i="3"/>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2" i="1"/>
  <c r="M2"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0E0E19-229E-41FC-A751-7271AA2E0D4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D224DAA-5897-4290-8F7F-B081E44DB8B2}" name="WorksheetConnection_all_sales!$A$1:$K$1589" type="102" refreshedVersion="8" minRefreshableVersion="5">
    <extLst>
      <ext xmlns:x15="http://schemas.microsoft.com/office/spreadsheetml/2010/11/main" uri="{DE250136-89BD-433C-8126-D09CA5730AF9}">
        <x15:connection id="Range" autoDelete="1">
          <x15:rangePr sourceName="_xlcn.WorksheetConnection_all_salesA1K1589"/>
        </x15:connection>
      </ext>
    </extLst>
  </connection>
  <connection id="3" xr16:uid="{FE8B1581-09AA-4AE5-91B9-3F60E04E2967}" name="WorksheetConnection_cleaned_meesho_sales_data.xlsx!Table1" type="102" refreshedVersion="8" minRefreshableVersion="5">
    <extLst>
      <ext xmlns:x15="http://schemas.microsoft.com/office/spreadsheetml/2010/11/main" uri="{DE250136-89BD-433C-8126-D09CA5730AF9}">
        <x15:connection id="Table1">
          <x15:rangePr sourceName="_xlcn.WorksheetConnection_cleaned_meesho_sales_data.xlsxTable1"/>
        </x15:connection>
      </ext>
    </extLst>
  </connection>
</connections>
</file>

<file path=xl/sharedStrings.xml><?xml version="1.0" encoding="utf-8"?>
<sst xmlns="http://schemas.openxmlformats.org/spreadsheetml/2006/main" count="10321" uniqueCount="1008">
  <si>
    <t>order_date</t>
  </si>
  <si>
    <t>sub_order_num</t>
  </si>
  <si>
    <t>order_status</t>
  </si>
  <si>
    <t>end_customer_pin</t>
  </si>
  <si>
    <t>hsn_code</t>
  </si>
  <si>
    <t>gst_rate</t>
  </si>
  <si>
    <t>taxable_shipping</t>
  </si>
  <si>
    <t>end_customer_state_new</t>
  </si>
  <si>
    <t>2024-09-29</t>
  </si>
  <si>
    <t>Shipped</t>
  </si>
  <si>
    <t>Uttar Pradesh</t>
  </si>
  <si>
    <t>2024-09-27</t>
  </si>
  <si>
    <t>Gujarat</t>
  </si>
  <si>
    <t>2024-09-30</t>
  </si>
  <si>
    <t>West Bengal</t>
  </si>
  <si>
    <t>2024-09-21</t>
  </si>
  <si>
    <t>Delivered</t>
  </si>
  <si>
    <t>Punjab</t>
  </si>
  <si>
    <t>2024-09-23</t>
  </si>
  <si>
    <t>Karnataka</t>
  </si>
  <si>
    <t>2024-09-26</t>
  </si>
  <si>
    <t>rto</t>
  </si>
  <si>
    <t>Bihar</t>
  </si>
  <si>
    <t>Chhattisgarh</t>
  </si>
  <si>
    <t>2024-09-28</t>
  </si>
  <si>
    <t>Cancelled</t>
  </si>
  <si>
    <t>Madhya Pradesh</t>
  </si>
  <si>
    <t>Tamil Nadu</t>
  </si>
  <si>
    <t>Delhi</t>
  </si>
  <si>
    <t>2024-09-22</t>
  </si>
  <si>
    <t>2024-10-13</t>
  </si>
  <si>
    <t>2024-10-24</t>
  </si>
  <si>
    <t>2024-10-30</t>
  </si>
  <si>
    <t>Ordered</t>
  </si>
  <si>
    <t>2024-10-31</t>
  </si>
  <si>
    <t>Assam</t>
  </si>
  <si>
    <t>2024-10-22</t>
  </si>
  <si>
    <t>Jharkhand</t>
  </si>
  <si>
    <t>2024-11-01</t>
  </si>
  <si>
    <t>Andhra Pradesh</t>
  </si>
  <si>
    <t>2024-10-21</t>
  </si>
  <si>
    <t>Maharashtra</t>
  </si>
  <si>
    <t>2024-10-29</t>
  </si>
  <si>
    <t>2024-10-15</t>
  </si>
  <si>
    <t>Himachal Pradesh</t>
  </si>
  <si>
    <t>2024-10-19</t>
  </si>
  <si>
    <t>Rajasthan</t>
  </si>
  <si>
    <t>2024-10-28</t>
  </si>
  <si>
    <t>2024-10-27</t>
  </si>
  <si>
    <t>Uttarakhand</t>
  </si>
  <si>
    <t>2024-10-18</t>
  </si>
  <si>
    <t>2024-10-23</t>
  </si>
  <si>
    <t>Return</t>
  </si>
  <si>
    <t>Telangana</t>
  </si>
  <si>
    <t>Odisha</t>
  </si>
  <si>
    <t>2024-10-06</t>
  </si>
  <si>
    <t>Jammu &amp; Kashmir</t>
  </si>
  <si>
    <t>2024-10-07</t>
  </si>
  <si>
    <t>2024-10-26</t>
  </si>
  <si>
    <t>2024-10-25</t>
  </si>
  <si>
    <t>2024-10-10</t>
  </si>
  <si>
    <t>2024-10-03</t>
  </si>
  <si>
    <t>2024-10-20</t>
  </si>
  <si>
    <t>Haryana</t>
  </si>
  <si>
    <t>2024-10-05</t>
  </si>
  <si>
    <t>2024-10-17</t>
  </si>
  <si>
    <t>2024-10-09</t>
  </si>
  <si>
    <t>Tamilnadu</t>
  </si>
  <si>
    <t>2024-11-13</t>
  </si>
  <si>
    <t>2024-11-14</t>
  </si>
  <si>
    <t>2024-11-15</t>
  </si>
  <si>
    <t>Exchange</t>
  </si>
  <si>
    <t>2024-11-23</t>
  </si>
  <si>
    <t>2024-11-07</t>
  </si>
  <si>
    <t>2024-11-20</t>
  </si>
  <si>
    <t>2024-11-11</t>
  </si>
  <si>
    <t>2024-11-12</t>
  </si>
  <si>
    <t>2024-11-17</t>
  </si>
  <si>
    <t>2024-11-16</t>
  </si>
  <si>
    <t>2024-12-01</t>
  </si>
  <si>
    <t>2024-11-25</t>
  </si>
  <si>
    <t>2024-11-29</t>
  </si>
  <si>
    <t>2024-11-18</t>
  </si>
  <si>
    <t>2024-11-10</t>
  </si>
  <si>
    <t>2024-11-19</t>
  </si>
  <si>
    <t>Chandigarh</t>
  </si>
  <si>
    <t>2024-11-28</t>
  </si>
  <si>
    <t>2024-11-06</t>
  </si>
  <si>
    <t>2024-11-03</t>
  </si>
  <si>
    <t>2024-11-04</t>
  </si>
  <si>
    <t>2024-11-09</t>
  </si>
  <si>
    <t>2024-11-24</t>
  </si>
  <si>
    <t>2024-11-22</t>
  </si>
  <si>
    <t>2024-11-27</t>
  </si>
  <si>
    <t>2024-11-08</t>
  </si>
  <si>
    <t>2024-11-26</t>
  </si>
  <si>
    <t>2024-11-05</t>
  </si>
  <si>
    <t>Arunachal Pradesh</t>
  </si>
  <si>
    <t>Kerala</t>
  </si>
  <si>
    <t>2024-11-21</t>
  </si>
  <si>
    <t>2024-11-30</t>
  </si>
  <si>
    <t>2024-11-02</t>
  </si>
  <si>
    <t>Andaman &amp; Nicobar Islands</t>
  </si>
  <si>
    <t>Nagaland</t>
  </si>
  <si>
    <t>Goa</t>
  </si>
  <si>
    <t>2024-12-29</t>
  </si>
  <si>
    <t>2024-12-10</t>
  </si>
  <si>
    <t>2024-12-16</t>
  </si>
  <si>
    <t>2024-12-20</t>
  </si>
  <si>
    <t>2024-12-28</t>
  </si>
  <si>
    <t>2024-12-03</t>
  </si>
  <si>
    <t>2024-12-09</t>
  </si>
  <si>
    <t>2024-12-02</t>
  </si>
  <si>
    <t>2024-12-06</t>
  </si>
  <si>
    <t>2024-12-13</t>
  </si>
  <si>
    <t>2024-12-14</t>
  </si>
  <si>
    <t>2024-12-19</t>
  </si>
  <si>
    <t>2024-12-17</t>
  </si>
  <si>
    <t>2024-12-15</t>
  </si>
  <si>
    <t>2024-12-04</t>
  </si>
  <si>
    <t>2024-12-05</t>
  </si>
  <si>
    <t>2024-12-08</t>
  </si>
  <si>
    <t>2024-12-07</t>
  </si>
  <si>
    <t>2024-12-18</t>
  </si>
  <si>
    <t>2024-12-21</t>
  </si>
  <si>
    <t>2024-12-27</t>
  </si>
  <si>
    <t>2024-12-26</t>
  </si>
  <si>
    <t>2024-12-30</t>
  </si>
  <si>
    <t>2025-01-01</t>
  </si>
  <si>
    <t>2024-12-31</t>
  </si>
  <si>
    <t>2024-12-12</t>
  </si>
  <si>
    <t>2024-12-11</t>
  </si>
  <si>
    <t>2024-12-25</t>
  </si>
  <si>
    <t>2024-12-22</t>
  </si>
  <si>
    <t>2024-12-23</t>
  </si>
  <si>
    <t>jharkhand</t>
  </si>
  <si>
    <t>2025-01-27</t>
  </si>
  <si>
    <t>2025-01-28</t>
  </si>
  <si>
    <t>2025-01-24</t>
  </si>
  <si>
    <t>2025-01-25</t>
  </si>
  <si>
    <t>2025-01-05</t>
  </si>
  <si>
    <t>2025-01-06</t>
  </si>
  <si>
    <t>2025-01-12</t>
  </si>
  <si>
    <t>2025-01-14</t>
  </si>
  <si>
    <t>2025-01-31</t>
  </si>
  <si>
    <t>2025-01-16</t>
  </si>
  <si>
    <t>2025-01-17</t>
  </si>
  <si>
    <t>2025-01-23</t>
  </si>
  <si>
    <t>2025-01-26</t>
  </si>
  <si>
    <t>2025-01-08</t>
  </si>
  <si>
    <t>2025-01-04</t>
  </si>
  <si>
    <t>2025-02-01</t>
  </si>
  <si>
    <t>2025-01-30</t>
  </si>
  <si>
    <t>2025-01-07</t>
  </si>
  <si>
    <t>2025-01-19</t>
  </si>
  <si>
    <t>2025-01-15</t>
  </si>
  <si>
    <t>2025-01-02</t>
  </si>
  <si>
    <t>Uttarpradesh</t>
  </si>
  <si>
    <t>2025-01-18</t>
  </si>
  <si>
    <t>2025-01-20</t>
  </si>
  <si>
    <t>2025-01-09</t>
  </si>
  <si>
    <t>2025-01-10</t>
  </si>
  <si>
    <t>2025-01-21</t>
  </si>
  <si>
    <t>2025-01-03</t>
  </si>
  <si>
    <t>2025-01-11</t>
  </si>
  <si>
    <t>Tripura</t>
  </si>
  <si>
    <t>2025-01-29</t>
  </si>
  <si>
    <t>2025-01-13</t>
  </si>
  <si>
    <t>2025-01-22</t>
  </si>
  <si>
    <t>Manipur</t>
  </si>
  <si>
    <t>2025-02-02</t>
  </si>
  <si>
    <t>2025-02-13</t>
  </si>
  <si>
    <t>2025-02-16</t>
  </si>
  <si>
    <t>2025-02-17</t>
  </si>
  <si>
    <t>2025-02-08</t>
  </si>
  <si>
    <t>2025-02-09</t>
  </si>
  <si>
    <t>2025-02-10</t>
  </si>
  <si>
    <t>2025-02-06</t>
  </si>
  <si>
    <t>2025-02-07</t>
  </si>
  <si>
    <t>2025-02-25</t>
  </si>
  <si>
    <t>2025-02-26</t>
  </si>
  <si>
    <t>2025-02-14</t>
  </si>
  <si>
    <t>2025-02-15</t>
  </si>
  <si>
    <t>2025-02-27</t>
  </si>
  <si>
    <t>2025-02-03</t>
  </si>
  <si>
    <t>2025-02-24</t>
  </si>
  <si>
    <t>2025-02-11</t>
  </si>
  <si>
    <t>2025-02-12</t>
  </si>
  <si>
    <t>2025-02-19</t>
  </si>
  <si>
    <t>2025-02-23</t>
  </si>
  <si>
    <t>2025-02-04</t>
  </si>
  <si>
    <t>2025-02-18</t>
  </si>
  <si>
    <t>2025-02-05</t>
  </si>
  <si>
    <t>2025-02-22</t>
  </si>
  <si>
    <t>2025-02-20</t>
  </si>
  <si>
    <t>2025-02-21</t>
  </si>
  <si>
    <t>Meghalaya</t>
  </si>
  <si>
    <t>total_taxable_sale_value</t>
  </si>
  <si>
    <t>tax_amount</t>
  </si>
  <si>
    <t>total_invoice_value</t>
  </si>
  <si>
    <t>138097815850363968_1</t>
  </si>
  <si>
    <t>2025-03-31</t>
  </si>
  <si>
    <t>132090602463887488_1</t>
  </si>
  <si>
    <t>2025-03-14</t>
  </si>
  <si>
    <t>136152329853241536_1</t>
  </si>
  <si>
    <t>2025-03-25</t>
  </si>
  <si>
    <t>130835177844147072_1</t>
  </si>
  <si>
    <t>2025-03-11</t>
  </si>
  <si>
    <t>136085343867047168_1</t>
  </si>
  <si>
    <t>137953288222511809_1</t>
  </si>
  <si>
    <t>2025-03-30</t>
  </si>
  <si>
    <t>138284030402398272_1</t>
  </si>
  <si>
    <t>135802926449723712_1</t>
  </si>
  <si>
    <t>2025-03-24</t>
  </si>
  <si>
    <t>134977208989782400_1</t>
  </si>
  <si>
    <t>2025-03-22</t>
  </si>
  <si>
    <t>136750085644032768_1</t>
  </si>
  <si>
    <t>2025-03-27</t>
  </si>
  <si>
    <t>134709443597599616_1</t>
  </si>
  <si>
    <t>2025-03-21</t>
  </si>
  <si>
    <t>136729641875710528_1</t>
  </si>
  <si>
    <t>137864154501976771_1</t>
  </si>
  <si>
    <t>134465447873809664_1</t>
  </si>
  <si>
    <t>134316696432738432_1</t>
  </si>
  <si>
    <t>2025-03-20</t>
  </si>
  <si>
    <t>136379794081089856_1</t>
  </si>
  <si>
    <t>2025-03-26</t>
  </si>
  <si>
    <t>136793855805524288_1</t>
  </si>
  <si>
    <t>128450822384452800_1</t>
  </si>
  <si>
    <t>2025-03-04</t>
  </si>
  <si>
    <t>128391305188501760_1</t>
  </si>
  <si>
    <t>137508798074882112_1</t>
  </si>
  <si>
    <t>2025-03-29</t>
  </si>
  <si>
    <t>128400603775992000_1</t>
  </si>
  <si>
    <t>128004777821146368_1</t>
  </si>
  <si>
    <t>2025-03-03</t>
  </si>
  <si>
    <t>129147288378640384_1</t>
  </si>
  <si>
    <t>2025-03-06</t>
  </si>
  <si>
    <t>133776265018936577_1</t>
  </si>
  <si>
    <t>2025-03-19</t>
  </si>
  <si>
    <t>129278791247797056_1</t>
  </si>
  <si>
    <t>136742009053684288_1</t>
  </si>
  <si>
    <t>134366160635201732_1</t>
  </si>
  <si>
    <t>135399505901552512_1</t>
  </si>
  <si>
    <t>2025-03-23</t>
  </si>
  <si>
    <t>131764445461250752_1</t>
  </si>
  <si>
    <t>2025-03-13</t>
  </si>
  <si>
    <t>132882399612011392_1</t>
  </si>
  <si>
    <t>2025-03-16</t>
  </si>
  <si>
    <t>138228569183520896_1</t>
  </si>
  <si>
    <t>128178162428438784_1</t>
  </si>
  <si>
    <t>130542396378417152_1</t>
  </si>
  <si>
    <t>2025-03-10</t>
  </si>
  <si>
    <t>135978512271319680_1</t>
  </si>
  <si>
    <t>131743650762001664_1</t>
  </si>
  <si>
    <t>128175507719291075_1</t>
  </si>
  <si>
    <t>130916821741309632_1</t>
  </si>
  <si>
    <t>130687405431000320_1</t>
  </si>
  <si>
    <t>133067369105754432_1</t>
  </si>
  <si>
    <t>2025-03-17</t>
  </si>
  <si>
    <t>137514626433985536_1</t>
  </si>
  <si>
    <t>133188222617129344_1</t>
  </si>
  <si>
    <t>134853942260762624_1</t>
  </si>
  <si>
    <t>135295486496410880_1</t>
  </si>
  <si>
    <t>135081550139523968_1</t>
  </si>
  <si>
    <t>128255048118665344_1</t>
  </si>
  <si>
    <t>129857906602482432_1</t>
  </si>
  <si>
    <t>2025-03-08</t>
  </si>
  <si>
    <t>137238308435104384_1</t>
  </si>
  <si>
    <t>2025-03-28</t>
  </si>
  <si>
    <t>136077152608363136_1</t>
  </si>
  <si>
    <t>135286482147547904_1</t>
  </si>
  <si>
    <t>132043625509687680_1</t>
  </si>
  <si>
    <t>133643370718724992_1</t>
  </si>
  <si>
    <t>133543190857679616_1</t>
  </si>
  <si>
    <t>2025-03-18</t>
  </si>
  <si>
    <t>133845605876539968_1</t>
  </si>
  <si>
    <t>132061650977981120_1</t>
  </si>
  <si>
    <t>135114049603209216_1</t>
  </si>
  <si>
    <t>130993226785423488_1</t>
  </si>
  <si>
    <t>132129228224104064_1</t>
  </si>
  <si>
    <t>130835549996352384_1</t>
  </si>
  <si>
    <t>136704413910438272_1</t>
  </si>
  <si>
    <t>129849927224967808_1</t>
  </si>
  <si>
    <t>137366275302557312_1</t>
  </si>
  <si>
    <t>132791279015594306_1</t>
  </si>
  <si>
    <t>132341543565427392_1</t>
  </si>
  <si>
    <t>2025-03-15</t>
  </si>
  <si>
    <t>132849371959304320_1</t>
  </si>
  <si>
    <t>132885910156255872_1</t>
  </si>
  <si>
    <t>133361054142138368_1</t>
  </si>
  <si>
    <t>129115336876933952_1</t>
  </si>
  <si>
    <t>132480696001135298_1</t>
  </si>
  <si>
    <t>130691907681956416_1</t>
  </si>
  <si>
    <t>136097986467928832_1</t>
  </si>
  <si>
    <t>134888912024506752_1</t>
  </si>
  <si>
    <t>135429203028771584_1</t>
  </si>
  <si>
    <t>132835566466409024_1</t>
  </si>
  <si>
    <t>129069092171334464_1</t>
  </si>
  <si>
    <t>129803773212803712_1</t>
  </si>
  <si>
    <t>129468159590318720_1</t>
  </si>
  <si>
    <t>2025-03-07</t>
  </si>
  <si>
    <t>132419823287567232_1</t>
  </si>
  <si>
    <t>130729627630370944_1</t>
  </si>
  <si>
    <t>129276585026226176_1</t>
  </si>
  <si>
    <t>135643771932287616_1</t>
  </si>
  <si>
    <t>135426543089656448_1</t>
  </si>
  <si>
    <t>130511327307566336_1</t>
  </si>
  <si>
    <t>138214191969797760_1</t>
  </si>
  <si>
    <t>135429055494529153_1</t>
  </si>
  <si>
    <t>136796513313819904_1</t>
  </si>
  <si>
    <t>133247052992645312_1</t>
  </si>
  <si>
    <t>128522485029214528_1</t>
  </si>
  <si>
    <t>129435205337681152_1</t>
  </si>
  <si>
    <t>134600493426320000_1</t>
  </si>
  <si>
    <t>132741456820341056_1</t>
  </si>
  <si>
    <t>134255542821757504_1</t>
  </si>
  <si>
    <t>128844212799244352_1</t>
  </si>
  <si>
    <t>2025-03-05</t>
  </si>
  <si>
    <t>135480747807900418_1</t>
  </si>
  <si>
    <t>136018460497678721_1</t>
  </si>
  <si>
    <t>134221290340059136_1</t>
  </si>
  <si>
    <t>132099542078984576_1</t>
  </si>
  <si>
    <t>137886099317238784_1</t>
  </si>
  <si>
    <t>135985740986614656_1</t>
  </si>
  <si>
    <t>133421248179767488_1</t>
  </si>
  <si>
    <t>134976563526804096_1</t>
  </si>
  <si>
    <t>129507243934686016_1</t>
  </si>
  <si>
    <t>131051037696006912_1</t>
  </si>
  <si>
    <t>137557780039570240_1</t>
  </si>
  <si>
    <t>133545360836857088_1</t>
  </si>
  <si>
    <t>135371088137069120_1</t>
  </si>
  <si>
    <t>128085832434482048_1</t>
  </si>
  <si>
    <t>133071008956320064_1</t>
  </si>
  <si>
    <t>131271540956273408_1</t>
  </si>
  <si>
    <t>2025-03-12</t>
  </si>
  <si>
    <t>131106657676791488_1</t>
  </si>
  <si>
    <t>132848549325867264_1</t>
  </si>
  <si>
    <t>138202496917672640_1</t>
  </si>
  <si>
    <t>138189717413234304_1</t>
  </si>
  <si>
    <t>135151775867017984_1</t>
  </si>
  <si>
    <t>136040962722792192_1</t>
  </si>
  <si>
    <t>135062104311139584_1</t>
  </si>
  <si>
    <t>134923124529761536_1</t>
  </si>
  <si>
    <t>137054792609735232_1</t>
  </si>
  <si>
    <t>128170435539965184_1</t>
  </si>
  <si>
    <t>135408240900374656_1</t>
  </si>
  <si>
    <t>130519760290349952_1</t>
  </si>
  <si>
    <t>134690941792323904_1</t>
  </si>
  <si>
    <t>132752693126275648_1</t>
  </si>
  <si>
    <t>138092223311808640_1</t>
  </si>
  <si>
    <t>132311657062141184_1</t>
  </si>
  <si>
    <t>132719428953512704_1</t>
  </si>
  <si>
    <t>138213519087211328_1</t>
  </si>
  <si>
    <t>131338229772422848_1</t>
  </si>
  <si>
    <t>130220302960853888_1</t>
  </si>
  <si>
    <t>2025-03-09</t>
  </si>
  <si>
    <t>130146817139998848_1</t>
  </si>
  <si>
    <t>133463072957726848_1</t>
  </si>
  <si>
    <t>134852030421574272_1</t>
  </si>
  <si>
    <t>133843034487169664_1</t>
  </si>
  <si>
    <t>132734961177561088_1</t>
  </si>
  <si>
    <t>136023670132212608_1</t>
  </si>
  <si>
    <t>137781505552913024_1</t>
  </si>
  <si>
    <t>136337433309381376_1</t>
  </si>
  <si>
    <t>138165668506667008_1</t>
  </si>
  <si>
    <t>134306093501582592_1</t>
  </si>
  <si>
    <t>133545590633463936_1</t>
  </si>
  <si>
    <t>128748967159890048_1</t>
  </si>
  <si>
    <t>132040431064386816_1</t>
  </si>
  <si>
    <t>135332456319877248_1</t>
  </si>
  <si>
    <t>131036677514101632_1</t>
  </si>
  <si>
    <t>134897091263496960_1</t>
  </si>
  <si>
    <t>132571350543302784_1</t>
  </si>
  <si>
    <t>132561919687952768_1</t>
  </si>
  <si>
    <t>132867067433879872_1</t>
  </si>
  <si>
    <t>129079840737401664_1</t>
  </si>
  <si>
    <t>132414229646312320_1</t>
  </si>
  <si>
    <t>135255126104801408_1</t>
  </si>
  <si>
    <t>132644956606341760_1</t>
  </si>
  <si>
    <t>136165571392931840_1</t>
  </si>
  <si>
    <t>134305570315763840_1</t>
  </si>
  <si>
    <t>133846075034208576_1</t>
  </si>
  <si>
    <t>128916613156117312_1</t>
  </si>
  <si>
    <t>136808499546851648_1</t>
  </si>
  <si>
    <t>137394315761294848_1</t>
  </si>
  <si>
    <t>129424556868420416_1</t>
  </si>
  <si>
    <t>136920625414833024_1</t>
  </si>
  <si>
    <t>131636744642697984_1</t>
  </si>
  <si>
    <t>135461823850973184_1</t>
  </si>
  <si>
    <t>137032203019127104_1</t>
  </si>
  <si>
    <t>131809141483537280_1</t>
  </si>
  <si>
    <t>131416007410878016_1</t>
  </si>
  <si>
    <t>137558696795768448_1</t>
  </si>
  <si>
    <t>133635560316379776_1</t>
  </si>
  <si>
    <t>136058921411314433_1</t>
  </si>
  <si>
    <t>137385832579961665_1</t>
  </si>
  <si>
    <t>128158676171425152_1</t>
  </si>
  <si>
    <t>130278465760329856_1</t>
  </si>
  <si>
    <t>132741705605882432_1</t>
  </si>
  <si>
    <t>143519389324800576_1</t>
  </si>
  <si>
    <t>2025-04-15</t>
  </si>
  <si>
    <t>146119760252705344_1</t>
  </si>
  <si>
    <t>2025-04-22</t>
  </si>
  <si>
    <t>146253381321263488_1</t>
  </si>
  <si>
    <t>143381128413874496_1</t>
  </si>
  <si>
    <t>2025-04-14</t>
  </si>
  <si>
    <t>145142361896273408_1</t>
  </si>
  <si>
    <t>2025-04-19</t>
  </si>
  <si>
    <t>143356281447980224_1</t>
  </si>
  <si>
    <t>142942804262722752_1</t>
  </si>
  <si>
    <t>2025-04-13</t>
  </si>
  <si>
    <t>143284338494403136_1</t>
  </si>
  <si>
    <t>143054542401543040_1</t>
  </si>
  <si>
    <t>147285966724763776_1</t>
  </si>
  <si>
    <t>2025-04-25</t>
  </si>
  <si>
    <t>141791456033894528_1</t>
  </si>
  <si>
    <t>2025-04-10</t>
  </si>
  <si>
    <t>142305404977304257_1</t>
  </si>
  <si>
    <t>2025-04-11</t>
  </si>
  <si>
    <t>143016672017142464_1</t>
  </si>
  <si>
    <t>145836997449779392_1</t>
  </si>
  <si>
    <t>2025-04-21</t>
  </si>
  <si>
    <t>142236954562038080_1</t>
  </si>
  <si>
    <t>142835994429332352_1</t>
  </si>
  <si>
    <t>147514210539898560_1</t>
  </si>
  <si>
    <t>2025-04-26</t>
  </si>
  <si>
    <t>145216631994784320_1</t>
  </si>
  <si>
    <t>143183527239163072_1</t>
  </si>
  <si>
    <t>142216056524971201_1</t>
  </si>
  <si>
    <t>149193955212102723_1</t>
  </si>
  <si>
    <t>2025-04-30</t>
  </si>
  <si>
    <t>147284357983078080_1</t>
  </si>
  <si>
    <t>141823663804142272_1</t>
  </si>
  <si>
    <t>142191758553772672_1</t>
  </si>
  <si>
    <t>142538936206957760_1</t>
  </si>
  <si>
    <t>2025-04-12</t>
  </si>
  <si>
    <t>144054373773079104_1</t>
  </si>
  <si>
    <t>2025-04-16</t>
  </si>
  <si>
    <t>147411681849017351_1</t>
  </si>
  <si>
    <t>139385363327396928_1</t>
  </si>
  <si>
    <t>2025-04-03</t>
  </si>
  <si>
    <t>139219306725410880_1</t>
  </si>
  <si>
    <t>142148594395716800_1</t>
  </si>
  <si>
    <t>139368130858816128_1</t>
  </si>
  <si>
    <t>144099990155464320_1</t>
  </si>
  <si>
    <t>140780902880484800_1</t>
  </si>
  <si>
    <t>2025-04-07</t>
  </si>
  <si>
    <t>145808238801450688_1</t>
  </si>
  <si>
    <t>140420400181193728_1</t>
  </si>
  <si>
    <t>2025-04-06</t>
  </si>
  <si>
    <t>148380106120206080_1</t>
  </si>
  <si>
    <t>2025-04-28</t>
  </si>
  <si>
    <t>142096396732199488_1</t>
  </si>
  <si>
    <t>142196063080188224_1</t>
  </si>
  <si>
    <t>140848880527610947_1</t>
  </si>
  <si>
    <t>148328293853533952_1</t>
  </si>
  <si>
    <t>146527579255177344_1</t>
  </si>
  <si>
    <t>2025-04-23</t>
  </si>
  <si>
    <t>140793884968590720_1</t>
  </si>
  <si>
    <t>145247317431547584_1</t>
  </si>
  <si>
    <t>2025-04-20</t>
  </si>
  <si>
    <t>140456544767477888_1</t>
  </si>
  <si>
    <t>140849219527876032_1</t>
  </si>
  <si>
    <t>140157161490190976_1</t>
  </si>
  <si>
    <t>2025-04-05</t>
  </si>
  <si>
    <t>142819941557050240_1</t>
  </si>
  <si>
    <t>143311691781397696_1</t>
  </si>
  <si>
    <t>142818797874967104_1</t>
  </si>
  <si>
    <t>142601316958098112_1</t>
  </si>
  <si>
    <t>142460051030143552_1</t>
  </si>
  <si>
    <t>143982322043689858_1</t>
  </si>
  <si>
    <t>144181511859100864_1</t>
  </si>
  <si>
    <t>2025-04-17</t>
  </si>
  <si>
    <t>142908802962398080_1</t>
  </si>
  <si>
    <t>145050173454022272_1</t>
  </si>
  <si>
    <t>148156736146670208_1</t>
  </si>
  <si>
    <t>145371011585426944_1</t>
  </si>
  <si>
    <t>145160236059694912_1</t>
  </si>
  <si>
    <t>145025701959300800_1</t>
  </si>
  <si>
    <t>142931664736558272_1</t>
  </si>
  <si>
    <t>140724268932433920_1</t>
  </si>
  <si>
    <t>145074245697378112_1</t>
  </si>
  <si>
    <t>147700980149749440_1</t>
  </si>
  <si>
    <t>139609727251557312_1</t>
  </si>
  <si>
    <t>2025-04-04</t>
  </si>
  <si>
    <t>140334265610471040_1</t>
  </si>
  <si>
    <t>145178225106652288_1</t>
  </si>
  <si>
    <t>142981043121134464_1</t>
  </si>
  <si>
    <t>140391404462713856_1</t>
  </si>
  <si>
    <t>142497763233995648_1</t>
  </si>
  <si>
    <t>144343452464127168_1</t>
  </si>
  <si>
    <t>146558800345110912_1</t>
  </si>
  <si>
    <t>146536927811618624_1</t>
  </si>
  <si>
    <t>145102621594195776_1</t>
  </si>
  <si>
    <t>144799641925949376_1</t>
  </si>
  <si>
    <t>2025-04-18</t>
  </si>
  <si>
    <t>143605926749426368_1</t>
  </si>
  <si>
    <t>145763943365380288_1</t>
  </si>
  <si>
    <t>141880001582013696_1</t>
  </si>
  <si>
    <t>147992940970346048_1</t>
  </si>
  <si>
    <t>2025-04-27</t>
  </si>
  <si>
    <t>144848278871098880_1</t>
  </si>
  <si>
    <t>144676774357866304_1</t>
  </si>
  <si>
    <t>144110240820530880_1</t>
  </si>
  <si>
    <t>144087688819610432_1</t>
  </si>
  <si>
    <t>144338877708366400_1</t>
  </si>
  <si>
    <t>146650754039251136_1</t>
  </si>
  <si>
    <t>146512531390744448_1</t>
  </si>
  <si>
    <t>139394529619448512_1</t>
  </si>
  <si>
    <t>143382614267037888_1</t>
  </si>
  <si>
    <t>141959272674488896_1</t>
  </si>
  <si>
    <t>144095563507994176_1</t>
  </si>
  <si>
    <t>148347131290687232_1</t>
  </si>
  <si>
    <t>141533104111771136_1</t>
  </si>
  <si>
    <t>2025-04-09</t>
  </si>
  <si>
    <t>139391440253135872_1</t>
  </si>
  <si>
    <t>141530565023732544_1</t>
  </si>
  <si>
    <t>144817755019384641_1</t>
  </si>
  <si>
    <t>141796138566490496_1</t>
  </si>
  <si>
    <t>148617480511522112_1</t>
  </si>
  <si>
    <t>2025-04-29</t>
  </si>
  <si>
    <t>145522234743003712_1</t>
  </si>
  <si>
    <t>143691529252871040_1</t>
  </si>
  <si>
    <t>141531812799812416_1</t>
  </si>
  <si>
    <t>143658022497284672_1</t>
  </si>
  <si>
    <t>141533395365237504_1</t>
  </si>
  <si>
    <t>149089430082848640_1</t>
  </si>
  <si>
    <t>145198713887427712_1</t>
  </si>
  <si>
    <t>148340082704093315_1</t>
  </si>
  <si>
    <t>149185141620444224_1</t>
  </si>
  <si>
    <t>147977232462614656_1</t>
  </si>
  <si>
    <t>143784480564990656_1</t>
  </si>
  <si>
    <t>140069779160011392_1</t>
  </si>
  <si>
    <t>148365205687440576_1</t>
  </si>
  <si>
    <t>141851259808641664_1</t>
  </si>
  <si>
    <t>141926349917555328_1</t>
  </si>
  <si>
    <t>147650675911103680_1</t>
  </si>
  <si>
    <t>148072862015003584_1</t>
  </si>
  <si>
    <t>147626123424403584_1</t>
  </si>
  <si>
    <t>148755925371949760_1</t>
  </si>
  <si>
    <t>148795701354727360_1</t>
  </si>
  <si>
    <t>139586198214286848_1</t>
  </si>
  <si>
    <t>145430747138094784_1</t>
  </si>
  <si>
    <t>143556788506746048_1</t>
  </si>
  <si>
    <t>143671221551570119_1</t>
  </si>
  <si>
    <t>140436484294188568_1</t>
  </si>
  <si>
    <t>145493518103627264_1</t>
  </si>
  <si>
    <t>148652879556478272_1</t>
  </si>
  <si>
    <t>139575860634852866_1</t>
  </si>
  <si>
    <t>138642726697470016_1</t>
  </si>
  <si>
    <t>2025-04-01</t>
  </si>
  <si>
    <t>144859601854396032_1</t>
  </si>
  <si>
    <t>141214950659396352_1</t>
  </si>
  <si>
    <t>2025-04-08</t>
  </si>
  <si>
    <t>148243386137937472_1</t>
  </si>
  <si>
    <t>142353241971487361_1</t>
  </si>
  <si>
    <t>148984494262422784_1</t>
  </si>
  <si>
    <t>148326921558196864_1</t>
  </si>
  <si>
    <t>148824369082828672_1</t>
  </si>
  <si>
    <t>149116697654563584_1</t>
  </si>
  <si>
    <t>146212009258981760_1</t>
  </si>
  <si>
    <t>141132713250687232_1</t>
  </si>
  <si>
    <t>139554258788714560_1</t>
  </si>
  <si>
    <t>146214617593055616_1</t>
  </si>
  <si>
    <t>142505077121897153_1</t>
  </si>
  <si>
    <t>139661306727505412_1</t>
  </si>
  <si>
    <t>145157871044150785_1</t>
  </si>
  <si>
    <t>141239808425562944_1</t>
  </si>
  <si>
    <t>143218142977088704_1</t>
  </si>
  <si>
    <t>142457675183659904_1</t>
  </si>
  <si>
    <t>141599890896225728_1</t>
  </si>
  <si>
    <t>141943811136396160_1</t>
  </si>
  <si>
    <t>147756095556261633_1</t>
  </si>
  <si>
    <t>149104505966269184_1</t>
  </si>
  <si>
    <t>141509106891952960_1</t>
  </si>
  <si>
    <t>140387528967760960_1</t>
  </si>
  <si>
    <t>144095360922047168_1</t>
  </si>
  <si>
    <t>146193558821870144_1</t>
  </si>
  <si>
    <t>141887408594127168_1</t>
  </si>
  <si>
    <t>149189212444985216_1</t>
  </si>
  <si>
    <t>149120202767699008_1</t>
  </si>
  <si>
    <t>140120208273475648_1</t>
  </si>
  <si>
    <t>143922603518232896_1</t>
  </si>
  <si>
    <t>147590774564294784_1</t>
  </si>
  <si>
    <t>141841284265052480_1</t>
  </si>
  <si>
    <t>141540941998955008_1</t>
  </si>
  <si>
    <t>146262294196292096_1</t>
  </si>
  <si>
    <t>141840423395676864_1</t>
  </si>
  <si>
    <t>140115538885258240_1</t>
  </si>
  <si>
    <t>140119680269878912_1</t>
  </si>
  <si>
    <t>141879001615075648_1</t>
  </si>
  <si>
    <t>142940042465806656_1</t>
  </si>
  <si>
    <t>144001790785508032_1</t>
  </si>
  <si>
    <t>138562453076808448_1</t>
  </si>
  <si>
    <t>139819143821306880_1</t>
  </si>
  <si>
    <t>145876939602675200_1</t>
  </si>
  <si>
    <t>148281242957808256_1</t>
  </si>
  <si>
    <t>148420205437682304_1</t>
  </si>
  <si>
    <t>138891114521603072_1</t>
  </si>
  <si>
    <t>2025-04-02</t>
  </si>
  <si>
    <t>146297849857984320_1</t>
  </si>
  <si>
    <t>145014856610760192_1</t>
  </si>
  <si>
    <t>143359425297142976_1</t>
  </si>
  <si>
    <t>144437407110263360_1</t>
  </si>
  <si>
    <t>138944567066920960_1</t>
  </si>
  <si>
    <t>138888629723638720_1</t>
  </si>
  <si>
    <t>139674984619902592_1</t>
  </si>
  <si>
    <t>148091984379616192_1</t>
  </si>
  <si>
    <t>138895249154609856_1</t>
  </si>
  <si>
    <t>142170436184677250_1</t>
  </si>
  <si>
    <t>138349329321136832_1</t>
  </si>
  <si>
    <t>138633113258005184_1</t>
  </si>
  <si>
    <t>146176949345750144_1</t>
  </si>
  <si>
    <t>145887106234861056_1</t>
  </si>
  <si>
    <t>138502852984080512_1</t>
  </si>
  <si>
    <t>145878932168280256_1</t>
  </si>
  <si>
    <t>138511505679815424_1</t>
  </si>
  <si>
    <t>143384249932351680_1</t>
  </si>
  <si>
    <t>145103004184812096_1</t>
  </si>
  <si>
    <t>147572495146975872_1</t>
  </si>
  <si>
    <t>140438767587461248_1</t>
  </si>
  <si>
    <t>139325551201945217_1</t>
  </si>
  <si>
    <t>140670309723179072_1</t>
  </si>
  <si>
    <t>139597728418897408_1</t>
  </si>
  <si>
    <t>141114652200948352_1</t>
  </si>
  <si>
    <t>146969112298853568_1</t>
  </si>
  <si>
    <t>2025-04-24</t>
  </si>
  <si>
    <t>141173698224347398_1</t>
  </si>
  <si>
    <t>140370619811137600_1</t>
  </si>
  <si>
    <t>141225429294486272_1</t>
  </si>
  <si>
    <t>141179300624306944_1</t>
  </si>
  <si>
    <t>146173496315102720_1</t>
  </si>
  <si>
    <t>140283154209018624_1</t>
  </si>
  <si>
    <t>146315021492324480_1</t>
  </si>
  <si>
    <t>143354128294845319_1</t>
  </si>
  <si>
    <t>139217965899099200_1</t>
  </si>
  <si>
    <t>142196855304221248_1</t>
  </si>
  <si>
    <t>142913049078635392_1</t>
  </si>
  <si>
    <t>143332695611181376_1</t>
  </si>
  <si>
    <t>147200307037180032_1</t>
  </si>
  <si>
    <t>143360806209821312_1</t>
  </si>
  <si>
    <t>138935988362419713_1</t>
  </si>
  <si>
    <t>152432327094539776_1</t>
  </si>
  <si>
    <t>2025-05-09</t>
  </si>
  <si>
    <t>159628634724865984_1</t>
  </si>
  <si>
    <t>2025-05-29</t>
  </si>
  <si>
    <t>156677292393845187_1</t>
  </si>
  <si>
    <t>2025-05-21</t>
  </si>
  <si>
    <t>151983411384977344_1</t>
  </si>
  <si>
    <t>2025-05-08</t>
  </si>
  <si>
    <t>158833754990283520_1</t>
  </si>
  <si>
    <t>2025-05-27</t>
  </si>
  <si>
    <t>149931262189474560_1</t>
  </si>
  <si>
    <t>2025-05-02</t>
  </si>
  <si>
    <t>150496566032829696_1</t>
  </si>
  <si>
    <t>2025-05-04</t>
  </si>
  <si>
    <t>149532763564249856_1</t>
  </si>
  <si>
    <t>2025-05-01</t>
  </si>
  <si>
    <t>150096167501139008_1</t>
  </si>
  <si>
    <t>2025-05-03</t>
  </si>
  <si>
    <t>156362111591722752_1</t>
  </si>
  <si>
    <t>2025-05-20</t>
  </si>
  <si>
    <t>149581106727520128_1</t>
  </si>
  <si>
    <t>154845879185020160_1</t>
  </si>
  <si>
    <t>2025-05-16</t>
  </si>
  <si>
    <t>150566031765178176_1</t>
  </si>
  <si>
    <t>155619161760932352_1</t>
  </si>
  <si>
    <t>2025-05-18</t>
  </si>
  <si>
    <t>154211095408615936_1</t>
  </si>
  <si>
    <t>2025-05-14</t>
  </si>
  <si>
    <t>157874922469807233_1</t>
  </si>
  <si>
    <t>2025-05-24</t>
  </si>
  <si>
    <t>158829840651332288_1</t>
  </si>
  <si>
    <t>158813508467763904_1</t>
  </si>
  <si>
    <t>158274156985668032_1</t>
  </si>
  <si>
    <t>2025-05-25</t>
  </si>
  <si>
    <t>158895216596719552_1</t>
  </si>
  <si>
    <t>156558135283232512_1</t>
  </si>
  <si>
    <t>155146233441261248_1</t>
  </si>
  <si>
    <t>2025-05-17</t>
  </si>
  <si>
    <t>149529513659371264_1</t>
  </si>
  <si>
    <t>152046503598917184_1</t>
  </si>
  <si>
    <t>156725706036948736_1</t>
  </si>
  <si>
    <t>154238591710101952_1</t>
  </si>
  <si>
    <t>159672189728688257_1</t>
  </si>
  <si>
    <t>158158941061745408_1</t>
  </si>
  <si>
    <t>159904184681466432_1</t>
  </si>
  <si>
    <t>2025-05-30</t>
  </si>
  <si>
    <t>157040388694705600_1</t>
  </si>
  <si>
    <t>2025-05-22</t>
  </si>
  <si>
    <t>158896591384713152_1</t>
  </si>
  <si>
    <t>154162957725971904_1</t>
  </si>
  <si>
    <t>153810846639175104_1</t>
  </si>
  <si>
    <t>2025-05-13</t>
  </si>
  <si>
    <t>155743563505304000_1</t>
  </si>
  <si>
    <t>159687511219210752_1</t>
  </si>
  <si>
    <t>150253824161321728_1</t>
  </si>
  <si>
    <t>150155023421902080_1</t>
  </si>
  <si>
    <t>154109215760810432_1</t>
  </si>
  <si>
    <t>151283410014145600_1</t>
  </si>
  <si>
    <t>2025-05-06</t>
  </si>
  <si>
    <t>160259110221196224_1</t>
  </si>
  <si>
    <t>2025-05-31</t>
  </si>
  <si>
    <t>150496864336093376_1</t>
  </si>
  <si>
    <t>149765563357827712_1</t>
  </si>
  <si>
    <t>149417577399617408_1</t>
  </si>
  <si>
    <t>149457649355557952_1</t>
  </si>
  <si>
    <t>149928034148258560_1</t>
  </si>
  <si>
    <t>150177559548168064_1</t>
  </si>
  <si>
    <t>155386219117748736_1</t>
  </si>
  <si>
    <t>153460980037263872_1</t>
  </si>
  <si>
    <t>2025-05-12</t>
  </si>
  <si>
    <t>154086854458180032_1</t>
  </si>
  <si>
    <t>149855235917645696_1</t>
  </si>
  <si>
    <t>158876282938020992_1</t>
  </si>
  <si>
    <t>152805332857895232_1</t>
  </si>
  <si>
    <t>2025-05-10</t>
  </si>
  <si>
    <t>150274487328675712_1</t>
  </si>
  <si>
    <t>156401514712763136_1</t>
  </si>
  <si>
    <t>159725462200355392_1</t>
  </si>
  <si>
    <t>150893930475918080_1</t>
  </si>
  <si>
    <t>2025-05-05</t>
  </si>
  <si>
    <t>158139917136926656_1</t>
  </si>
  <si>
    <t>154281512073148672_1</t>
  </si>
  <si>
    <t>150166142661068736_1</t>
  </si>
  <si>
    <t>153495156014785152_1</t>
  </si>
  <si>
    <t>150224394068136576_1</t>
  </si>
  <si>
    <t>150434681099133443_1</t>
  </si>
  <si>
    <t>156622561822715648_1</t>
  </si>
  <si>
    <t>149545994395554563_1</t>
  </si>
  <si>
    <t>152437330115278272_1</t>
  </si>
  <si>
    <t>150223841218168704_1</t>
  </si>
  <si>
    <t>152610421730285248_1</t>
  </si>
  <si>
    <t>154447218915916032_1</t>
  </si>
  <si>
    <t>2025-05-15</t>
  </si>
  <si>
    <t>152654443043722816_1</t>
  </si>
  <si>
    <t>157131091277875968_1</t>
  </si>
  <si>
    <t>154268127889701123_1</t>
  </si>
  <si>
    <t>156008506045077632_1</t>
  </si>
  <si>
    <t>2025-05-19</t>
  </si>
  <si>
    <t>153844963480773248_1</t>
  </si>
  <si>
    <t>158265914184258690_1</t>
  </si>
  <si>
    <t>150853954447614144_1</t>
  </si>
  <si>
    <t>154990558510036416_1</t>
  </si>
  <si>
    <t>156628305482189568_1</t>
  </si>
  <si>
    <t>155254447042303680_1</t>
  </si>
  <si>
    <t>154614127917083584_1</t>
  </si>
  <si>
    <t>158568247778694272_1</t>
  </si>
  <si>
    <t>2025-05-26</t>
  </si>
  <si>
    <t>151696927729813376_1</t>
  </si>
  <si>
    <t>2025-05-07</t>
  </si>
  <si>
    <t>149516338528421824_1</t>
  </si>
  <si>
    <t>155281776045037248_1</t>
  </si>
  <si>
    <t>157012485549955072_1</t>
  </si>
  <si>
    <t>155626893927232960_1</t>
  </si>
  <si>
    <t>154787439259492864_1</t>
  </si>
  <si>
    <t>159590403329315968_1</t>
  </si>
  <si>
    <t>158816138199904000_1</t>
  </si>
  <si>
    <t>158896187464849344_1</t>
  </si>
  <si>
    <t>151689811874122816_1</t>
  </si>
  <si>
    <t>151617463808135936_1</t>
  </si>
  <si>
    <t>151956677923080128_1</t>
  </si>
  <si>
    <t>151296558288964672_1</t>
  </si>
  <si>
    <t>153315159459308160_1</t>
  </si>
  <si>
    <t>160267010561878848_1</t>
  </si>
  <si>
    <t>168048060596323648_1</t>
  </si>
  <si>
    <t>2025-06-21</t>
  </si>
  <si>
    <t>166782237520515969_1</t>
  </si>
  <si>
    <t>2025-06-18</t>
  </si>
  <si>
    <t>165371657409104960_1</t>
  </si>
  <si>
    <t>2025-06-14</t>
  </si>
  <si>
    <t>164065594508414528_1</t>
  </si>
  <si>
    <t>2025-06-10</t>
  </si>
  <si>
    <t>170848512423265600_1</t>
  </si>
  <si>
    <t>2025-06-29</t>
  </si>
  <si>
    <t>162274638608043584_1</t>
  </si>
  <si>
    <t>2025-06-06</t>
  </si>
  <si>
    <t>163256961222675968_1</t>
  </si>
  <si>
    <t>2025-06-08</t>
  </si>
  <si>
    <t>163246858706390658_1</t>
  </si>
  <si>
    <t>169506769943498177_1</t>
  </si>
  <si>
    <t>2025-06-25</t>
  </si>
  <si>
    <t>168308712904151170_1</t>
  </si>
  <si>
    <t>2025-06-22</t>
  </si>
  <si>
    <t>164779454156214464_1</t>
  </si>
  <si>
    <t>2025-06-12</t>
  </si>
  <si>
    <t>163193282883862721_1</t>
  </si>
  <si>
    <t>164690090122252416_1</t>
  </si>
  <si>
    <t>160799937750182912_1</t>
  </si>
  <si>
    <t>2025-06-01</t>
  </si>
  <si>
    <t>167859889086497920_1</t>
  </si>
  <si>
    <t>162988517862182528_1</t>
  </si>
  <si>
    <t>2025-06-07</t>
  </si>
  <si>
    <t>165683367409649600_1</t>
  </si>
  <si>
    <t>2025-06-15</t>
  </si>
  <si>
    <t>163629679784857152_1</t>
  </si>
  <si>
    <t>2025-06-09</t>
  </si>
  <si>
    <t>166917639267517632_1</t>
  </si>
  <si>
    <t>165847991570223808_1</t>
  </si>
  <si>
    <t>165793365926119361_1</t>
  </si>
  <si>
    <t>167521509829804614_1</t>
  </si>
  <si>
    <t>2025-06-20</t>
  </si>
  <si>
    <t>165470864581167936_1</t>
  </si>
  <si>
    <t>162843015298242368_1</t>
  </si>
  <si>
    <t>160567272994537920_1</t>
  </si>
  <si>
    <t>167872772222583937_1</t>
  </si>
  <si>
    <t>163171513527550145_1</t>
  </si>
  <si>
    <t>163234842719915584_1</t>
  </si>
  <si>
    <t>163105366989901440_1</t>
  </si>
  <si>
    <t>170844079998471552_1</t>
  </si>
  <si>
    <t>160566921484380928_1</t>
  </si>
  <si>
    <t>161399886058196544_1</t>
  </si>
  <si>
    <t>2025-06-03</t>
  </si>
  <si>
    <t>169032166431362496_1</t>
  </si>
  <si>
    <t>2025-06-24</t>
  </si>
  <si>
    <t>167211449413042688_1</t>
  </si>
  <si>
    <t>2025-06-19</t>
  </si>
  <si>
    <t>163171905644642496_1</t>
  </si>
  <si>
    <t>162794638481408192_1</t>
  </si>
  <si>
    <t>166942394355909760_1</t>
  </si>
  <si>
    <t>167658628155789760_1</t>
  </si>
  <si>
    <t>160823332558678528_1</t>
  </si>
  <si>
    <t>2025-06-02</t>
  </si>
  <si>
    <t>167810455485121664_1</t>
  </si>
  <si>
    <t>165382836560627648_1</t>
  </si>
  <si>
    <t>164682641032120256_1</t>
  </si>
  <si>
    <t>168078069520237894_1</t>
  </si>
  <si>
    <t>163127605687062016_1</t>
  </si>
  <si>
    <t>160626807232605184_1</t>
  </si>
  <si>
    <t>169400631906372992_1</t>
  </si>
  <si>
    <t>165471765125171008_1</t>
  </si>
  <si>
    <t>165863635626002368_1</t>
  </si>
  <si>
    <t>170756798972792256_1</t>
  </si>
  <si>
    <t>168251973286594048_1</t>
  </si>
  <si>
    <t>165775039013686336_1</t>
  </si>
  <si>
    <t>171269386018935552_1</t>
  </si>
  <si>
    <t>2025-06-30</t>
  </si>
  <si>
    <t>166049447548652352_1</t>
  </si>
  <si>
    <t>2025-06-16</t>
  </si>
  <si>
    <t>163486262006222400_1</t>
  </si>
  <si>
    <t>169349765527425152_1</t>
  </si>
  <si>
    <t>160951512309796416_1</t>
  </si>
  <si>
    <t>165508425292482496_1</t>
  </si>
  <si>
    <t>166177686853607168_1</t>
  </si>
  <si>
    <t>162414639190202176_1</t>
  </si>
  <si>
    <t>169614237655553536_1</t>
  </si>
  <si>
    <t>2025-06-26</t>
  </si>
  <si>
    <t>171195116093886592_1</t>
  </si>
  <si>
    <t>169954152685012289_1</t>
  </si>
  <si>
    <t>2025-06-27</t>
  </si>
  <si>
    <t>171265125775412672_1</t>
  </si>
  <si>
    <t>167154385890348224_1</t>
  </si>
  <si>
    <t>167238411378317440_1</t>
  </si>
  <si>
    <t>171101758981853312_1</t>
  </si>
  <si>
    <t>170743222315025728_1</t>
  </si>
  <si>
    <t>169343804141309316_1</t>
  </si>
  <si>
    <t>163360156434913092_1</t>
  </si>
  <si>
    <t>178331245187746816_1</t>
  </si>
  <si>
    <t>2025-07-20</t>
  </si>
  <si>
    <t>177314503195706816_1</t>
  </si>
  <si>
    <t>2025-07-17</t>
  </si>
  <si>
    <t>177986665518809920_1</t>
  </si>
  <si>
    <t>2025-07-19</t>
  </si>
  <si>
    <t>173752075296539968_1</t>
  </si>
  <si>
    <t>2025-07-07</t>
  </si>
  <si>
    <t>173204367212561152_1</t>
  </si>
  <si>
    <t>2025-07-06</t>
  </si>
  <si>
    <t>171635970625080832_1</t>
  </si>
  <si>
    <t>2025-07-01</t>
  </si>
  <si>
    <t>177655247706017600_1</t>
  </si>
  <si>
    <t>2025-07-18</t>
  </si>
  <si>
    <t>180731761629852480_1</t>
  </si>
  <si>
    <t>2025-07-26</t>
  </si>
  <si>
    <t>178905446035486656_1</t>
  </si>
  <si>
    <t>2025-07-21</t>
  </si>
  <si>
    <t>171997135787541312_1</t>
  </si>
  <si>
    <t>2025-07-02</t>
  </si>
  <si>
    <t>172169563222328128_1</t>
  </si>
  <si>
    <t>2025-07-03</t>
  </si>
  <si>
    <t>176658755440623808_1</t>
  </si>
  <si>
    <t>2025-07-15</t>
  </si>
  <si>
    <t>180642003800759360_1</t>
  </si>
  <si>
    <t>179278843553826179_1</t>
  </si>
  <si>
    <t>2025-07-22</t>
  </si>
  <si>
    <t>178192490892151616_1</t>
  </si>
  <si>
    <t>173614255910700032_1</t>
  </si>
  <si>
    <t>171543003508168192_1</t>
  </si>
  <si>
    <t>181674591500104512_1</t>
  </si>
  <si>
    <t>2025-07-29</t>
  </si>
  <si>
    <t>172960361018835713_1</t>
  </si>
  <si>
    <t>2025-07-05</t>
  </si>
  <si>
    <t>174457561167792384_1</t>
  </si>
  <si>
    <t>2025-07-09</t>
  </si>
  <si>
    <t>179834444609166656_1</t>
  </si>
  <si>
    <t>2025-07-24</t>
  </si>
  <si>
    <t>171603071146233344_1</t>
  </si>
  <si>
    <t>181309712045732865_1</t>
  </si>
  <si>
    <t>2025-07-28</t>
  </si>
  <si>
    <t>182375899852960576_1</t>
  </si>
  <si>
    <t>2025-07-31</t>
  </si>
  <si>
    <t>171956461764182848_1</t>
  </si>
  <si>
    <t>171985224425554048_1</t>
  </si>
  <si>
    <t>176986442115054016_1</t>
  </si>
  <si>
    <t>2025-07-16</t>
  </si>
  <si>
    <t>182491007019120768_1</t>
  </si>
  <si>
    <t>179162888015181760_1</t>
  </si>
  <si>
    <t>182533632782303936_1</t>
  </si>
  <si>
    <t>193717719068284416_1</t>
  </si>
  <si>
    <t>2025-08-31</t>
  </si>
  <si>
    <t>191602040517755968_1</t>
  </si>
  <si>
    <t>2025-08-25</t>
  </si>
  <si>
    <t>189341000141144706_1</t>
  </si>
  <si>
    <t>2025-08-19</t>
  </si>
  <si>
    <t>191042930558698563_1</t>
  </si>
  <si>
    <t>2025-08-24</t>
  </si>
  <si>
    <t>187600612837589632_1</t>
  </si>
  <si>
    <t>2025-08-14</t>
  </si>
  <si>
    <t>186770968499220608_1</t>
  </si>
  <si>
    <t>2025-08-12</t>
  </si>
  <si>
    <t>183039126525510336_1</t>
  </si>
  <si>
    <t>2025-08-02</t>
  </si>
  <si>
    <t>184983578541868096_1</t>
  </si>
  <si>
    <t>2025-08-07</t>
  </si>
  <si>
    <t>184205879913189504_1</t>
  </si>
  <si>
    <t>2025-08-05</t>
  </si>
  <si>
    <t>190718104342168256_1</t>
  </si>
  <si>
    <t>2025-08-23</t>
  </si>
  <si>
    <t>185690956216189124_1</t>
  </si>
  <si>
    <t>2025-08-09</t>
  </si>
  <si>
    <t>189250527266107520_1</t>
  </si>
  <si>
    <t>191144630480584896_1</t>
  </si>
  <si>
    <t>190796621737672899_1</t>
  </si>
  <si>
    <t>190796809945514624_1</t>
  </si>
  <si>
    <t>183218112320213120_1</t>
  </si>
  <si>
    <t>190471943622785984_1</t>
  </si>
  <si>
    <t>2025-08-22</t>
  </si>
  <si>
    <t>186878624128631491_1</t>
  </si>
  <si>
    <t>186132308008667584_1</t>
  </si>
  <si>
    <t>2025-08-10</t>
  </si>
  <si>
    <t>189238800294396099_1</t>
  </si>
  <si>
    <t>187974522841043203_1</t>
  </si>
  <si>
    <t>2025-08-15</t>
  </si>
  <si>
    <t>192444402906464003_1</t>
  </si>
  <si>
    <t>2025-08-28</t>
  </si>
  <si>
    <t>191170283221877440_1</t>
  </si>
  <si>
    <t>187437849305219776_1</t>
  </si>
  <si>
    <t>192769994638692546_1</t>
  </si>
  <si>
    <t>2025-08-29</t>
  </si>
  <si>
    <t>182707296958413056_1</t>
  </si>
  <si>
    <t>2025-08-01</t>
  </si>
  <si>
    <t>189413870200455808_1</t>
  </si>
  <si>
    <t>189691917872956032_1</t>
  </si>
  <si>
    <t>2025-08-20</t>
  </si>
  <si>
    <t>193328474524516096_1</t>
  </si>
  <si>
    <t>2025-08-30</t>
  </si>
  <si>
    <t>186181788878737664_1</t>
  </si>
  <si>
    <t>192270370841333444_1</t>
  </si>
  <si>
    <t>2025-08-27</t>
  </si>
  <si>
    <t>188597228422873280_1</t>
  </si>
  <si>
    <t>2025-08-17</t>
  </si>
  <si>
    <t>191169972582715648_1</t>
  </si>
  <si>
    <t>191793921097237120_1</t>
  </si>
  <si>
    <t>2025-08-26</t>
  </si>
  <si>
    <t>188546398412632640_1</t>
  </si>
  <si>
    <t>187488800557003330_1</t>
  </si>
  <si>
    <t>Andaman And Nicobar Islands</t>
  </si>
  <si>
    <t>Jammu And Kashmir</t>
  </si>
  <si>
    <t>Pondicherry</t>
  </si>
  <si>
    <t>Sikkim</t>
  </si>
  <si>
    <t>Total Sales</t>
  </si>
  <si>
    <t>Total Orders</t>
  </si>
  <si>
    <t>Total Orders by Status</t>
  </si>
  <si>
    <t>KPI</t>
  </si>
  <si>
    <t>Total Cancelled</t>
  </si>
  <si>
    <t>Total RTO</t>
  </si>
  <si>
    <t>Total Returned</t>
  </si>
  <si>
    <t>Total Order by GST Rates</t>
  </si>
  <si>
    <t>Total Order by HSN CODES</t>
  </si>
  <si>
    <t>Total Exchanged</t>
  </si>
  <si>
    <t>Month Wise Sales</t>
  </si>
  <si>
    <t>FILTERS</t>
  </si>
  <si>
    <t>Date_Months</t>
  </si>
  <si>
    <t>GST RATE</t>
  </si>
  <si>
    <t>HSN CODE</t>
  </si>
  <si>
    <t>Row Labels</t>
  </si>
  <si>
    <t>Grand Total</t>
  </si>
  <si>
    <t>Sum of total_invoice_value</t>
  </si>
  <si>
    <t>Order by Status</t>
  </si>
  <si>
    <t>Total Sale State Wise</t>
  </si>
  <si>
    <t>Month</t>
  </si>
  <si>
    <t>Sum of tax_amount</t>
  </si>
  <si>
    <t>Average of total_invoice_value</t>
  </si>
  <si>
    <t>Jan</t>
  </si>
  <si>
    <t>Feb</t>
  </si>
  <si>
    <t>Mar</t>
  </si>
  <si>
    <t>Apr</t>
  </si>
  <si>
    <t>May</t>
  </si>
  <si>
    <t>Jun</t>
  </si>
  <si>
    <t>Jul</t>
  </si>
  <si>
    <t>Aug</t>
  </si>
  <si>
    <t>Sep</t>
  </si>
  <si>
    <t>Oct</t>
  </si>
  <si>
    <t>Nov</t>
  </si>
  <si>
    <t>Dec</t>
  </si>
  <si>
    <t>Count of total_invoice_value</t>
  </si>
  <si>
    <t>Average Price of Order</t>
  </si>
  <si>
    <t>Seneohl Annual Sales Report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</si>
</sst>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F800]dddd\,\ mmmm\ dd\,\ yyyy"/>
    <numFmt numFmtId="166" formatCode="_(* #,##0_);_(* \(#,##0\);_(* &quot;-&quot;??_);_(@_)"/>
  </numFmts>
  <fonts count="14" x14ac:knownFonts="1">
    <font>
      <sz val="11"/>
      <color theme="1"/>
      <name val="Calibri"/>
      <family val="2"/>
      <scheme val="minor"/>
    </font>
    <font>
      <b/>
      <sz val="11"/>
      <color theme="1"/>
      <name val="Calibri"/>
      <family val="2"/>
      <scheme val="minor"/>
    </font>
    <font>
      <b/>
      <sz val="11"/>
      <color indexed="8"/>
      <name val="Calibri"/>
      <family val="2"/>
      <scheme val="minor"/>
    </font>
    <font>
      <b/>
      <sz val="10"/>
      <color indexed="8"/>
      <name val="Calibri"/>
      <family val="2"/>
      <scheme val="minor"/>
    </font>
    <font>
      <sz val="11"/>
      <color indexed="8"/>
      <name val="Calibri"/>
      <family val="2"/>
      <scheme val="minor"/>
    </font>
    <font>
      <sz val="11"/>
      <color theme="1"/>
      <name val="Calibri"/>
      <family val="2"/>
      <scheme val="minor"/>
    </font>
    <font>
      <sz val="28"/>
      <color theme="0"/>
      <name val="Calibri"/>
      <family val="2"/>
      <scheme val="minor"/>
    </font>
    <font>
      <sz val="24"/>
      <color theme="0"/>
      <name val="Calibri"/>
      <family val="2"/>
      <scheme val="minor"/>
    </font>
    <font>
      <sz val="12"/>
      <color theme="1"/>
      <name val="Calibri"/>
      <family val="2"/>
      <scheme val="minor"/>
    </font>
    <font>
      <sz val="36"/>
      <color theme="1"/>
      <name val="Calibri"/>
      <family val="2"/>
      <scheme val="minor"/>
    </font>
    <font>
      <sz val="36"/>
      <color rgb="FF00B050"/>
      <name val="Calibri"/>
      <family val="2"/>
      <scheme val="minor"/>
    </font>
    <font>
      <sz val="36"/>
      <color theme="8" tint="-0.249977111117893"/>
      <name val="Calibri"/>
      <family val="2"/>
      <scheme val="minor"/>
    </font>
    <font>
      <sz val="36"/>
      <color rgb="FFFF0000"/>
      <name val="Calibri"/>
      <family val="2"/>
      <scheme val="minor"/>
    </font>
    <font>
      <sz val="36"/>
      <color theme="7" tint="-0.249977111117893"/>
      <name val="Calibri"/>
      <family val="2"/>
      <scheme val="minor"/>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8"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thin">
        <color indexed="64"/>
      </right>
      <top/>
      <bottom/>
      <diagonal/>
    </border>
  </borders>
  <cellStyleXfs count="2">
    <xf numFmtId="0" fontId="0" fillId="0" borderId="0"/>
    <xf numFmtId="43" fontId="5" fillId="0" borderId="0" applyFont="0" applyFill="0" applyBorder="0" applyAlignment="0" applyProtection="0"/>
  </cellStyleXfs>
  <cellXfs count="81">
    <xf numFmtId="0" fontId="0" fillId="0" borderId="0" xfId="0"/>
    <xf numFmtId="0" fontId="1" fillId="0" borderId="1" xfId="0" applyFont="1" applyBorder="1" applyAlignment="1">
      <alignment horizontal="center" wrapText="1"/>
    </xf>
    <xf numFmtId="0" fontId="0" fillId="0" borderId="0" xfId="0" applyAlignment="1">
      <alignment horizontal="center" wrapText="1"/>
    </xf>
    <xf numFmtId="0" fontId="0" fillId="0" borderId="0" xfId="0" applyAlignment="1">
      <alignment horizontal="center"/>
    </xf>
    <xf numFmtId="164" fontId="0" fillId="0" borderId="0" xfId="0" applyNumberFormat="1" applyAlignment="1">
      <alignment horizontal="center"/>
    </xf>
    <xf numFmtId="1" fontId="1" fillId="0" borderId="1" xfId="0" applyNumberFormat="1" applyFont="1" applyBorder="1" applyAlignment="1">
      <alignment horizontal="center" wrapText="1"/>
    </xf>
    <xf numFmtId="1" fontId="0" fillId="0" borderId="0" xfId="0" applyNumberFormat="1" applyAlignment="1">
      <alignment horizontal="center"/>
    </xf>
    <xf numFmtId="0" fontId="2" fillId="0" borderId="1" xfId="0" applyFont="1" applyBorder="1" applyAlignment="1">
      <alignment horizontal="center" wrapText="1"/>
    </xf>
    <xf numFmtId="164" fontId="2" fillId="0" borderId="1" xfId="0" applyNumberFormat="1" applyFont="1" applyBorder="1" applyAlignment="1">
      <alignment horizontal="center" wrapText="1"/>
    </xf>
    <xf numFmtId="1" fontId="2" fillId="0" borderId="1" xfId="0" applyNumberFormat="1" applyFont="1" applyBorder="1" applyAlignment="1">
      <alignment horizontal="center" wrapText="1"/>
    </xf>
    <xf numFmtId="0" fontId="2" fillId="0" borderId="0" xfId="0" applyFont="1" applyAlignment="1">
      <alignment wrapText="1"/>
    </xf>
    <xf numFmtId="0" fontId="4" fillId="0" borderId="0" xfId="0" applyFont="1" applyAlignment="1">
      <alignment horizontal="center"/>
    </xf>
    <xf numFmtId="164" fontId="4" fillId="0" borderId="0" xfId="0" applyNumberFormat="1" applyFont="1" applyAlignment="1">
      <alignment horizontal="center"/>
    </xf>
    <xf numFmtId="1" fontId="4" fillId="0" borderId="0" xfId="0" applyNumberFormat="1" applyFont="1" applyAlignment="1">
      <alignment horizontal="center"/>
    </xf>
    <xf numFmtId="2" fontId="4" fillId="0" borderId="0" xfId="0" applyNumberFormat="1" applyFont="1" applyAlignment="1">
      <alignment horizontal="center"/>
    </xf>
    <xf numFmtId="0" fontId="4" fillId="0" borderId="0" xfId="0" applyFont="1"/>
    <xf numFmtId="0" fontId="3" fillId="0" borderId="1" xfId="0" applyFont="1" applyBorder="1" applyAlignment="1">
      <alignment horizontal="center"/>
    </xf>
    <xf numFmtId="164" fontId="3" fillId="0" borderId="1" xfId="0" applyNumberFormat="1" applyFont="1" applyBorder="1" applyAlignment="1">
      <alignment horizontal="center"/>
    </xf>
    <xf numFmtId="1" fontId="3" fillId="0" borderId="1" xfId="0" applyNumberFormat="1" applyFont="1" applyBorder="1" applyAlignment="1">
      <alignment horizontal="center"/>
    </xf>
    <xf numFmtId="2" fontId="3" fillId="0" borderId="1" xfId="0" applyNumberFormat="1" applyFont="1" applyBorder="1" applyAlignment="1">
      <alignment horizontal="center"/>
    </xf>
    <xf numFmtId="14" fontId="4" fillId="0" borderId="0" xfId="0" applyNumberFormat="1" applyFont="1" applyAlignment="1">
      <alignment horizontal="center"/>
    </xf>
    <xf numFmtId="2" fontId="1" fillId="0" borderId="1" xfId="0" applyNumberFormat="1" applyFont="1" applyBorder="1" applyAlignment="1">
      <alignment horizontal="center" wrapText="1"/>
    </xf>
    <xf numFmtId="2" fontId="0" fillId="0" borderId="0" xfId="0" applyNumberFormat="1" applyAlignment="1">
      <alignment horizontal="center"/>
    </xf>
    <xf numFmtId="14" fontId="1" fillId="0" borderId="1" xfId="0" applyNumberFormat="1" applyFont="1" applyBorder="1" applyAlignment="1">
      <alignment horizontal="center" wrapText="1"/>
    </xf>
    <xf numFmtId="14" fontId="0" fillId="0" borderId="0" xfId="0" applyNumberFormat="1" applyAlignment="1">
      <alignment horizontal="center"/>
    </xf>
    <xf numFmtId="164" fontId="1" fillId="0" borderId="1" xfId="0" applyNumberFormat="1" applyFont="1" applyBorder="1" applyAlignment="1">
      <alignment horizontal="center" wrapText="1"/>
    </xf>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165" fontId="4" fillId="0" borderId="0" xfId="0" applyNumberFormat="1" applyFont="1" applyAlignment="1">
      <alignment horizontal="center"/>
    </xf>
    <xf numFmtId="165" fontId="0" fillId="0" borderId="0" xfId="0" applyNumberFormat="1" applyAlignment="1">
      <alignment horizontal="center"/>
    </xf>
    <xf numFmtId="0" fontId="4" fillId="0" borderId="0" xfId="0" quotePrefix="1" applyFont="1" applyAlignment="1">
      <alignment horizontal="center"/>
    </xf>
    <xf numFmtId="0" fontId="0" fillId="2" borderId="0" xfId="0" applyFill="1"/>
    <xf numFmtId="1" fontId="0" fillId="0" borderId="0" xfId="0" applyNumberFormat="1" applyAlignment="1">
      <alignment horizontal="left"/>
    </xf>
    <xf numFmtId="0" fontId="6" fillId="2" borderId="0" xfId="0" applyFont="1" applyFill="1" applyAlignment="1">
      <alignment horizontal="center" vertical="center"/>
    </xf>
    <xf numFmtId="0" fontId="9" fillId="2" borderId="0" xfId="0" applyFont="1" applyFill="1"/>
    <xf numFmtId="0" fontId="0" fillId="2" borderId="2" xfId="0" applyFill="1" applyBorder="1"/>
    <xf numFmtId="0" fontId="0" fillId="2" borderId="3" xfId="0" applyFill="1" applyBorder="1"/>
    <xf numFmtId="0" fontId="0" fillId="2" borderId="4" xfId="0" applyFill="1" applyBorder="1"/>
    <xf numFmtId="0" fontId="0" fillId="2" borderId="8" xfId="0" applyFill="1" applyBorder="1"/>
    <xf numFmtId="0" fontId="0" fillId="2" borderId="17" xfId="0" applyFill="1" applyBorder="1"/>
    <xf numFmtId="0" fontId="0" fillId="2" borderId="5" xfId="0" applyFill="1" applyBorder="1"/>
    <xf numFmtId="0" fontId="0" fillId="2" borderId="6" xfId="0" applyFill="1" applyBorder="1"/>
    <xf numFmtId="0" fontId="0" fillId="2" borderId="7" xfId="0" applyFill="1" applyBorder="1"/>
    <xf numFmtId="0" fontId="6" fillId="2" borderId="17" xfId="0" applyFont="1" applyFill="1" applyBorder="1" applyAlignment="1">
      <alignment horizontal="center" vertical="center"/>
    </xf>
    <xf numFmtId="166" fontId="10" fillId="4" borderId="15" xfId="1" applyNumberFormat="1" applyFont="1" applyFill="1" applyBorder="1" applyAlignment="1">
      <alignment horizontal="center"/>
    </xf>
    <xf numFmtId="166" fontId="10" fillId="4" borderId="0" xfId="1" applyNumberFormat="1" applyFont="1" applyFill="1" applyBorder="1" applyAlignment="1">
      <alignment horizontal="center"/>
    </xf>
    <xf numFmtId="166" fontId="10" fillId="4" borderId="16" xfId="1" applyNumberFormat="1" applyFont="1" applyFill="1" applyBorder="1" applyAlignment="1">
      <alignment horizontal="center"/>
    </xf>
    <xf numFmtId="166" fontId="10" fillId="4" borderId="12" xfId="1" applyNumberFormat="1" applyFont="1" applyFill="1" applyBorder="1" applyAlignment="1">
      <alignment horizontal="center"/>
    </xf>
    <xf numFmtId="166" fontId="10" fillId="4" borderId="13" xfId="1" applyNumberFormat="1" applyFont="1" applyFill="1" applyBorder="1" applyAlignment="1">
      <alignment horizontal="center"/>
    </xf>
    <xf numFmtId="166" fontId="10" fillId="4" borderId="14" xfId="1" applyNumberFormat="1" applyFont="1" applyFill="1" applyBorder="1" applyAlignment="1">
      <alignment horizontal="center"/>
    </xf>
    <xf numFmtId="0" fontId="8" fillId="4" borderId="9" xfId="0" applyFont="1" applyFill="1" applyBorder="1" applyAlignment="1">
      <alignment horizontal="center"/>
    </xf>
    <xf numFmtId="0" fontId="8" fillId="4" borderId="10" xfId="0" applyFont="1" applyFill="1" applyBorder="1" applyAlignment="1">
      <alignment horizontal="center"/>
    </xf>
    <xf numFmtId="0" fontId="8" fillId="4" borderId="11" xfId="0" applyFont="1" applyFill="1" applyBorder="1" applyAlignment="1">
      <alignment horizontal="center"/>
    </xf>
    <xf numFmtId="0" fontId="11" fillId="4" borderId="15" xfId="0" applyFont="1" applyFill="1" applyBorder="1" applyAlignment="1">
      <alignment horizontal="right"/>
    </xf>
    <xf numFmtId="0" fontId="11" fillId="4" borderId="0" xfId="0" applyFont="1" applyFill="1" applyAlignment="1">
      <alignment horizontal="right"/>
    </xf>
    <xf numFmtId="0" fontId="11" fillId="4" borderId="16" xfId="0" applyFont="1" applyFill="1" applyBorder="1" applyAlignment="1">
      <alignment horizontal="right"/>
    </xf>
    <xf numFmtId="0" fontId="11" fillId="4" borderId="12" xfId="0" applyFont="1" applyFill="1" applyBorder="1" applyAlignment="1">
      <alignment horizontal="right"/>
    </xf>
    <xf numFmtId="0" fontId="11" fillId="4" borderId="13" xfId="0" applyFont="1" applyFill="1" applyBorder="1" applyAlignment="1">
      <alignment horizontal="right"/>
    </xf>
    <xf numFmtId="0" fontId="11" fillId="4" borderId="14" xfId="0" applyFont="1" applyFill="1" applyBorder="1" applyAlignment="1">
      <alignment horizontal="right"/>
    </xf>
    <xf numFmtId="0" fontId="0" fillId="2" borderId="0" xfId="0" applyFill="1" applyAlignment="1">
      <alignment horizontal="left" vertical="top"/>
    </xf>
    <xf numFmtId="0" fontId="7" fillId="3" borderId="9" xfId="0" applyFont="1" applyFill="1" applyBorder="1" applyAlignment="1">
      <alignment horizontal="center" vertical="center"/>
    </xf>
    <xf numFmtId="0" fontId="7" fillId="3" borderId="10"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13" xfId="0" applyFont="1" applyFill="1" applyBorder="1" applyAlignment="1">
      <alignment horizontal="center" vertical="center"/>
    </xf>
    <xf numFmtId="0" fontId="7" fillId="3" borderId="14" xfId="0" applyFont="1" applyFill="1" applyBorder="1" applyAlignment="1">
      <alignment horizontal="center" vertical="center"/>
    </xf>
    <xf numFmtId="0" fontId="1" fillId="2" borderId="0" xfId="0" applyFont="1" applyFill="1" applyAlignment="1">
      <alignment horizontal="center"/>
    </xf>
    <xf numFmtId="1" fontId="13" fillId="4" borderId="15" xfId="0" applyNumberFormat="1" applyFont="1" applyFill="1" applyBorder="1" applyAlignment="1">
      <alignment horizontal="right"/>
    </xf>
    <xf numFmtId="1" fontId="13" fillId="4" borderId="0" xfId="0" applyNumberFormat="1" applyFont="1" applyFill="1" applyAlignment="1">
      <alignment horizontal="right"/>
    </xf>
    <xf numFmtId="1" fontId="13" fillId="4" borderId="16" xfId="0" applyNumberFormat="1" applyFont="1" applyFill="1" applyBorder="1" applyAlignment="1">
      <alignment horizontal="right"/>
    </xf>
    <xf numFmtId="1" fontId="13" fillId="4" borderId="12" xfId="0" applyNumberFormat="1" applyFont="1" applyFill="1" applyBorder="1" applyAlignment="1">
      <alignment horizontal="right"/>
    </xf>
    <xf numFmtId="1" fontId="13" fillId="4" borderId="13" xfId="0" applyNumberFormat="1" applyFont="1" applyFill="1" applyBorder="1" applyAlignment="1">
      <alignment horizontal="right"/>
    </xf>
    <xf numFmtId="1" fontId="13" fillId="4" borderId="14" xfId="0" applyNumberFormat="1" applyFont="1" applyFill="1" applyBorder="1" applyAlignment="1">
      <alignment horizontal="right"/>
    </xf>
    <xf numFmtId="0" fontId="12" fillId="4" borderId="15" xfId="0" applyFont="1" applyFill="1" applyBorder="1" applyAlignment="1">
      <alignment horizontal="center"/>
    </xf>
    <xf numFmtId="0" fontId="12" fillId="4" borderId="0" xfId="0" applyFont="1" applyFill="1" applyAlignment="1">
      <alignment horizontal="center"/>
    </xf>
    <xf numFmtId="0" fontId="12" fillId="4" borderId="16" xfId="0" applyFont="1" applyFill="1" applyBorder="1" applyAlignment="1">
      <alignment horizontal="center"/>
    </xf>
    <xf numFmtId="0" fontId="12" fillId="4" borderId="12" xfId="0" applyFont="1" applyFill="1" applyBorder="1" applyAlignment="1">
      <alignment horizontal="center"/>
    </xf>
    <xf numFmtId="0" fontId="12" fillId="4" borderId="13" xfId="0" applyFont="1" applyFill="1" applyBorder="1" applyAlignment="1">
      <alignment horizontal="center"/>
    </xf>
    <xf numFmtId="0" fontId="12" fillId="4" borderId="14" xfId="0" applyFont="1" applyFill="1" applyBorder="1" applyAlignment="1">
      <alignment horizontal="center"/>
    </xf>
  </cellXfs>
  <cellStyles count="2">
    <cellStyle name="Comma" xfId="1" builtinId="3"/>
    <cellStyle name="Normal" xfId="0" builtinId="0"/>
  </cellStyles>
  <dxfs count="5">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07/relationships/slicerCache" Target="slicerCaches/slicerCache9.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4.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8.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7.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6.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[meesho_sale_report.xlsx]Order by Status!PivotTable1</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'Order by Status'!$B$3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B62-4EA1-AE4C-5EB41E5CAAA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B62-4EA1-AE4C-5EB41E5CAAA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B62-4EA1-AE4C-5EB41E5CAAA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B62-4EA1-AE4C-5EB41E5CAAA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B62-4EA1-AE4C-5EB41E5CAAA3}"/>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6B62-4EA1-AE4C-5EB41E5CAAA3}"/>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6B62-4EA1-AE4C-5EB41E5CAA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'Order by Status'!$A$4:$A$11</c:f>
              <c:strCache>
                <c:ptCount val="7"/>
                <c:pt idx="0">
                  <c:v>Cancelled</c:v>
                </c:pt>
                <c:pt idx="1">
                  <c:v>Delivered</c:v>
                </c:pt>
                <c:pt idx="2">
                  <c:v>Exchange</c:v>
                </c:pt>
                <c:pt idx="3">
                  <c:v>Ordered</c:v>
                </c:pt>
                <c:pt idx="4">
                  <c:v>Return</c:v>
                </c:pt>
                <c:pt idx="5">
                  <c:v>rto</c:v>
                </c:pt>
                <c:pt idx="6">
                  <c:v>Shipped</c:v>
                </c:pt>
              </c:strCache>
            </c:strRef>
          </c:cat>
          <c:val>
            <c:numRef>
              <c:f>'Order by Status'!$B$4:$B$11</c:f>
              <c:numCache>
                <c:formatCode>General</c:formatCode>
                <c:ptCount val="7"/>
                <c:pt idx="0">
                  <c:v>56746.745157384947</c:v>
                </c:pt>
                <c:pt idx="1">
                  <c:v>115134.46418580569</c:v>
                </c:pt>
                <c:pt idx="2">
                  <c:v>4956.7621359223194</c:v>
                </c:pt>
                <c:pt idx="3">
                  <c:v>7986.4202496532489</c:v>
                </c:pt>
                <c:pt idx="4">
                  <c:v>14186.009708737838</c:v>
                </c:pt>
                <c:pt idx="5">
                  <c:v>23571.57086438324</c:v>
                </c:pt>
                <c:pt idx="6">
                  <c:v>38395.64995651046</c:v>
                </c:pt>
              </c:numCache>
            </c:numRef>
          </c:val>
          <c:extLst>
            <c:ext xmlns:c16="http://schemas.microsoft.com/office/drawing/2014/chart" uri="{C3380CC4-5D6E-409C-BE32-E72D297353CC}">
              <c16:uniqueId val="{00000000-245F-4CAB-966C-12B3A9DE48D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[meesho_sale_report.xlsx]State-Wise !PivotTable2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'State-Wise '!$B$3</c:f>
              <c:strCache>
                <c:ptCount val="1"/>
                <c:pt idx="0">
                  <c:v>Total</c:v>
                </c:pt>
              </c:strCache>
            </c:strRef>
          </c:tx>
          <c:spPr>
            <a:solidFill>
              <a:schemeClr val="accent1"/>
            </a:solidFill>
            <a:ln>
              <a:noFill/>
            </a:ln>
            <a:effectLst/>
          </c:spPr>
          <c:invertIfNegative val="0"/>
          <c:cat>
            <c:strRef>
              <c:f>'State-Wise '!$A$4:$A$36</c:f>
              <c:strCache>
                <c:ptCount val="32"/>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&amp; Kashmir</c:v>
                </c:pt>
                <c:pt idx="13">
                  <c:v>Jammu And Kashmir</c:v>
                </c:pt>
                <c:pt idx="14">
                  <c:v>Jharkhand</c:v>
                </c:pt>
                <c:pt idx="15">
                  <c:v>Karnataka</c:v>
                </c:pt>
                <c:pt idx="16">
                  <c:v>Kerala</c:v>
                </c:pt>
                <c:pt idx="17">
                  <c:v>Madhya Pradesh</c:v>
                </c:pt>
                <c:pt idx="18">
                  <c:v>Maharashtra</c:v>
                </c:pt>
                <c:pt idx="19">
                  <c:v>Meghalaya</c:v>
                </c:pt>
                <c:pt idx="20">
                  <c:v>Nagaland</c:v>
                </c:pt>
                <c:pt idx="21">
                  <c:v>Odisha</c:v>
                </c:pt>
                <c:pt idx="22">
                  <c:v>Pondicherry</c:v>
                </c:pt>
                <c:pt idx="23">
                  <c:v>Punjab</c:v>
                </c:pt>
                <c:pt idx="24">
                  <c:v>Rajasthan</c:v>
                </c:pt>
                <c:pt idx="25">
                  <c:v>Sikkim</c:v>
                </c:pt>
                <c:pt idx="26">
                  <c:v>Tamil Nadu</c:v>
                </c:pt>
                <c:pt idx="27">
                  <c:v>Telangana</c:v>
                </c:pt>
                <c:pt idx="28">
                  <c:v>Tripura</c:v>
                </c:pt>
                <c:pt idx="29">
                  <c:v>Uttar Pradesh</c:v>
                </c:pt>
                <c:pt idx="30">
                  <c:v>Uttarakhand</c:v>
                </c:pt>
                <c:pt idx="31">
                  <c:v>West Bengal</c:v>
                </c:pt>
              </c:strCache>
            </c:strRef>
          </c:cat>
          <c:val>
            <c:numRef>
              <c:f>'State-Wise '!$B$4:$B$36</c:f>
              <c:numCache>
                <c:formatCode>0</c:formatCode>
                <c:ptCount val="32"/>
                <c:pt idx="0">
                  <c:v>171</c:v>
                </c:pt>
                <c:pt idx="1">
                  <c:v>4808.9999999999945</c:v>
                </c:pt>
                <c:pt idx="2">
                  <c:v>245.9999999999998</c:v>
                </c:pt>
                <c:pt idx="3">
                  <c:v>1543.7499999999977</c:v>
                </c:pt>
                <c:pt idx="4">
                  <c:v>12562.251386962536</c:v>
                </c:pt>
                <c:pt idx="5">
                  <c:v>150.26213592233006</c:v>
                </c:pt>
                <c:pt idx="6">
                  <c:v>2894.5145631067908</c:v>
                </c:pt>
                <c:pt idx="7">
                  <c:v>4730.2074684407171</c:v>
                </c:pt>
                <c:pt idx="8">
                  <c:v>200.9999999999992</c:v>
                </c:pt>
                <c:pt idx="9">
                  <c:v>3491.1067961164981</c:v>
                </c:pt>
                <c:pt idx="10">
                  <c:v>4070.9164355062321</c:v>
                </c:pt>
                <c:pt idx="11">
                  <c:v>862.7149791955602</c:v>
                </c:pt>
                <c:pt idx="12">
                  <c:v>328.1186440677958</c:v>
                </c:pt>
                <c:pt idx="13">
                  <c:v>334</c:v>
                </c:pt>
                <c:pt idx="14">
                  <c:v>4062.3398058252355</c:v>
                </c:pt>
                <c:pt idx="15">
                  <c:v>5976.1581137309204</c:v>
                </c:pt>
                <c:pt idx="16">
                  <c:v>1318.1182385575562</c:v>
                </c:pt>
                <c:pt idx="17">
                  <c:v>5616.9999999999909</c:v>
                </c:pt>
                <c:pt idx="18">
                  <c:v>8608.6327017560197</c:v>
                </c:pt>
                <c:pt idx="19">
                  <c:v>189.99999999999926</c:v>
                </c:pt>
                <c:pt idx="20">
                  <c:v>182.9999999999998</c:v>
                </c:pt>
                <c:pt idx="21">
                  <c:v>3476.6601941747508</c:v>
                </c:pt>
                <c:pt idx="22">
                  <c:v>159</c:v>
                </c:pt>
                <c:pt idx="23">
                  <c:v>3945.7260102494129</c:v>
                </c:pt>
                <c:pt idx="24">
                  <c:v>6098.9980253414369</c:v>
                </c:pt>
                <c:pt idx="25">
                  <c:v>212</c:v>
                </c:pt>
                <c:pt idx="26">
                  <c:v>3369.5533980582472</c:v>
                </c:pt>
                <c:pt idx="27">
                  <c:v>4199.0679611650421</c:v>
                </c:pt>
                <c:pt idx="28">
                  <c:v>565.99999999999852</c:v>
                </c:pt>
                <c:pt idx="29">
                  <c:v>25694.472025670533</c:v>
                </c:pt>
                <c:pt idx="30">
                  <c:v>1607.5991678224668</c:v>
                </c:pt>
                <c:pt idx="31">
                  <c:v>3455.2961341357282</c:v>
                </c:pt>
              </c:numCache>
            </c:numRef>
          </c:val>
          <c:extLst>
            <c:ext xmlns:c16="http://schemas.microsoft.com/office/drawing/2014/chart" uri="{C3380CC4-5D6E-409C-BE32-E72D297353CC}">
              <c16:uniqueId val="{00000000-F869-49D8-A0BA-AA1EFE594E59}"/>
            </c:ext>
          </c:extLst>
        </c:ser>
        <c:dLbls>
          <c:showLegendKey val="0"/>
          <c:showVal val="0"/>
          <c:showCatName val="0"/>
          <c:showSerName val="0"/>
          <c:showPercent val="0"/>
          <c:showBubbleSize val="0"/>
        </c:dLbls>
        <c:gapWidth val="219"/>
        <c:overlap val="-27"/>
        <c:axId val="1825073888"/>
        <c:axId val="1825082528"/>
      </c:barChart>
      <c:catAx>
        <c:axId val="182507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082528"/>
        <c:crosses val="autoZero"/>
        <c:auto val="1"/>
        <c:lblAlgn val="ctr"/>
        <c:lblOffset val="100"/>
        <c:noMultiLvlLbl val="0"/>
      </c:catAx>
      <c:valAx>
        <c:axId val="18250825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07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[meesho_sale_report.xlsx]By HSN!PivotTable3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'By HSN'!$B$3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'By HSN'!$A$4:$A$8</c:f>
              <c:strCache>
                <c:ptCount val="4"/>
                <c:pt idx="0">
                  <c:v>7117</c:v>
                </c:pt>
                <c:pt idx="1">
                  <c:v>330410</c:v>
                </c:pt>
                <c:pt idx="2">
                  <c:v>340600</c:v>
                </c:pt>
                <c:pt idx="3">
                  <c:v>711790</c:v>
                </c:pt>
              </c:strCache>
            </c:strRef>
          </c:cat>
          <c:val>
            <c:numRef>
              <c:f>'By HSN'!$B$4:$B$8</c:f>
              <c:numCache>
                <c:formatCode>0</c:formatCode>
                <c:ptCount val="4"/>
                <c:pt idx="0">
                  <c:v>4584.7658384071092</c:v>
                </c:pt>
                <c:pt idx="1">
                  <c:v>432</c:v>
                </c:pt>
                <c:pt idx="2">
                  <c:v>747.96428571428396</c:v>
                </c:pt>
                <c:pt idx="3">
                  <c:v>287.81385317003156</c:v>
                </c:pt>
              </c:numCache>
            </c:numRef>
          </c:val>
          <c:extLst>
            <c:ext xmlns:c16="http://schemas.microsoft.com/office/drawing/2014/chart" uri="{C3380CC4-5D6E-409C-BE32-E72D297353CC}">
              <c16:uniqueId val="{00000000-BAD3-41EE-9838-DAB06EFA91F8}"/>
            </c:ext>
          </c:extLst>
        </c:ser>
        <c:dLbls>
          <c:showLegendKey val="0"/>
          <c:showVal val="0"/>
          <c:showCatName val="0"/>
          <c:showSerName val="0"/>
          <c:showPercent val="0"/>
          <c:showBubbleSize val="0"/>
        </c:dLbls>
        <c:axId val="535324240"/>
        <c:axId val="535346320"/>
      </c:areaChart>
      <c:catAx>
        <c:axId val="53532424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346320"/>
        <c:crosses val="autoZero"/>
        <c:auto val="1"/>
        <c:lblAlgn val="ctr"/>
        <c:lblOffset val="100"/>
        <c:noMultiLvlLbl val="0"/>
      </c:catAx>
      <c:valAx>
        <c:axId val="53534632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3242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[meesho_sale_report.xlsx]by GST!PivotTable4</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'by GST'!$B$3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'by GST'!$A$4:$A$7</c:f>
              <c:strCache>
                <c:ptCount val="3"/>
                <c:pt idx="0">
                  <c:v>3</c:v>
                </c:pt>
                <c:pt idx="1">
                  <c:v>12</c:v>
                </c:pt>
                <c:pt idx="2">
                  <c:v>18</c:v>
                </c:pt>
              </c:strCache>
            </c:strRef>
          </c:cat>
          <c:val>
            <c:numRef>
              <c:f>'by GST'!$B$4:$B$7</c:f>
              <c:numCache>
                <c:formatCode>0</c:formatCode>
                <c:ptCount val="3"/>
                <c:pt idx="0">
                  <c:v>166.84915245342373</c:v>
                </c:pt>
                <c:pt idx="1">
                  <c:v>184.47222222222177</c:v>
                </c:pt>
                <c:pt idx="2">
                  <c:v>171.77595338983031</c:v>
                </c:pt>
              </c:numCache>
            </c:numRef>
          </c:val>
          <c:extLst>
            <c:ext xmlns:c16="http://schemas.microsoft.com/office/drawing/2014/chart" uri="{C3380CC4-5D6E-409C-BE32-E72D297353CC}">
              <c16:uniqueId val="{00000000-B6B7-4F52-B19C-8A1083D01C05}"/>
            </c:ext>
          </c:extLst>
        </c:ser>
        <c:dLbls>
          <c:showLegendKey val="0"/>
          <c:showVal val="0"/>
          <c:showCatName val="0"/>
          <c:showSerName val="0"/>
          <c:showPercent val="0"/>
          <c:showBubbleSize val="0"/>
        </c:dLbls>
        <c:gapWidth val="182"/>
        <c:overlap val="-50"/>
        <c:axId val="535293520"/>
        <c:axId val="535301200"/>
      </c:barChart>
      <c:valAx>
        <c:axId val="53530120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5293520"/>
        <c:crosses val="autoZero"/>
        <c:crossBetween val="between"/>
      </c:valAx>
      <c:catAx>
        <c:axId val="53529352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53012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[meesho_sale_report.xlsx]by Month!PivotTable1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'by Month'!$B$3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'by Month'!$A$4:$A$16</c:f>
              <c:strCache>
                <c:ptCount val="12"/>
                <c:pt idx="0">
                  <c:v>Sep</c:v>
                </c:pt>
                <c:pt idx="1">
                  <c:v>Oct</c:v>
                </c:pt>
                <c:pt idx="2">
                  <c:v>Nov</c:v>
                </c:pt>
                <c:pt idx="3">
                  <c:v>Dec</c:v>
                </c:pt>
                <c:pt idx="4">
                  <c:v>Jan</c:v>
                </c:pt>
                <c:pt idx="5">
                  <c:v>Feb</c:v>
                </c:pt>
                <c:pt idx="6">
                  <c:v>Mar</c:v>
                </c:pt>
                <c:pt idx="7">
                  <c:v>Apr</c:v>
                </c:pt>
                <c:pt idx="8">
                  <c:v>May</c:v>
                </c:pt>
                <c:pt idx="9">
                  <c:v>Jun</c:v>
                </c:pt>
                <c:pt idx="10">
                  <c:v>Jul</c:v>
                </c:pt>
                <c:pt idx="11">
                  <c:v>Aug</c:v>
                </c:pt>
              </c:strCache>
            </c:strRef>
          </c:cat>
          <c:val>
            <c:numRef>
              <c:f>'by Month'!$B$4:$B$16</c:f>
              <c:numCache>
                <c:formatCode>General</c:formatCode>
                <c:ptCount val="12"/>
                <c:pt idx="0">
                  <c:v>1531.4729307223906</c:v>
                </c:pt>
                <c:pt idx="1">
                  <c:v>12754.659007028817</c:v>
                </c:pt>
                <c:pt idx="2">
                  <c:v>19514.987058934101</c:v>
                </c:pt>
                <c:pt idx="3">
                  <c:v>19598.592233009669</c:v>
                </c:pt>
                <c:pt idx="4">
                  <c:v>21707.313453536713</c:v>
                </c:pt>
                <c:pt idx="5">
                  <c:v>23221.271844660158</c:v>
                </c:pt>
                <c:pt idx="6">
                  <c:v>18589</c:v>
                </c:pt>
                <c:pt idx="7">
                  <c:v>23180</c:v>
                </c:pt>
                <c:pt idx="8">
                  <c:v>11128</c:v>
                </c:pt>
                <c:pt idx="9">
                  <c:v>8371</c:v>
                </c:pt>
                <c:pt idx="10">
                  <c:v>3135</c:v>
                </c:pt>
                <c:pt idx="11">
                  <c:v>3742</c:v>
                </c:pt>
              </c:numCache>
            </c:numRef>
          </c:val>
          <c:smooth val="0"/>
          <c:extLst>
            <c:ext xmlns:c16="http://schemas.microsoft.com/office/drawing/2014/chart" uri="{C3380CC4-5D6E-409C-BE32-E72D297353CC}">
              <c16:uniqueId val="{00000000-CE5D-4B4A-86CD-5E626EEA6FC4}"/>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78568479"/>
        <c:axId val="378580479"/>
      </c:lineChart>
      <c:catAx>
        <c:axId val="37856847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78580479"/>
        <c:crosses val="autoZero"/>
        <c:auto val="1"/>
        <c:lblAlgn val="ctr"/>
        <c:lblOffset val="100"/>
        <c:noMultiLvlLbl val="0"/>
      </c:catAx>
      <c:valAx>
        <c:axId val="378580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7856847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[meesho_sale_report.xlsx]State-Wise !PivotTable2</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'State-Wise '!$B$3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'State-Wise '!$A$4:$A$36</c:f>
              <c:strCache>
                <c:ptCount val="32"/>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&amp; Kashmir</c:v>
                </c:pt>
                <c:pt idx="13">
                  <c:v>Jammu And Kashmir</c:v>
                </c:pt>
                <c:pt idx="14">
                  <c:v>Jharkhand</c:v>
                </c:pt>
                <c:pt idx="15">
                  <c:v>Karnataka</c:v>
                </c:pt>
                <c:pt idx="16">
                  <c:v>Kerala</c:v>
                </c:pt>
                <c:pt idx="17">
                  <c:v>Madhya Pradesh</c:v>
                </c:pt>
                <c:pt idx="18">
                  <c:v>Maharashtra</c:v>
                </c:pt>
                <c:pt idx="19">
                  <c:v>Meghalaya</c:v>
                </c:pt>
                <c:pt idx="20">
                  <c:v>Nagaland</c:v>
                </c:pt>
                <c:pt idx="21">
                  <c:v>Odisha</c:v>
                </c:pt>
                <c:pt idx="22">
                  <c:v>Pondicherry</c:v>
                </c:pt>
                <c:pt idx="23">
                  <c:v>Punjab</c:v>
                </c:pt>
                <c:pt idx="24">
                  <c:v>Rajasthan</c:v>
                </c:pt>
                <c:pt idx="25">
                  <c:v>Sikkim</c:v>
                </c:pt>
                <c:pt idx="26">
                  <c:v>Tamil Nadu</c:v>
                </c:pt>
                <c:pt idx="27">
                  <c:v>Telangana</c:v>
                </c:pt>
                <c:pt idx="28">
                  <c:v>Tripura</c:v>
                </c:pt>
                <c:pt idx="29">
                  <c:v>Uttar Pradesh</c:v>
                </c:pt>
                <c:pt idx="30">
                  <c:v>Uttarakhand</c:v>
                </c:pt>
                <c:pt idx="31">
                  <c:v>West Bengal</c:v>
                </c:pt>
              </c:strCache>
            </c:strRef>
          </c:cat>
          <c:val>
            <c:numRef>
              <c:f>'State-Wise '!$B$4:$B$36</c:f>
              <c:numCache>
                <c:formatCode>0</c:formatCode>
                <c:ptCount val="32"/>
                <c:pt idx="0">
                  <c:v>171</c:v>
                </c:pt>
                <c:pt idx="1">
                  <c:v>4808.9999999999945</c:v>
                </c:pt>
                <c:pt idx="2">
                  <c:v>245.9999999999998</c:v>
                </c:pt>
                <c:pt idx="3">
                  <c:v>1543.7499999999977</c:v>
                </c:pt>
                <c:pt idx="4">
                  <c:v>12562.251386962536</c:v>
                </c:pt>
                <c:pt idx="5">
                  <c:v>150.26213592233006</c:v>
                </c:pt>
                <c:pt idx="6">
                  <c:v>2894.5145631067908</c:v>
                </c:pt>
                <c:pt idx="7">
                  <c:v>4730.2074684407171</c:v>
                </c:pt>
                <c:pt idx="8">
                  <c:v>200.9999999999992</c:v>
                </c:pt>
                <c:pt idx="9">
                  <c:v>3491.1067961164981</c:v>
                </c:pt>
                <c:pt idx="10">
                  <c:v>4070.9164355062321</c:v>
                </c:pt>
                <c:pt idx="11">
                  <c:v>862.7149791955602</c:v>
                </c:pt>
                <c:pt idx="12">
                  <c:v>328.1186440677958</c:v>
                </c:pt>
                <c:pt idx="13">
                  <c:v>334</c:v>
                </c:pt>
                <c:pt idx="14">
                  <c:v>4062.3398058252355</c:v>
                </c:pt>
                <c:pt idx="15">
                  <c:v>5976.1581137309204</c:v>
                </c:pt>
                <c:pt idx="16">
                  <c:v>1318.1182385575562</c:v>
                </c:pt>
                <c:pt idx="17">
                  <c:v>5616.9999999999909</c:v>
                </c:pt>
                <c:pt idx="18">
                  <c:v>8608.6327017560197</c:v>
                </c:pt>
                <c:pt idx="19">
                  <c:v>189.99999999999926</c:v>
                </c:pt>
                <c:pt idx="20">
                  <c:v>182.9999999999998</c:v>
                </c:pt>
                <c:pt idx="21">
                  <c:v>3476.6601941747508</c:v>
                </c:pt>
                <c:pt idx="22">
                  <c:v>159</c:v>
                </c:pt>
                <c:pt idx="23">
                  <c:v>3945.7260102494129</c:v>
                </c:pt>
                <c:pt idx="24">
                  <c:v>6098.9980253414369</c:v>
                </c:pt>
                <c:pt idx="25">
                  <c:v>212</c:v>
                </c:pt>
                <c:pt idx="26">
                  <c:v>3369.5533980582472</c:v>
                </c:pt>
                <c:pt idx="27">
                  <c:v>4199.0679611650421</c:v>
                </c:pt>
                <c:pt idx="28">
                  <c:v>565.99999999999852</c:v>
                </c:pt>
                <c:pt idx="29">
                  <c:v>25694.472025670533</c:v>
                </c:pt>
                <c:pt idx="30">
                  <c:v>1607.5991678224668</c:v>
                </c:pt>
                <c:pt idx="31">
                  <c:v>3455.2961341357282</c:v>
                </c:pt>
              </c:numCache>
            </c:numRef>
          </c:val>
          <c:extLst>
            <c:ext xmlns:c16="http://schemas.microsoft.com/office/drawing/2014/chart" uri="{C3380CC4-5D6E-409C-BE32-E72D297353CC}">
              <c16:uniqueId val="{00000000-ABE5-421F-8230-098B87CDC936}"/>
            </c:ext>
          </c:extLst>
        </c:ser>
        <c:dLbls>
          <c:dLblPos val="outEnd"/>
          <c:showLegendKey val="0"/>
          <c:showVal val="1"/>
          <c:showCatName val="0"/>
          <c:showSerName val="0"/>
          <c:showPercent val="0"/>
          <c:showBubbleSize val="0"/>
        </c:dLbls>
        <c:gapWidth val="100"/>
        <c:overlap val="-24"/>
        <c:axId val="1825073888"/>
        <c:axId val="1825082528"/>
      </c:barChart>
      <c:catAx>
        <c:axId val="18250738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5082528"/>
        <c:crosses val="autoZero"/>
        <c:auto val="1"/>
        <c:lblAlgn val="ctr"/>
        <c:lblOffset val="100"/>
        <c:noMultiLvlLbl val="0"/>
      </c:catAx>
      <c:valAx>
        <c:axId val="182508252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507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[meesho_sale_report.xlsx]Order by Status!PivotTable1</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'Order by Status'!$B$3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365F-4FBA-976F-1B28C49E603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365F-4FBA-976F-1B28C49E603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365F-4FBA-976F-1B28C49E603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365F-4FBA-976F-1B28C49E603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365F-4FBA-976F-1B28C49E6032}"/>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365F-4FBA-976F-1B28C49E6032}"/>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365F-4FBA-976F-1B28C49E60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'Order by Status'!$A$4:$A$11</c:f>
              <c:strCache>
                <c:ptCount val="7"/>
                <c:pt idx="0">
                  <c:v>Cancelled</c:v>
                </c:pt>
                <c:pt idx="1">
                  <c:v>Delivered</c:v>
                </c:pt>
                <c:pt idx="2">
                  <c:v>Exchange</c:v>
                </c:pt>
                <c:pt idx="3">
                  <c:v>Ordered</c:v>
                </c:pt>
                <c:pt idx="4">
                  <c:v>Return</c:v>
                </c:pt>
                <c:pt idx="5">
                  <c:v>rto</c:v>
                </c:pt>
                <c:pt idx="6">
                  <c:v>Shipped</c:v>
                </c:pt>
              </c:strCache>
            </c:strRef>
          </c:cat>
          <c:val>
            <c:numRef>
              <c:f>'Order by Status'!$B$4:$B$11</c:f>
              <c:numCache>
                <c:formatCode>General</c:formatCode>
                <c:ptCount val="7"/>
                <c:pt idx="0">
                  <c:v>56746.745157384947</c:v>
                </c:pt>
                <c:pt idx="1">
                  <c:v>115134.46418580569</c:v>
                </c:pt>
                <c:pt idx="2">
                  <c:v>4956.7621359223194</c:v>
                </c:pt>
                <c:pt idx="3">
                  <c:v>7986.4202496532489</c:v>
                </c:pt>
                <c:pt idx="4">
                  <c:v>14186.009708737838</c:v>
                </c:pt>
                <c:pt idx="5">
                  <c:v>23571.57086438324</c:v>
                </c:pt>
                <c:pt idx="6">
                  <c:v>38395.64995651046</c:v>
                </c:pt>
              </c:numCache>
            </c:numRef>
          </c:val>
          <c:extLst>
            <c:ext xmlns:c16="http://schemas.microsoft.com/office/drawing/2014/chart" uri="{C3380CC4-5D6E-409C-BE32-E72D297353CC}">
              <c16:uniqueId val="{0000000E-365F-4FBA-976F-1B28C49E603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[meesho_sale_report.xlsx]By HSN!PivotTable3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'By HSN'!$B$3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cat>
            <c:strRef>
              <c:f>'By HSN'!$A$4:$A$8</c:f>
              <c:strCache>
                <c:ptCount val="4"/>
                <c:pt idx="0">
                  <c:v>7117</c:v>
                </c:pt>
                <c:pt idx="1">
                  <c:v>330410</c:v>
                </c:pt>
                <c:pt idx="2">
                  <c:v>340600</c:v>
                </c:pt>
                <c:pt idx="3">
                  <c:v>711790</c:v>
                </c:pt>
              </c:strCache>
            </c:strRef>
          </c:cat>
          <c:val>
            <c:numRef>
              <c:f>'By HSN'!$B$4:$B$8</c:f>
              <c:numCache>
                <c:formatCode>0</c:formatCode>
                <c:ptCount val="4"/>
                <c:pt idx="0">
                  <c:v>4584.7658384071092</c:v>
                </c:pt>
                <c:pt idx="1">
                  <c:v>432</c:v>
                </c:pt>
                <c:pt idx="2">
                  <c:v>747.96428571428396</c:v>
                </c:pt>
                <c:pt idx="3">
                  <c:v>287.81385317003156</c:v>
                </c:pt>
              </c:numCache>
            </c:numRef>
          </c:val>
          <c:extLst>
            <c:ext xmlns:c16="http://schemas.microsoft.com/office/drawing/2014/chart" uri="{C3380CC4-5D6E-409C-BE32-E72D297353CC}">
              <c16:uniqueId val="{00000000-A46D-498A-8D23-4FE2600D6808}"/>
            </c:ext>
          </c:extLst>
        </c:ser>
        <c:dLbls>
          <c:showLegendKey val="0"/>
          <c:showVal val="0"/>
          <c:showCatName val="0"/>
          <c:showSerName val="0"/>
          <c:showPercent val="0"/>
          <c:showBubbleSize val="0"/>
        </c:dLbls>
        <c:axId val="535324240"/>
        <c:axId val="535346320"/>
      </c:areaChart>
      <c:catAx>
        <c:axId val="535324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35346320"/>
        <c:crosses val="autoZero"/>
        <c:auto val="1"/>
        <c:lblAlgn val="ctr"/>
        <c:lblOffset val="100"/>
        <c:noMultiLvlLbl val="0"/>
      </c:catAx>
      <c:valAx>
        <c:axId val="535346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353242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[meesho_sale_report.xlsx]by GST!PivotTable4</c:name>
    <c:fmtId val="1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'by GST'!$B$3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'by GST'!$A$4:$A$7</c:f>
              <c:strCache>
                <c:ptCount val="3"/>
                <c:pt idx="0">
                  <c:v>3</c:v>
                </c:pt>
                <c:pt idx="1">
                  <c:v>12</c:v>
                </c:pt>
                <c:pt idx="2">
                  <c:v>18</c:v>
                </c:pt>
              </c:strCache>
            </c:strRef>
          </c:cat>
          <c:val>
            <c:numRef>
              <c:f>'by GST'!$B$4:$B$7</c:f>
              <c:numCache>
                <c:formatCode>0</c:formatCode>
                <c:ptCount val="3"/>
                <c:pt idx="0">
                  <c:v>166.84915245342373</c:v>
                </c:pt>
                <c:pt idx="1">
                  <c:v>184.47222222222177</c:v>
                </c:pt>
                <c:pt idx="2">
                  <c:v>171.77595338983031</c:v>
                </c:pt>
              </c:numCache>
            </c:numRef>
          </c:val>
          <c:extLst>
            <c:ext xmlns:c16="http://schemas.microsoft.com/office/drawing/2014/chart" uri="{C3380CC4-5D6E-409C-BE32-E72D297353CC}">
              <c16:uniqueId val="{00000000-A829-4A2C-B6D3-127F120F87DB}"/>
            </c:ext>
          </c:extLst>
        </c:ser>
        <c:dLbls>
          <c:showLegendKey val="0"/>
          <c:showVal val="0"/>
          <c:showCatName val="0"/>
          <c:showSerName val="0"/>
          <c:showPercent val="0"/>
          <c:showBubbleSize val="0"/>
        </c:dLbls>
        <c:gapWidth val="100"/>
        <c:axId val="535293520"/>
        <c:axId val="535301200"/>
      </c:barChart>
      <c:valAx>
        <c:axId val="535301200"/>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5293520"/>
        <c:crosses val="autoZero"/>
        <c:crossBetween val="between"/>
      </c:valAx>
      <c:catAx>
        <c:axId val="53529352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53012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[meesho_sale_report.xlsx]by Month!PivotTable1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'by Month'!$B$3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'by Month'!$A$4:$A$16</c:f>
              <c:strCache>
                <c:ptCount val="12"/>
                <c:pt idx="0">
                  <c:v>Sep</c:v>
                </c:pt>
                <c:pt idx="1">
                  <c:v>Oct</c:v>
                </c:pt>
                <c:pt idx="2">
                  <c:v>Nov</c:v>
                </c:pt>
                <c:pt idx="3">
                  <c:v>Dec</c:v>
                </c:pt>
                <c:pt idx="4">
                  <c:v>Jan</c:v>
                </c:pt>
                <c:pt idx="5">
                  <c:v>Feb</c:v>
                </c:pt>
                <c:pt idx="6">
                  <c:v>Mar</c:v>
                </c:pt>
                <c:pt idx="7">
                  <c:v>Apr</c:v>
                </c:pt>
                <c:pt idx="8">
                  <c:v>May</c:v>
                </c:pt>
                <c:pt idx="9">
                  <c:v>Jun</c:v>
                </c:pt>
                <c:pt idx="10">
                  <c:v>Jul</c:v>
                </c:pt>
                <c:pt idx="11">
                  <c:v>Aug</c:v>
                </c:pt>
              </c:strCache>
            </c:strRef>
          </c:cat>
          <c:val>
            <c:numRef>
              <c:f>'by Month'!$B$4:$B$16</c:f>
              <c:numCache>
                <c:formatCode>General</c:formatCode>
                <c:ptCount val="12"/>
                <c:pt idx="0">
                  <c:v>1531.4729307223906</c:v>
                </c:pt>
                <c:pt idx="1">
                  <c:v>12754.659007028817</c:v>
                </c:pt>
                <c:pt idx="2">
                  <c:v>19514.987058934101</c:v>
                </c:pt>
                <c:pt idx="3">
                  <c:v>19598.592233009669</c:v>
                </c:pt>
                <c:pt idx="4">
                  <c:v>21707.313453536713</c:v>
                </c:pt>
                <c:pt idx="5">
                  <c:v>23221.271844660158</c:v>
                </c:pt>
                <c:pt idx="6">
                  <c:v>18589</c:v>
                </c:pt>
                <c:pt idx="7">
                  <c:v>23180</c:v>
                </c:pt>
                <c:pt idx="8">
                  <c:v>11128</c:v>
                </c:pt>
                <c:pt idx="9">
                  <c:v>8371</c:v>
                </c:pt>
                <c:pt idx="10">
                  <c:v>3135</c:v>
                </c:pt>
                <c:pt idx="11">
                  <c:v>3742</c:v>
                </c:pt>
              </c:numCache>
            </c:numRef>
          </c:val>
          <c:smooth val="0"/>
          <c:extLst>
            <c:ext xmlns:c16="http://schemas.microsoft.com/office/drawing/2014/chart" uri="{C3380CC4-5D6E-409C-BE32-E72D297353CC}">
              <c16:uniqueId val="{00000000-79BA-4457-92D5-EFB202B7848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78568479"/>
        <c:axId val="378580479"/>
      </c:lineChart>
      <c:catAx>
        <c:axId val="37856847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78580479"/>
        <c:crosses val="autoZero"/>
        <c:auto val="1"/>
        <c:lblAlgn val="ctr"/>
        <c:lblOffset val="100"/>
        <c:noMultiLvlLbl val="0"/>
      </c:catAx>
      <c:valAx>
        <c:axId val="378580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7856847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3</xdr:col>
      <xdr:colOff>219075</xdr:colOff>
      <xdr:row>3</xdr:row>
      <xdr:rowOff>114300</xdr:rowOff>
    </xdr:from>
    <xdr:to>
      <xdr:col>6</xdr:col>
      <xdr:colOff>219075</xdr:colOff>
      <xdr:row>16</xdr:row>
      <xdr:rowOff>161925</xdr:rowOff>
    </xdr:to>
    <mc:AlternateContent xmlns:mc="http://schemas.openxmlformats.org/markup-compatibility/2006" xmlns:a14="http://schemas.microsoft.com/office/drawing/2010/main">
      <mc:Choice Requires="a14">
        <xdr:graphicFrame macro="">
          <xdr:nvGraphicFramePr>
            <xdr:cNvPr id="3" name="order_status 5">
              <a:extLst>
                <a:ext uri="{FF2B5EF4-FFF2-40B4-BE49-F238E27FC236}">
                  <a16:creationId xmlns:a16="http://schemas.microsoft.com/office/drawing/2014/main" id="{27C7D660-DA7C-5787-64E6-DC2779643294}"/>
                </a:ext>
              </a:extLst>
            </xdr:cNvPr>
            <xdr:cNvGraphicFramePr/>
          </xdr:nvGraphicFramePr>
          <xdr:xfrm>
            <a:off x="0" y="0"/>
            <a:ext cx="0" cy="0"/>
          </xdr:xfrm>
          <a:graphic>
            <a:graphicData uri="http://schemas.microsoft.com/office/drawing/2010/slicer">
              <sle:slicer xmlns:sle="http://schemas.microsoft.com/office/drawing/2010/slicer" name="order_status 5"/>
            </a:graphicData>
          </a:graphic>
        </xdr:graphicFrame>
      </mc:Choice>
      <mc:Fallback xmlns="">
        <xdr:sp macro="" textlink="">
          <xdr:nvSpPr>
            <xdr:cNvPr id="0" name=""/>
            <xdr:cNvSpPr>
              <a:spLocks noTextEdit="1"/>
            </xdr:cNvSpPr>
          </xdr:nvSpPr>
          <xdr:spPr>
            <a:xfrm>
              <a:off x="4486275" y="685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476250</xdr:colOff>
      <xdr:row>1</xdr:row>
      <xdr:rowOff>119062</xdr:rowOff>
    </xdr:from>
    <xdr:to>
      <xdr:col>10</xdr:col>
      <xdr:colOff>171450</xdr:colOff>
      <xdr:row>16</xdr:row>
      <xdr:rowOff>4762</xdr:rowOff>
    </xdr:to>
    <xdr:graphicFrame macro="">
      <xdr:nvGraphicFramePr>
        <xdr:cNvPr id="2" name="Chart 1">
          <a:extLst>
            <a:ext uri="{FF2B5EF4-FFF2-40B4-BE49-F238E27FC236}">
              <a16:creationId xmlns:a16="http://schemas.microsoft.com/office/drawing/2014/main" id="{594CEC7A-2A2A-DFFD-27C6-69A5F4EB8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295275</xdr:colOff>
      <xdr:row>0</xdr:row>
      <xdr:rowOff>180977</xdr:rowOff>
    </xdr:from>
    <xdr:to>
      <xdr:col>15</xdr:col>
      <xdr:colOff>161925</xdr:colOff>
      <xdr:row>21</xdr:row>
      <xdr:rowOff>66675</xdr:rowOff>
    </xdr:to>
    <mc:AlternateContent xmlns:mc="http://schemas.openxmlformats.org/markup-compatibility/2006" xmlns:a14="http://schemas.microsoft.com/office/drawing/2010/main">
      <mc:Choice Requires="a14">
        <xdr:graphicFrame macro="">
          <xdr:nvGraphicFramePr>
            <xdr:cNvPr id="3" name="end_customer_state_new">
              <a:extLst>
                <a:ext uri="{FF2B5EF4-FFF2-40B4-BE49-F238E27FC236}">
                  <a16:creationId xmlns:a16="http://schemas.microsoft.com/office/drawing/2014/main" id="{6DC9DB31-6C14-12CE-0D83-D8813BE4BC28}"/>
                </a:ext>
              </a:extLst>
            </xdr:cNvPr>
            <xdr:cNvGraphicFramePr/>
          </xdr:nvGraphicFramePr>
          <xdr:xfrm>
            <a:off x="0" y="0"/>
            <a:ext cx="0" cy="0"/>
          </xdr:xfrm>
          <a:graphic>
            <a:graphicData uri="http://schemas.microsoft.com/office/drawing/2010/slicer">
              <sle:slicer xmlns:sle="http://schemas.microsoft.com/office/drawing/2010/slicer" name="end_customer_state_new"/>
            </a:graphicData>
          </a:graphic>
        </xdr:graphicFrame>
      </mc:Choice>
      <mc:Fallback xmlns="">
        <xdr:sp macro="" textlink="">
          <xdr:nvSpPr>
            <xdr:cNvPr id="0" name=""/>
            <xdr:cNvSpPr>
              <a:spLocks noTextEdit="1"/>
            </xdr:cNvSpPr>
          </xdr:nvSpPr>
          <xdr:spPr>
            <a:xfrm>
              <a:off x="7753350" y="180977"/>
              <a:ext cx="2914650" cy="38861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342900</xdr:colOff>
      <xdr:row>1</xdr:row>
      <xdr:rowOff>47625</xdr:rowOff>
    </xdr:from>
    <xdr:to>
      <xdr:col>16</xdr:col>
      <xdr:colOff>342900</xdr:colOff>
      <xdr:row>14</xdr:row>
      <xdr:rowOff>95250</xdr:rowOff>
    </xdr:to>
    <mc:AlternateContent xmlns:mc="http://schemas.openxmlformats.org/markup-compatibility/2006" xmlns:a14="http://schemas.microsoft.com/office/drawing/2010/main">
      <mc:Choice Requires="a14">
        <xdr:graphicFrame macro="">
          <xdr:nvGraphicFramePr>
            <xdr:cNvPr id="4" name="order_status">
              <a:extLst>
                <a:ext uri="{FF2B5EF4-FFF2-40B4-BE49-F238E27FC236}">
                  <a16:creationId xmlns:a16="http://schemas.microsoft.com/office/drawing/2014/main" id="{61CCF0CB-BE07-BE15-2D42-4F4EEA87FDED}"/>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0610850" y="238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152400</xdr:colOff>
      <xdr:row>1</xdr:row>
      <xdr:rowOff>52387</xdr:rowOff>
    </xdr:from>
    <xdr:to>
      <xdr:col>13</xdr:col>
      <xdr:colOff>133350</xdr:colOff>
      <xdr:row>15</xdr:row>
      <xdr:rowOff>128587</xdr:rowOff>
    </xdr:to>
    <xdr:graphicFrame macro="">
      <xdr:nvGraphicFramePr>
        <xdr:cNvPr id="5" name="Chart 4">
          <a:extLst>
            <a:ext uri="{FF2B5EF4-FFF2-40B4-BE49-F238E27FC236}">
              <a16:creationId xmlns:a16="http://schemas.microsoft.com/office/drawing/2014/main" id="{8E03831F-AF7A-6153-7C90-2C2830994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638175</xdr:colOff>
      <xdr:row>0</xdr:row>
      <xdr:rowOff>152400</xdr:rowOff>
    </xdr:from>
    <xdr:to>
      <xdr:col>11</xdr:col>
      <xdr:colOff>381000</xdr:colOff>
      <xdr:row>14</xdr:row>
      <xdr:rowOff>9525</xdr:rowOff>
    </xdr:to>
    <mc:AlternateContent xmlns:mc="http://schemas.openxmlformats.org/markup-compatibility/2006" xmlns:a14="http://schemas.microsoft.com/office/drawing/2010/main">
      <mc:Choice Requires="a14">
        <xdr:graphicFrame macro="">
          <xdr:nvGraphicFramePr>
            <xdr:cNvPr id="3" name="order_status 2">
              <a:extLst>
                <a:ext uri="{FF2B5EF4-FFF2-40B4-BE49-F238E27FC236}">
                  <a16:creationId xmlns:a16="http://schemas.microsoft.com/office/drawing/2014/main" id="{D4A048D0-4441-3425-93C4-E78E691A9F38}"/>
                </a:ext>
              </a:extLst>
            </xdr:cNvPr>
            <xdr:cNvGraphicFramePr/>
          </xdr:nvGraphicFramePr>
          <xdr:xfrm>
            <a:off x="0" y="0"/>
            <a:ext cx="0" cy="0"/>
          </xdr:xfrm>
          <a:graphic>
            <a:graphicData uri="http://schemas.microsoft.com/office/drawing/2010/slicer">
              <sle:slicer xmlns:sle="http://schemas.microsoft.com/office/drawing/2010/slicer" name="order_status 2"/>
            </a:graphicData>
          </a:graphic>
        </xdr:graphicFrame>
      </mc:Choice>
      <mc:Fallback xmlns="">
        <xdr:sp macro="" textlink="">
          <xdr:nvSpPr>
            <xdr:cNvPr id="0" name=""/>
            <xdr:cNvSpPr>
              <a:spLocks noTextEdit="1"/>
            </xdr:cNvSpPr>
          </xdr:nvSpPr>
          <xdr:spPr>
            <a:xfrm>
              <a:off x="6915150" y="152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195262</xdr:colOff>
      <xdr:row>0</xdr:row>
      <xdr:rowOff>119062</xdr:rowOff>
    </xdr:from>
    <xdr:to>
      <xdr:col>8</xdr:col>
      <xdr:colOff>595312</xdr:colOff>
      <xdr:row>15</xdr:row>
      <xdr:rowOff>4762</xdr:rowOff>
    </xdr:to>
    <xdr:graphicFrame macro="">
      <xdr:nvGraphicFramePr>
        <xdr:cNvPr id="4" name="Chart 3">
          <a:extLst>
            <a:ext uri="{FF2B5EF4-FFF2-40B4-BE49-F238E27FC236}">
              <a16:creationId xmlns:a16="http://schemas.microsoft.com/office/drawing/2014/main" id="{E0025EAB-2953-E4D7-DEFC-FAD6085E4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161925</xdr:colOff>
      <xdr:row>8</xdr:row>
      <xdr:rowOff>180976</xdr:rowOff>
    </xdr:from>
    <xdr:to>
      <xdr:col>1</xdr:col>
      <xdr:colOff>1114425</xdr:colOff>
      <xdr:row>18</xdr:row>
      <xdr:rowOff>9526</xdr:rowOff>
    </xdr:to>
    <mc:AlternateContent xmlns:mc="http://schemas.openxmlformats.org/markup-compatibility/2006" xmlns:a14="http://schemas.microsoft.com/office/drawing/2010/main">
      <mc:Choice Requires="a14">
        <xdr:graphicFrame macro="">
          <xdr:nvGraphicFramePr>
            <xdr:cNvPr id="5" name="hsn_code">
              <a:extLst>
                <a:ext uri="{FF2B5EF4-FFF2-40B4-BE49-F238E27FC236}">
                  <a16:creationId xmlns:a16="http://schemas.microsoft.com/office/drawing/2014/main" id="{16A7CC33-6107-E0C2-766B-F547BF2E185D}"/>
                </a:ext>
              </a:extLst>
            </xdr:cNvPr>
            <xdr:cNvGraphicFramePr/>
          </xdr:nvGraphicFramePr>
          <xdr:xfrm>
            <a:off x="0" y="0"/>
            <a:ext cx="0" cy="0"/>
          </xdr:xfrm>
          <a:graphic>
            <a:graphicData uri="http://schemas.microsoft.com/office/drawing/2010/slicer">
              <sle:slicer xmlns:sle="http://schemas.microsoft.com/office/drawing/2010/slicer" name="hsn_code"/>
            </a:graphicData>
          </a:graphic>
        </xdr:graphicFrame>
      </mc:Choice>
      <mc:Fallback xmlns="">
        <xdr:sp macro="" textlink="">
          <xdr:nvSpPr>
            <xdr:cNvPr id="0" name=""/>
            <xdr:cNvSpPr>
              <a:spLocks noTextEdit="1"/>
            </xdr:cNvSpPr>
          </xdr:nvSpPr>
          <xdr:spPr>
            <a:xfrm>
              <a:off x="161925" y="1704976"/>
              <a:ext cx="1828800"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8</xdr:row>
      <xdr:rowOff>171451</xdr:rowOff>
    </xdr:from>
    <xdr:to>
      <xdr:col>1</xdr:col>
      <xdr:colOff>628650</xdr:colOff>
      <xdr:row>15</xdr:row>
      <xdr:rowOff>57151</xdr:rowOff>
    </xdr:to>
    <mc:AlternateContent xmlns:mc="http://schemas.openxmlformats.org/markup-compatibility/2006" xmlns:a14="http://schemas.microsoft.com/office/drawing/2010/main">
      <mc:Choice Requires="a14">
        <xdr:graphicFrame macro="">
          <xdr:nvGraphicFramePr>
            <xdr:cNvPr id="2" name="gst_rate">
              <a:extLst>
                <a:ext uri="{FF2B5EF4-FFF2-40B4-BE49-F238E27FC236}">
                  <a16:creationId xmlns:a16="http://schemas.microsoft.com/office/drawing/2014/main" id="{D2ADFBFA-77A1-8392-C77D-F605FD1FE1B7}"/>
                </a:ext>
              </a:extLst>
            </xdr:cNvPr>
            <xdr:cNvGraphicFramePr/>
          </xdr:nvGraphicFramePr>
          <xdr:xfrm>
            <a:off x="0" y="0"/>
            <a:ext cx="0" cy="0"/>
          </xdr:xfrm>
          <a:graphic>
            <a:graphicData uri="http://schemas.microsoft.com/office/drawing/2010/slicer">
              <sle:slicer xmlns:sle="http://schemas.microsoft.com/office/drawing/2010/slicer" name="gst_rate"/>
            </a:graphicData>
          </a:graphic>
        </xdr:graphicFrame>
      </mc:Choice>
      <mc:Fallback xmlns="">
        <xdr:sp macro="" textlink="">
          <xdr:nvSpPr>
            <xdr:cNvPr id="0" name=""/>
            <xdr:cNvSpPr>
              <a:spLocks noTextEdit="1"/>
            </xdr:cNvSpPr>
          </xdr:nvSpPr>
          <xdr:spPr>
            <a:xfrm>
              <a:off x="219075" y="1695451"/>
              <a:ext cx="1285875"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866775</xdr:colOff>
      <xdr:row>8</xdr:row>
      <xdr:rowOff>161925</xdr:rowOff>
    </xdr:from>
    <xdr:to>
      <xdr:col>3</xdr:col>
      <xdr:colOff>152400</xdr:colOff>
      <xdr:row>20</xdr:row>
      <xdr:rowOff>95250</xdr:rowOff>
    </xdr:to>
    <mc:AlternateContent xmlns:mc="http://schemas.openxmlformats.org/markup-compatibility/2006" xmlns:a14="http://schemas.microsoft.com/office/drawing/2010/main">
      <mc:Choice Requires="a14">
        <xdr:graphicFrame macro="">
          <xdr:nvGraphicFramePr>
            <xdr:cNvPr id="3" name="order_status 3">
              <a:extLst>
                <a:ext uri="{FF2B5EF4-FFF2-40B4-BE49-F238E27FC236}">
                  <a16:creationId xmlns:a16="http://schemas.microsoft.com/office/drawing/2014/main" id="{D547ABC0-6412-FA47-ACCD-65D6705FFB9D}"/>
                </a:ext>
              </a:extLst>
            </xdr:cNvPr>
            <xdr:cNvGraphicFramePr/>
          </xdr:nvGraphicFramePr>
          <xdr:xfrm>
            <a:off x="0" y="0"/>
            <a:ext cx="0" cy="0"/>
          </xdr:xfrm>
          <a:graphic>
            <a:graphicData uri="http://schemas.microsoft.com/office/drawing/2010/slicer">
              <sle:slicer xmlns:sle="http://schemas.microsoft.com/office/drawing/2010/slicer" name="order_status 3"/>
            </a:graphicData>
          </a:graphic>
        </xdr:graphicFrame>
      </mc:Choice>
      <mc:Fallback xmlns="">
        <xdr:sp macro="" textlink="">
          <xdr:nvSpPr>
            <xdr:cNvPr id="0" name=""/>
            <xdr:cNvSpPr>
              <a:spLocks noTextEdit="1"/>
            </xdr:cNvSpPr>
          </xdr:nvSpPr>
          <xdr:spPr>
            <a:xfrm>
              <a:off x="1743075" y="1685925"/>
              <a:ext cx="1828800" cy="2219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490537</xdr:colOff>
      <xdr:row>1</xdr:row>
      <xdr:rowOff>14287</xdr:rowOff>
    </xdr:from>
    <xdr:to>
      <xdr:col>11</xdr:col>
      <xdr:colOff>185737</xdr:colOff>
      <xdr:row>15</xdr:row>
      <xdr:rowOff>90487</xdr:rowOff>
    </xdr:to>
    <xdr:graphicFrame macro="">
      <xdr:nvGraphicFramePr>
        <xdr:cNvPr id="4" name="Chart 3">
          <a:extLst>
            <a:ext uri="{FF2B5EF4-FFF2-40B4-BE49-F238E27FC236}">
              <a16:creationId xmlns:a16="http://schemas.microsoft.com/office/drawing/2014/main" id="{2F724FAE-96D4-878D-6FBE-86E1D883C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95250</xdr:colOff>
      <xdr:row>2</xdr:row>
      <xdr:rowOff>85725</xdr:rowOff>
    </xdr:from>
    <xdr:to>
      <xdr:col>5</xdr:col>
      <xdr:colOff>95250</xdr:colOff>
      <xdr:row>15</xdr:row>
      <xdr:rowOff>133350</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4AE39677-ACFA-38B4-60C8-BF99B2E9F12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676525" y="466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10</xdr:row>
      <xdr:rowOff>0</xdr:rowOff>
    </xdr:from>
    <xdr:to>
      <xdr:col>5</xdr:col>
      <xdr:colOff>76200</xdr:colOff>
      <xdr:row>23</xdr:row>
      <xdr:rowOff>47625</xdr:rowOff>
    </xdr:to>
    <mc:AlternateContent xmlns:mc="http://schemas.openxmlformats.org/markup-compatibility/2006" xmlns:a14="http://schemas.microsoft.com/office/drawing/2010/main">
      <mc:Choice Requires="a14">
        <xdr:graphicFrame macro="">
          <xdr:nvGraphicFramePr>
            <xdr:cNvPr id="3" name="order_status 4">
              <a:extLst>
                <a:ext uri="{FF2B5EF4-FFF2-40B4-BE49-F238E27FC236}">
                  <a16:creationId xmlns:a16="http://schemas.microsoft.com/office/drawing/2014/main" id="{5193EA99-133E-4D05-9EB3-F5AA19629618}"/>
                </a:ext>
              </a:extLst>
            </xdr:cNvPr>
            <xdr:cNvGraphicFramePr/>
          </xdr:nvGraphicFramePr>
          <xdr:xfrm>
            <a:off x="0" y="0"/>
            <a:ext cx="0" cy="0"/>
          </xdr:xfrm>
          <a:graphic>
            <a:graphicData uri="http://schemas.microsoft.com/office/drawing/2010/slicer">
              <sle:slicer xmlns:sle="http://schemas.microsoft.com/office/drawing/2010/slicer" name="order_status 4"/>
            </a:graphicData>
          </a:graphic>
        </xdr:graphicFrame>
      </mc:Choice>
      <mc:Fallback xmlns="">
        <xdr:sp macro="" textlink="">
          <xdr:nvSpPr>
            <xdr:cNvPr id="0" name=""/>
            <xdr:cNvSpPr>
              <a:spLocks noTextEdit="1"/>
            </xdr:cNvSpPr>
          </xdr:nvSpPr>
          <xdr:spPr>
            <a:xfrm>
              <a:off x="2657475" y="1905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180975</xdr:colOff>
      <xdr:row>2</xdr:row>
      <xdr:rowOff>61912</xdr:rowOff>
    </xdr:from>
    <xdr:to>
      <xdr:col>12</xdr:col>
      <xdr:colOff>485775</xdr:colOff>
      <xdr:row>16</xdr:row>
      <xdr:rowOff>138112</xdr:rowOff>
    </xdr:to>
    <xdr:graphicFrame macro="">
      <xdr:nvGraphicFramePr>
        <xdr:cNvPr id="4" name="Chart 3">
          <a:extLst>
            <a:ext uri="{FF2B5EF4-FFF2-40B4-BE49-F238E27FC236}">
              <a16:creationId xmlns:a16="http://schemas.microsoft.com/office/drawing/2014/main" id="{5F1ADAC9-E1AB-44DE-27EC-EBF5AC17A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12</xdr:col>
      <xdr:colOff>213012</xdr:colOff>
      <xdr:row>21</xdr:row>
      <xdr:rowOff>182866</xdr:rowOff>
    </xdr:from>
    <xdr:to>
      <xdr:col>22</xdr:col>
      <xdr:colOff>42620</xdr:colOff>
      <xdr:row>36</xdr:row>
      <xdr:rowOff>66827</xdr:rowOff>
    </xdr:to>
    <xdr:graphicFrame macro="">
      <xdr:nvGraphicFramePr>
        <xdr:cNvPr id="2" name="Chart 1">
          <a:extLst>
            <a:ext uri="{FF2B5EF4-FFF2-40B4-BE49-F238E27FC236}">
              <a16:creationId xmlns:a16="http://schemas.microsoft.com/office/drawing/2014/main" id="{B1DFF1BA-F912-4089-9CFE-B98A8237E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421774</xdr:colOff>
      <xdr:row>21</xdr:row>
      <xdr:rowOff>178962</xdr:rowOff>
    </xdr:from>
    <xdr:to>
      <xdr:col>12</xdr:col>
      <xdr:colOff>155074</xdr:colOff>
      <xdr:row>36</xdr:row>
      <xdr:rowOff>75623</xdr:rowOff>
    </xdr:to>
    <xdr:graphicFrame macro="">
      <xdr:nvGraphicFramePr>
        <xdr:cNvPr id="3" name="Chart 2">
          <a:extLst>
            <a:ext uri="{FF2B5EF4-FFF2-40B4-BE49-F238E27FC236}">
              <a16:creationId xmlns:a16="http://schemas.microsoft.com/office/drawing/2014/main" id="{73768AFC-2B54-463F-A3C6-D37315E54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50800</xdr:colOff>
      <xdr:row>1</xdr:row>
      <xdr:rowOff>88900</xdr:rowOff>
    </xdr:from>
    <xdr:to>
      <xdr:col>3</xdr:col>
      <xdr:colOff>152400</xdr:colOff>
      <xdr:row>9</xdr:row>
      <xdr:rowOff>158750</xdr:rowOff>
    </xdr:to>
    <mc:AlternateContent xmlns:mc="http://schemas.openxmlformats.org/markup-compatibility/2006" xmlns:a14="http://schemas.microsoft.com/office/drawing/2010/main">
      <mc:Choice Requires="a14">
        <xdr:graphicFrame macro="">
          <xdr:nvGraphicFramePr>
            <xdr:cNvPr id="4" name="end_customer_state_new 1">
              <a:extLst>
                <a:ext uri="{FF2B5EF4-FFF2-40B4-BE49-F238E27FC236}">
                  <a16:creationId xmlns:a16="http://schemas.microsoft.com/office/drawing/2014/main" id="{40274070-A13D-496D-9726-63241EDC4330}"/>
                </a:ext>
              </a:extLst>
            </xdr:cNvPr>
            <xdr:cNvGraphicFramePr/>
          </xdr:nvGraphicFramePr>
          <xdr:xfrm>
            <a:off x="0" y="0"/>
            <a:ext cx="0" cy="0"/>
          </xdr:xfrm>
          <a:graphic>
            <a:graphicData uri="http://schemas.microsoft.com/office/drawing/2010/slicer">
              <sle:slicer xmlns:sle="http://schemas.microsoft.com/office/drawing/2010/slicer" name="end_customer_state_new 1"/>
            </a:graphicData>
          </a:graphic>
        </xdr:graphicFrame>
      </mc:Choice>
      <mc:Fallback xmlns="">
        <xdr:sp macro="" textlink="">
          <xdr:nvSpPr>
            <xdr:cNvPr id="0" name=""/>
            <xdr:cNvSpPr>
              <a:spLocks noTextEdit="1"/>
            </xdr:cNvSpPr>
          </xdr:nvSpPr>
          <xdr:spPr>
            <a:xfrm>
              <a:off x="50800" y="88900"/>
              <a:ext cx="1328107" cy="2007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63500</xdr:colOff>
      <xdr:row>16</xdr:row>
      <xdr:rowOff>72159</xdr:rowOff>
    </xdr:from>
    <xdr:to>
      <xdr:col>3</xdr:col>
      <xdr:colOff>165100</xdr:colOff>
      <xdr:row>22</xdr:row>
      <xdr:rowOff>173181</xdr:rowOff>
    </xdr:to>
    <mc:AlternateContent xmlns:mc="http://schemas.openxmlformats.org/markup-compatibility/2006" xmlns:a14="http://schemas.microsoft.com/office/drawing/2010/main">
      <mc:Choice Requires="a14">
        <xdr:graphicFrame macro="">
          <xdr:nvGraphicFramePr>
            <xdr:cNvPr id="5" name="order_status 1">
              <a:extLst>
                <a:ext uri="{FF2B5EF4-FFF2-40B4-BE49-F238E27FC236}">
                  <a16:creationId xmlns:a16="http://schemas.microsoft.com/office/drawing/2014/main" id="{C4FD270A-913B-425B-9AA5-F0049D48618F}"/>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412750" y="3199534"/>
              <a:ext cx="1308100" cy="1244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216113</xdr:colOff>
      <xdr:row>21</xdr:row>
      <xdr:rowOff>178962</xdr:rowOff>
    </xdr:from>
    <xdr:to>
      <xdr:col>7</xdr:col>
      <xdr:colOff>355813</xdr:colOff>
      <xdr:row>36</xdr:row>
      <xdr:rowOff>75623</xdr:rowOff>
    </xdr:to>
    <xdr:graphicFrame macro="">
      <xdr:nvGraphicFramePr>
        <xdr:cNvPr id="6" name="Chart 5">
          <a:extLst>
            <a:ext uri="{FF2B5EF4-FFF2-40B4-BE49-F238E27FC236}">
              <a16:creationId xmlns:a16="http://schemas.microsoft.com/office/drawing/2014/main" id="{C722BA43-5D31-48F2-A464-3BC1C418B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49068</xdr:colOff>
      <xdr:row>23</xdr:row>
      <xdr:rowOff>35214</xdr:rowOff>
    </xdr:from>
    <xdr:to>
      <xdr:col>3</xdr:col>
      <xdr:colOff>163368</xdr:colOff>
      <xdr:row>30</xdr:row>
      <xdr:rowOff>39736</xdr:rowOff>
    </xdr:to>
    <mc:AlternateContent xmlns:mc="http://schemas.openxmlformats.org/markup-compatibility/2006" xmlns:a14="http://schemas.microsoft.com/office/drawing/2010/main">
      <mc:Choice Requires="a14">
        <xdr:graphicFrame macro="">
          <xdr:nvGraphicFramePr>
            <xdr:cNvPr id="7" name="hsn_code 1">
              <a:extLst>
                <a:ext uri="{FF2B5EF4-FFF2-40B4-BE49-F238E27FC236}">
                  <a16:creationId xmlns:a16="http://schemas.microsoft.com/office/drawing/2014/main" id="{47E97407-92EE-4844-B5DF-1028D7CCA1D9}"/>
                </a:ext>
              </a:extLst>
            </xdr:cNvPr>
            <xdr:cNvGraphicFramePr/>
          </xdr:nvGraphicFramePr>
          <xdr:xfrm>
            <a:off x="0" y="0"/>
            <a:ext cx="0" cy="0"/>
          </xdr:xfrm>
          <a:graphic>
            <a:graphicData uri="http://schemas.microsoft.com/office/drawing/2010/slicer">
              <sle:slicer xmlns:sle="http://schemas.microsoft.com/office/drawing/2010/slicer" name="hsn_code 1"/>
            </a:graphicData>
          </a:graphic>
        </xdr:graphicFrame>
      </mc:Choice>
      <mc:Fallback xmlns="">
        <xdr:sp macro="" textlink="">
          <xdr:nvSpPr>
            <xdr:cNvPr id="0" name=""/>
            <xdr:cNvSpPr>
              <a:spLocks noTextEdit="1"/>
            </xdr:cNvSpPr>
          </xdr:nvSpPr>
          <xdr:spPr>
            <a:xfrm>
              <a:off x="398318" y="4496089"/>
              <a:ext cx="1320800" cy="1338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215811</xdr:colOff>
      <xdr:row>9</xdr:row>
      <xdr:rowOff>77065</xdr:rowOff>
    </xdr:from>
    <xdr:to>
      <xdr:col>12</xdr:col>
      <xdr:colOff>154131</xdr:colOff>
      <xdr:row>21</xdr:row>
      <xdr:rowOff>105930</xdr:rowOff>
    </xdr:to>
    <xdr:graphicFrame macro="">
      <xdr:nvGraphicFramePr>
        <xdr:cNvPr id="8" name="Chart 7">
          <a:extLst>
            <a:ext uri="{FF2B5EF4-FFF2-40B4-BE49-F238E27FC236}">
              <a16:creationId xmlns:a16="http://schemas.microsoft.com/office/drawing/2014/main" id="{BA4411B1-8EF9-45B0-877A-C640370C3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50809</xdr:colOff>
      <xdr:row>30</xdr:row>
      <xdr:rowOff>127119</xdr:rowOff>
    </xdr:from>
    <xdr:to>
      <xdr:col>3</xdr:col>
      <xdr:colOff>162368</xdr:colOff>
      <xdr:row>36</xdr:row>
      <xdr:rowOff>69985</xdr:rowOff>
    </xdr:to>
    <mc:AlternateContent xmlns:mc="http://schemas.openxmlformats.org/markup-compatibility/2006" xmlns:a14="http://schemas.microsoft.com/office/drawing/2010/main">
      <mc:Choice Requires="a14">
        <xdr:graphicFrame macro="">
          <xdr:nvGraphicFramePr>
            <xdr:cNvPr id="9" name="gst_rate 1">
              <a:extLst>
                <a:ext uri="{FF2B5EF4-FFF2-40B4-BE49-F238E27FC236}">
                  <a16:creationId xmlns:a16="http://schemas.microsoft.com/office/drawing/2014/main" id="{677FAA5A-E111-4254-BE92-7FECBD8F913B}"/>
                </a:ext>
              </a:extLst>
            </xdr:cNvPr>
            <xdr:cNvGraphicFramePr/>
          </xdr:nvGraphicFramePr>
          <xdr:xfrm>
            <a:off x="0" y="0"/>
            <a:ext cx="0" cy="0"/>
          </xdr:xfrm>
          <a:graphic>
            <a:graphicData uri="http://schemas.microsoft.com/office/drawing/2010/slicer">
              <sle:slicer xmlns:sle="http://schemas.microsoft.com/office/drawing/2010/slicer" name="gst_rate 1"/>
            </a:graphicData>
          </a:graphic>
        </xdr:graphicFrame>
      </mc:Choice>
      <mc:Fallback xmlns="">
        <xdr:sp macro="" textlink="">
          <xdr:nvSpPr>
            <xdr:cNvPr id="0" name=""/>
            <xdr:cNvSpPr>
              <a:spLocks noTextEdit="1"/>
            </xdr:cNvSpPr>
          </xdr:nvSpPr>
          <xdr:spPr>
            <a:xfrm>
              <a:off x="400059" y="5921494"/>
              <a:ext cx="1318059" cy="1085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216766</xdr:colOff>
      <xdr:row>9</xdr:row>
      <xdr:rowOff>90738</xdr:rowOff>
    </xdr:from>
    <xdr:to>
      <xdr:col>22</xdr:col>
      <xdr:colOff>43584</xdr:colOff>
      <xdr:row>21</xdr:row>
      <xdr:rowOff>105930</xdr:rowOff>
    </xdr:to>
    <xdr:graphicFrame macro="">
      <xdr:nvGraphicFramePr>
        <xdr:cNvPr id="10" name="Chart 9">
          <a:extLst>
            <a:ext uri="{FF2B5EF4-FFF2-40B4-BE49-F238E27FC236}">
              <a16:creationId xmlns:a16="http://schemas.microsoft.com/office/drawing/2014/main" id="{4427D735-FF5D-4699-A4E9-112E8C8C3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43296</xdr:colOff>
      <xdr:row>10</xdr:row>
      <xdr:rowOff>28863</xdr:rowOff>
    </xdr:from>
    <xdr:to>
      <xdr:col>3</xdr:col>
      <xdr:colOff>144318</xdr:colOff>
      <xdr:row>16</xdr:row>
      <xdr:rowOff>43295</xdr:rowOff>
    </xdr:to>
    <mc:AlternateContent xmlns:mc="http://schemas.openxmlformats.org/markup-compatibility/2006" xmlns:a14="http://schemas.microsoft.com/office/drawing/2010/main">
      <mc:Choice Requires="a14">
        <xdr:graphicFrame macro="">
          <xdr:nvGraphicFramePr>
            <xdr:cNvPr id="11" name="Month 1">
              <a:extLst>
                <a:ext uri="{FF2B5EF4-FFF2-40B4-BE49-F238E27FC236}">
                  <a16:creationId xmlns:a16="http://schemas.microsoft.com/office/drawing/2014/main" id="{ED99BC7B-37F5-49C0-84FF-24E43E3C076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92546" y="2013238"/>
              <a:ext cx="1307522" cy="1157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49.757713310188" createdVersion="8" refreshedVersion="8" minRefreshableVersion="3" recordCount="1588" xr:uid="{224E0ADA-BD24-42A9-B6AB-416B02E02812}">
  <cacheSource type="worksheet">
    <worksheetSource ref="A1:L1589" sheet="all_sales"/>
  </cacheSource>
  <cacheFields count="15">
    <cacheField name="sub_order_num" numFmtId="1">
      <sharedItems containsSemiMixedTypes="0" containsString="0" containsNumber="1" containsInteger="1" minValue="6.8779559920018096E+16" maxValue="1.93717719068284E+17" count="1549">
        <n v="7.179330784349E+16"/>
        <n v="7.0965383275933904E+16"/>
        <n v="7.232841947134E+16"/>
        <n v="6.8779559920018096E+16"/>
        <n v="6.97351126269564E+16"/>
        <n v="7.0710502195488896E+16"/>
        <n v="7.17448524083324E+16"/>
        <n v="7.1959000808825504E+16"/>
        <n v="7.1603082940838096E+16"/>
        <n v="7.2148570263397104E+16"/>
        <n v="7.18688916131316E+16"/>
        <n v="6.9701173573410096E+16"/>
        <n v="7.12824642485912E+16"/>
        <n v="6.92765912678618E+16"/>
        <n v="6.9441780096984704E+16"/>
        <n v="7.6989792849111904E+16"/>
        <n v="8.10092355226284E+16"/>
        <n v="8.323104954724E+16"/>
        <n v="8.3493613057331808E+16"/>
        <n v="8.0298198937301792E+16"/>
        <n v="8.34851173849464E+16"/>
        <n v="7.9950710581670208E+16"/>
        <n v="8.1011491404244608E+16"/>
        <n v="8.2688279422047504E+16"/>
        <n v="7.7747994586917696E+16"/>
        <n v="7.9271913352581792E+16"/>
        <n v="8.36235633591256E+16"/>
        <n v="8.3527982179673696E+16"/>
        <n v="8.3230092033660192E+16"/>
        <n v="8.0929583877729104E+16"/>
        <n v="8.2316177325617904E+16"/>
        <n v="8.2004798899155696E+16"/>
        <n v="8.2347505085977904E+16"/>
        <n v="7.8607710778168608E+16"/>
        <n v="8.3261630063804608E+16"/>
        <n v="8.3065320432136992E+16"/>
        <n v="8.06745028073024E+16"/>
        <n v="8.26945943698768E+16"/>
        <n v="7.96441696521304E+16"/>
        <n v="8.2031569451864704E+16"/>
        <n v="8.2793384663574208E+16"/>
        <n v="7.9927044816941408E+16"/>
        <n v="8.0898761234048704E+16"/>
        <n v="8.0715750160608096E+16"/>
        <n v="7.90534890782032E+16"/>
        <n v="8.3124939892970096E+16"/>
        <n v="8.34990318351484E+16"/>
        <n v="8.0558104655942208E+16"/>
        <n v="8.3373227876804192E+16"/>
        <n v="7.4558370767430304E+16"/>
        <n v="8.0505500237179696E+16"/>
        <n v="7.4895810210378208E+16"/>
        <n v="8.0198616500859696E+16"/>
        <n v="7.9700916300670592E+16"/>
        <n v="8.20419730872784E+16"/>
        <n v="8.3201548676115296E+16"/>
        <n v="8.0985738364726096E+16"/>
        <n v="8.1671687061566208E+16"/>
        <n v="8.0630115704435504E+16"/>
        <n v="8.3364015876597408E+16"/>
        <n v="8.3181468154786592E+16"/>
        <n v="8.3143725894792E+16"/>
        <n v="8.3150178651722304E+16"/>
        <n v="8.3181789587171008E+16"/>
        <n v="7.4518371911152096E+16"/>
        <n v="8.0985967641105696E+16"/>
        <n v="8.13006858964284E+16"/>
        <n v="8.3520462140728992E+16"/>
        <n v="8.3422830386996896E+16"/>
        <n v="8.3483804255119008E+16"/>
        <n v="7.5878708346383008E+16"/>
        <n v="8.3552913922331904E+16"/>
        <n v="8.09856034618048E+16"/>
        <n v="7.7714882335222592E+16"/>
        <n v="7.3343276360393408E+16"/>
        <n v="8.1008921508046496E+16"/>
        <n v="7.9450479394542208E+16"/>
        <n v="8.0205485680874096E+16"/>
        <n v="7.4129931055067296E+16"/>
        <n v="8.1986012343104304E+16"/>
        <n v="8.0918988634187392E+16"/>
        <n v="8.3267711284510896E+16"/>
        <n v="8.1015426120855808E+16"/>
        <n v="8.3250618412176704E+16"/>
        <n v="8.3267068167334704E+16"/>
        <n v="8.1013765383531296E+16"/>
        <n v="7.9955210979126096E+16"/>
        <n v="7.4734314328826496E+16"/>
        <n v="8.0865079555253904E+16"/>
        <n v="8.3064502379279104E+16"/>
        <n v="8.1005735298904304E+16"/>
        <n v="7.8403219500028608E+16"/>
        <n v="7.5642649528265408E+16"/>
        <n v="8.1097204928598592E+16"/>
        <n v="8.3222047375365408E+16"/>
        <n v="8.0955913019764992E+16"/>
        <n v="7.84735293058464E+16"/>
        <n v="8.3104340047024704E+16"/>
        <n v="8.31065980877504E+16"/>
        <n v="8.3418324609411904E+16"/>
        <n v="7.9844555499492E+16"/>
        <n v="8.0150945511499392E+16"/>
        <n v="8.0361108951257696E+16"/>
        <n v="8.3163687549545296E+16"/>
        <n v="8.3356460777439392E+16"/>
        <n v="7.8522787807015296E+16"/>
        <n v="8.07290256140588E+16"/>
        <n v="8.34178239315248E+16"/>
        <n v="8.0281864422281792E+16"/>
        <n v="8.05450147526536E+16"/>
        <n v="7.9089400545473296E+16"/>
        <n v="8.3233691985241696E+16"/>
        <n v="8.1006221801958208E+16"/>
        <n v="8.2650724307816992E+16"/>
        <n v="7.9900868325659296E+16"/>
        <n v="8.3025933582871392E+16"/>
        <n v="8.0315206605722208E+16"/>
        <n v="8.32208986072352E+16"/>
        <n v="8.0755929055749792E+16"/>
        <n v="8.1770256284185408E+16"/>
        <n v="8.3238848961325904E+16"/>
        <n v="8.3203318999908496E+16"/>
        <n v="8.0578271516437296E+16"/>
        <n v="8.3029429693698592E+16"/>
        <n v="7.947621713418E+16"/>
        <n v="8.1426722788611296E+16"/>
        <n v="8.1369452646224496E+16"/>
        <n v="8.3396463329678592E+16"/>
        <n v="7.90666520349836E+16"/>
        <n v="8.10495643035036E+16"/>
        <n v="8.3145175903433504E+16"/>
        <n v="8.3133066440742208E+16"/>
        <n v="8.3146830262760192E+16"/>
        <n v="7.4720594741979296E+16"/>
        <n v="8.3266623985406496E+16"/>
        <n v="8.17347992661408E+16"/>
        <n v="8.3481648034735808E+16"/>
        <n v="7.96142899750956E+16"/>
        <n v="8.1261177914517104E+16"/>
        <n v="8.33671328513276E+16"/>
        <n v="7.9766175042696E+16"/>
        <n v="8.3486406233522304E+16"/>
        <n v="8.2400035099782E+16"/>
        <n v="8.0964491072378096E+16"/>
        <n v="8.1028071192925504E+16"/>
        <n v="8.3364523666969904E+16"/>
        <n v="8.1094767567631104E+16"/>
        <n v="8.2109334269427904E+16"/>
        <n v="8.2410071900427504E+16"/>
        <n v="7.47449403532208E+16"/>
        <n v="8.1011377145312E+16"/>
        <n v="8.35116388350624E+16"/>
        <n v="8.8210741555500304E+16"/>
        <n v="8.8326188652753696E+16"/>
        <n v="8.8702956916110096E+16"/>
        <n v="8.8285056633285504E+16"/>
        <n v="9.1614581887042592E+16"/>
        <n v="8.6099288442204896E+16"/>
        <n v="9.0549275977352096E+16"/>
        <n v="8.74104192281444E+16"/>
        <n v="8.6012439241618208E+16"/>
        <n v="8.9434757978384E+16"/>
        <n v="8.9390518283938592E+16"/>
        <n v="9.25150618778432E+16"/>
        <n v="8.7503533452227296E+16"/>
        <n v="9.0034596130464992E+16"/>
        <n v="8.7150720868554E+16"/>
        <n v="8.60387456162136E+16"/>
        <n v="9.0476957670185904E+16"/>
        <n v="8.7949164478132992E+16"/>
        <n v="9.0728837046633408E+16"/>
        <n v="9.3689485637661504E+16"/>
        <n v="8.8340256583832096E+16"/>
        <n v="8.7481796564603504E+16"/>
        <n v="8.7603039099933296E+16"/>
        <n v="8.9060923345087296E+16"/>
        <n v="9.4003594564416304E+16"/>
        <n v="8.5718399732929104E+16"/>
        <n v="9.0320364702040992E+16"/>
        <n v="8.9474388311283008E+16"/>
        <n v="8.4505034389967392E+16"/>
        <n v="8.9745675717956192E+16"/>
        <n v="8.9236241979675904E+16"/>
        <n v="8.4371889560736304E+16"/>
        <n v="8.6810940902353696E+16"/>
        <n v="8.9010898363999904E+16"/>
        <n v="8.8894248221135392E+16"/>
        <n v="9.2256919742088E+16"/>
        <n v="9.0633607198677904E+16"/>
        <n v="8.90129478626148E+16"/>
        <n v="8.6718111627077296E+16"/>
        <n v="8.88911766325932E+16"/>
        <n v="8.6759625378165504E+16"/>
        <n v="8.8576583222132896E+16"/>
        <n v="9.0483273047704608E+16"/>
        <n v="8.8959694748242496E+16"/>
        <n v="8.8301234395512992E+16"/>
        <n v="9.0379456057318304E+16"/>
        <n v="8.67824349182572E+16"/>
        <n v="8.9070827820690304E+16"/>
        <n v="9.0798776956781408E+16"/>
        <n v="8.68140689097688E+16"/>
        <n v="9.1550182575735808E+16"/>
        <n v="8.68401359680636E+16"/>
        <n v="8.7903642174288704E+16"/>
        <n v="8.6900428800979696E+16"/>
        <n v="9.31567826211016E+16"/>
        <n v="8.93590429939468E+16"/>
        <n v="9.0501349646148896E+16"/>
        <n v="8.6169067086026E+16"/>
        <n v="9.0497972085490592E+16"/>
        <n v="9.14697843235952E+16"/>
        <n v="8.6706459009807104E+16"/>
        <n v="8.4353848744837296E+16"/>
        <n v="8.67601143142744E+16"/>
        <n v="8.9634719507084E+16"/>
        <n v="8.56282243914904E+16"/>
        <n v="9.3613313297937296E+16"/>
        <n v="8.9437710890008704E+16"/>
        <n v="9.2908734242393696E+16"/>
        <n v="8.5182286928794208E+16"/>
        <n v="8.3985322282775296E+16"/>
        <n v="8.3770626091504192E+16"/>
        <n v="8.6334952477524096E+16"/>
        <n v="9.3757092235523008E+16"/>
        <n v="9.1507482656644E+16"/>
        <n v="8.6698852085855008E+16"/>
        <n v="9.4090755095606208E+16"/>
        <n v="8.9126041554660192E+16"/>
        <n v="8.6756588597679392E+16"/>
        <n v="8.50164898246048E+16"/>
        <n v="9.2781445912654704E+16"/>
        <n v="9.3576035716494208E+16"/>
        <n v="8.7473244919698704E+16"/>
        <n v="8.8661904223513408E+16"/>
        <n v="8.4682938328427296E+16"/>
        <n v="9.2487542268107696E+16"/>
        <n v="8.8318998165049904E+16"/>
        <n v="9.0660147026494304E+16"/>
        <n v="8.84834089007724E+16"/>
        <n v="8.6358213464879904E+16"/>
        <n v="8.8624324156200192E+16"/>
        <n v="8.3817417428047104E+16"/>
        <n v="9.3300070548278896E+16"/>
        <n v="8.9664711197070592E+16"/>
        <n v="8.6421417232426592E+16"/>
        <n v="8.7572441255084192E+16"/>
        <n v="8.9806364936383296E+16"/>
        <n v="8.53306949093916E+16"/>
        <n v="8.7155945264256304E+16"/>
        <n v="8.8246631507394704E+16"/>
        <n v="9.11142292478044E+16"/>
        <n v="8.7053253587118896E+16"/>
        <n v="9.4352684262130592E+16"/>
        <n v="8.9253134354019104E+16"/>
        <n v="8.9399047795736704E+16"/>
        <n v="8.67056258467432E+16"/>
        <n v="8.4348433922135296E+16"/>
        <n v="8.99377780833532E+16"/>
        <n v="8.8575543008171296E+16"/>
        <n v="9.0375782853804896E+16"/>
        <n v="8.9834376300524304E+16"/>
        <n v="9.1114509565565792E+16"/>
        <n v="8.6834580222371504E+16"/>
        <n v="8.8890575012688704E+16"/>
        <n v="8.71024784616292E+16"/>
        <n v="8.9023742776374E+16"/>
        <n v="8.9228002497390208E+16"/>
        <n v="9.0698834830304496E+16"/>
        <n v="9.11405761626448E+16"/>
        <n v="8.9820803000103696E+16"/>
        <n v="8.7495557813102208E+16"/>
        <n v="8.4222461328982208E+16"/>
        <n v="8.8967154468901504E+16"/>
        <n v="8.8689315053299296E+16"/>
        <n v="9.1772681091423104E+16"/>
        <n v="8.9538239175207808E+16"/>
        <n v="8.75929608919504E+16"/>
        <n v="8.92286999849796E+16"/>
        <n v="8.3792324538331904E+16"/>
        <n v="8.90569689668048E+16"/>
        <n v="8.6046346247279904E+16"/>
        <n v="9.1111234992741296E+16"/>
        <n v="9.4011951287317408E+16"/>
        <n v="8.7061694488646896E+16"/>
        <n v="8.9639066338470704E+16"/>
        <n v="9.0690182374366096E+16"/>
        <n v="9.3233047290023504E+16"/>
        <n v="8.75171706295748E+16"/>
        <n v="8.6756016521183392E+16"/>
        <n v="9.06631754913884E+16"/>
        <n v="8.8582461495374592E+16"/>
        <n v="9.0691937850131296E+16"/>
        <n v="8.9927123490974496E+16"/>
        <n v="8.78186791034008E+16"/>
        <n v="8.9411142611096096E+16"/>
        <n v="8.9661408568660608E+16"/>
        <n v="8.6159935742399104E+16"/>
        <n v="8.6839575577817904E+16"/>
        <n v="9.3994970043578704E+16"/>
        <n v="9.0774362342261792E+16"/>
        <n v="8.8353827145258304E+16"/>
        <n v="8.9440471605717792E+16"/>
        <n v="8.6997469663035504E+16"/>
        <n v="8.8947396949540992E+16"/>
        <n v="8.8159918817416496E+16"/>
        <n v="9.0110590195827696E+16"/>
        <n v="8.8533583334615904E+16"/>
        <n v="8.6167057700891504E+16"/>
        <n v="8.5777557726884608E+16"/>
        <n v="8.9279899135365696E+16"/>
        <n v="9.2330314466886496E+16"/>
        <n v="9.04299455212516E+16"/>
        <n v="8.9366837535634208E+16"/>
        <n v="8.6759472160821792E+16"/>
        <n v="8.9575348435036992E+16"/>
        <n v="8.67951942313904E+16"/>
        <n v="8.9104589971751104E+16"/>
        <n v="9.1492765561134E+16"/>
        <n v="9.2510853938512896E+16"/>
        <n v="8.7460421212706096E+16"/>
        <n v="9.0302275847488496E+16"/>
        <n v="8.68392470883172E+16"/>
        <n v="8.7389530655167808E+16"/>
        <n v="8.8630739731474096E+16"/>
        <n v="8.9755784381956192E+16"/>
        <n v="8.7436760967795296E+16"/>
        <n v="8.79469208919192E+16"/>
        <n v="8.8984112085529408E+16"/>
        <n v="9.11850528432792E+16"/>
        <n v="8.5027316368900192E+16"/>
        <n v="8.89474887335216E+16"/>
        <n v="9.3539328912716608E+16"/>
        <n v="8.8258744971919504E+16"/>
        <n v="8.9925866835928704E+16"/>
        <n v="9.15056309930628E+16"/>
        <n v="8.6369948575721104E+16"/>
        <n v="1.0480269417545699E+17"/>
        <n v="9.7927382061319808E+16"/>
        <n v="1.00070552321848E+17"/>
        <n v="1.01613131184366E+17"/>
        <n v="1.0450165419665E+17"/>
        <n v="9.5395989931620704E+16"/>
        <n v="9.76101756590464E+16"/>
        <n v="9.55748475519968E+16"/>
        <n v="9.50147226480936E+16"/>
        <n v="9.6516365373863296E+16"/>
        <n v="9.91538612228932E+16"/>
        <n v="9.7595403572016608E+16"/>
        <n v="9.5457450271897904E+16"/>
        <n v="1.0115808220115E+17"/>
        <n v="1.00485662525816E+17"/>
        <n v="9.6438336572290592E+16"/>
        <n v="9.52007153344316E+16"/>
        <n v="9.9874292992722304E+16"/>
        <n v="9.5093555023786896E+16"/>
        <n v="9.5463692717455808E+16"/>
        <n v="9.5904244185363904E+16"/>
        <n v="9.7573064620848096E+16"/>
        <n v="9.7382439304754592E+16"/>
        <n v="9.952999168062E+16"/>
        <n v="9.6515865974863296E+16"/>
        <n v="9.68038178613016E+16"/>
        <n v="9.7343712723879296E+16"/>
        <n v="1.0449941857035501E+17"/>
        <n v="1.0445798745600499E+17"/>
        <n v="1.0082887613908301E+17"/>
        <n v="9.7197157270718096E+16"/>
        <n v="9.7932638381093904E+16"/>
        <n v="1.0452658133011299E+17"/>
        <n v="1.00019153718424E+17"/>
        <n v="9.6556086941484704E+16"/>
        <n v="1.01908670335352E+17"/>
        <n v="9.53775238245892E+16"/>
        <n v="9.7990609349834096E+16"/>
        <n v="9.9772223276921904E+16"/>
        <n v="9.5325343695274896E+16"/>
        <n v="9.6516943649736304E+16"/>
        <n v="9.5432182538893696E+16"/>
        <n v="1.04455113406742E+17"/>
        <n v="9.7393014915150896E+16"/>
        <n v="9.9516257121793408E+16"/>
        <n v="9.5907101504648192E+16"/>
        <n v="9.5199678682837904E+16"/>
        <n v="9.5175923684276608E+16"/>
        <n v="9.76689529559628E+16"/>
        <n v="1.0407042389720701E+17"/>
        <n v="9.5867622131692896E+16"/>
        <n v="1.0385692466324701E+17"/>
        <n v="1.0445177878717699E+17"/>
        <n v="9.8898165194765296E+16"/>
        <n v="9.6174073429554592E+16"/>
        <n v="1.04858822419346E+17"/>
        <n v="9.6153861267338304E+16"/>
        <n v="9.4674197092956496E+16"/>
        <n v="1.0527796856529699E+17"/>
        <n v="1.0451791153164301E+17"/>
        <n v="9.8497040327046592E+16"/>
        <n v="9.9856227514644E+16"/>
        <n v="9.84130021909596E+16"/>
        <n v="9.5181694663689104E+16"/>
        <n v="1.0166932852456701E+17"/>
        <n v="9.7318644792374304E+16"/>
        <n v="1.0449527911881101E+17"/>
        <n v="1.05311383339692E+17"/>
        <n v="1.0012271771834899E+17"/>
        <n v="1.0487207900194E+17"/>
        <n v="9.7693181253973408E+16"/>
        <n v="1.0460107070534099E+17"/>
        <n v="9.4690290015437696E+16"/>
        <n v="1.00154616819168E+17"/>
        <n v="1.0448559660049699E+17"/>
        <n v="9.7362037840999904E+16"/>
        <n v="1.0175232047122899E+17"/>
        <n v="9.9358534904263696E+16"/>
        <n v="9.5077218426585904E+16"/>
        <n v="9.9194866735285904E+16"/>
        <n v="9.5413960699738496E+16"/>
        <n v="1.05198537729668E+17"/>
        <n v="9.8641301320168992E+16"/>
        <n v="1.0532301151905E+17"/>
        <n v="1.0455403525180301E+17"/>
        <n v="9.6949600050411008E+16"/>
        <n v="9.58381725937156E+16"/>
        <n v="9.7954334165104E+16"/>
        <n v="9.8075946959390096E+16"/>
        <n v="9.46662772098016E+16"/>
        <n v="9.47022158909408E+16"/>
        <n v="1.03406415210544E+17"/>
        <n v="1.0556658159013E+17"/>
        <n v="9.51559769292128E+16"/>
        <n v="1.0047340805111E+17"/>
        <n v="1.049953980491E+17"/>
        <n v="1.04986925493842E+17"/>
        <n v="9.9111710116054704E+16"/>
        <n v="1.03381569609072E+17"/>
        <n v="9.76168930449996E+16"/>
        <n v="1.0411800464382E+17"/>
        <n v="1.0570430181847501E+17"/>
        <n v="9.7397963329844192E+16"/>
        <n v="9.5431658799137696E+16"/>
        <n v="9.6131101195433408E+16"/>
        <n v="1.0515202937011901E+17"/>
        <n v="9.7033231232550304E+16"/>
        <n v="9.68736093156776E+16"/>
        <n v="9.4733051599029104E+16"/>
        <n v="9.5793795383984992E+16"/>
        <n v="9.5433761644032896E+16"/>
        <n v="9.5821250103802304E+16"/>
        <n v="9.6953757142561792E+16"/>
        <n v="9.6961135565010304E+16"/>
        <n v="9.47456329675252E+16"/>
        <n v="1.0131546041865901E+17"/>
        <n v="9.9853071376381504E+16"/>
        <n v="1.0240359835415299E+17"/>
        <n v="9.9091548911645696E+16"/>
        <n v="9.5158463013618496E+16"/>
        <n v="9.6519277789524992E+16"/>
        <n v="9.5410541011174304E+16"/>
        <n v="9.6560518793676192E+16"/>
        <n v="9.5474598008533792E+16"/>
        <n v="1.0496605615374E+17"/>
        <n v="1.00837769751978E+17"/>
        <n v="9.7319624640508896E+16"/>
        <n v="1.01579358474272E+17"/>
        <n v="9.73850916735524E+16"/>
        <n v="9.7901449960158704E+16"/>
        <n v="1.0010044860611101E+17"/>
        <n v="9.7749333122516608E+16"/>
        <n v="1.0155314922719699E+17"/>
        <n v="1.0486599006371501E+17"/>
        <n v="9.6731599250323008E+16"/>
        <n v="9.66004009162684E+16"/>
        <n v="1.05148777082716E+17"/>
        <n v="9.6516537139016704E+16"/>
        <n v="9.6651093857830496E+16"/>
        <n v="1.0276753196757699E+17"/>
        <n v="9.5104906240668496E+16"/>
        <n v="1.05172147504308E+17"/>
        <n v="9.87727417897752E+16"/>
        <n v="9.90162689604296E+16"/>
        <n v="9.5428260357142896E+16"/>
        <n v="9.5499712459473696E+16"/>
        <n v="1.0078920891396099E+17"/>
        <n v="9.8752605733188992E+16"/>
        <n v="9.5439597228295104E+16"/>
        <n v="1.01036511132072E+17"/>
        <n v="9.95145659364776E+16"/>
        <n v="9.5827499549668304E+16"/>
        <n v="1.0521177521487501E+17"/>
        <n v="9.6654307731911696E+16"/>
        <n v="9.5802812840999296E+16"/>
        <n v="9.54302384664216E+16"/>
        <n v="1.0388424453498099E+17"/>
        <n v="9.5309235403654E+16"/>
        <n v="9.5552885832319904E+16"/>
        <n v="9.7010291024103104E+16"/>
        <n v="1.01584820854798E+17"/>
        <n v="9.6510859506824192E+16"/>
        <n v="9.67959728480928E+16"/>
        <n v="9.5470979749020608E+16"/>
        <n v="9.69633729901052E+16"/>
        <n v="9.61259742108236E+16"/>
        <n v="9.7382441123464608E+16"/>
        <n v="1.00577383240852E+17"/>
        <n v="9.67647892182928E+16"/>
        <n v="1.04443127239344E+17"/>
        <n v="9.76406501213444E+16"/>
        <n v="9.5831088665917792E+16"/>
        <n v="1.0496767449831501E+17"/>
        <n v="1.1543917314142499E+17"/>
        <n v="1.14314028800622E+17"/>
        <n v="1.0748736035857699E+17"/>
        <n v="1.0752307162087E+17"/>
        <n v="1.09984456333656E+17"/>
        <n v="1.16915542253792E+17"/>
        <n v="1.15162386252762E+17"/>
        <n v="1.07514981855294E+17"/>
        <n v="1.11508411858056E+17"/>
        <n v="1.1393708558220899E+17"/>
        <n v="1.10709191873814E+17"/>
        <n v="1.14122471732494E+17"/>
        <n v="1.1501222060546301E+17"/>
        <n v="1.0845857813813299E+17"/>
        <n v="1.07131351777702E+17"/>
        <n v="1.0734498498785699E+17"/>
        <n v="1.07392160709632E+17"/>
        <n v="1.0737530896518E+17"/>
        <n v="1.07037906291684E+17"/>
        <n v="1.1629383856976301E+17"/>
        <n v="1.0783786739252899E+17"/>
        <n v="1.0706157473237901E+17"/>
        <n v="1.1388005709453299E+17"/>
        <n v="1.0748493917251101E+17"/>
        <n v="1.1388737436650301E+17"/>
        <n v="1.07288007429742E+17"/>
        <n v="1.1239990536414499E+17"/>
        <n v="1.1081037193025901E+17"/>
        <n v="1.0626756048771101E+17"/>
        <n v="1.1165485083999901E+17"/>
        <n v="1.10633916500472E+17"/>
        <n v="1.16385167966326E+17"/>
        <n v="1.05987743963832E+17"/>
        <n v="1.0744001414053101E+17"/>
        <n v="1.12014880990852E+17"/>
        <n v="1.1279201699551299E+17"/>
        <n v="1.15482773317516E+17"/>
        <n v="1.1459869515635E+17"/>
        <n v="1.0896930881801101E+17"/>
        <n v="1.14066611350094E+17"/>
        <n v="1.10991866322678E+17"/>
        <n v="1.0717123942405699E+17"/>
        <n v="1.13885136273306E+17"/>
        <n v="1.13187068544578E+17"/>
        <n v="1.15487397056416E+17"/>
        <n v="1.11306540720652E+17"/>
        <n v="1.0743979789060499E+17"/>
        <n v="1.15014385680022E+17"/>
        <n v="1.11673519331672E+17"/>
        <n v="1.06388058010878E+17"/>
        <n v="1.12791068277502E+17"/>
        <n v="1.1436591249636499E+17"/>
        <n v="1.0808589931871901E+17"/>
        <n v="1.1498770738689101E+17"/>
        <n v="1.07856702553912E+17"/>
        <n v="1.09224214507356E+17"/>
        <n v="1.14601368569706E+17"/>
        <n v="1.07366706663322E+17"/>
        <n v="1.1561690350186701E+17"/>
        <n v="1.12931704112706E+17"/>
        <n v="1.10040819336934E+17"/>
        <n v="1.1472215259146099E+17"/>
        <n v="1.0632417751822301E+17"/>
        <n v="1.14639459517234E+17"/>
        <n v="1.0715149769090301E+17"/>
        <n v="1.1636801031856499E+17"/>
        <n v="1.12992339971342E+17"/>
        <n v="1.1388662062896701E+17"/>
        <n v="1.1583985824054701E+17"/>
        <n v="1.07079675185266E+17"/>
        <n v="1.0606879182556E+17"/>
        <n v="1.1470678807468301E+17"/>
        <n v="1.1468489849703501E+17"/>
        <n v="1.09711453900272E+17"/>
        <n v="1.15468537968266E+17"/>
        <n v="1.1387983989915299E+17"/>
        <n v="1.0749002398894499E+17"/>
        <n v="1.07391612589732E+17"/>
        <n v="1.0698851281302E+17"/>
        <n v="1.13186799287038E+17"/>
        <n v="1.15016481272826E+17"/>
        <n v="1.0712321519284701E+17"/>
        <n v="1.1690743401526099E+17"/>
        <n v="1.07419569890816E+17"/>
        <n v="1.12123669983158E+17"/>
        <n v="1.0991717017953501E+17"/>
        <n v="1.0709474401402499E+17"/>
        <n v="1.0824764683324301E+17"/>
        <n v="1.1071792388748E+17"/>
        <n v="1.12217523152552E+17"/>
        <n v="1.06010949387056E+17"/>
        <n v="1.1206034502323E+17"/>
        <n v="1.07306177091756E+17"/>
        <n v="1.14657532957584E+17"/>
        <n v="1.07082584126944E+17"/>
        <n v="1.1419410516418499E+17"/>
        <n v="1.1616851943938E+17"/>
        <n v="1.11707036489544E+17"/>
        <n v="1.0958705468669901E+17"/>
        <n v="1.1646178993668099E+17"/>
        <n v="1.11429733144884E+17"/>
        <n v="1.1544255146455299E+17"/>
        <n v="1.11403680594686E+17"/>
        <n v="1.06927010359472E+17"/>
        <n v="1.1465603226916701E+17"/>
        <n v="1.1657946040870099E+17"/>
        <n v="1.1259028933564E+17"/>
        <n v="1.1151303840294499E+17"/>
        <n v="1.1221667272451299E+17"/>
        <n v="1.0712681972072099E+17"/>
        <n v="1.07143652639536E+17"/>
        <n v="1.1060349876194099E+17"/>
        <n v="1.07806223428116E+17"/>
        <n v="1.0700399677410099E+17"/>
        <n v="1.1288557552749699E+17"/>
        <n v="1.10436791136616E+17"/>
        <n v="1.1060120889238301E+17"/>
        <n v="1.0893901881455E+17"/>
        <n v="1.0668162725789299E+17"/>
        <n v="1.09659068779754E+17"/>
        <n v="1.0703705143973901E+17"/>
        <n v="1.0731413328501101E+17"/>
        <n v="1.09557143327142E+17"/>
        <n v="1.1417998451988499E+17"/>
        <n v="1.06665745592906E+17"/>
        <n v="1.07487053285192E+17"/>
        <n v="1.1142384502573901E+17"/>
        <n v="1.06365826774266E+17"/>
        <n v="1.1371784801002301E+17"/>
        <n v="1.1313074302644701E+17"/>
        <n v="1.1224300775096E+17"/>
        <n v="1.16896252511284E+17"/>
        <n v="1.08948672250934E+17"/>
        <n v="1.10944780435092E+17"/>
        <n v="1.12136573562418E+17"/>
        <n v="1.1469085187954899E+17"/>
        <n v="1.12223999580468E+17"/>
        <n v="1.1176610138976701E+17"/>
        <n v="1.1178809113752E+17"/>
        <n v="1.1575393903040301E+17"/>
        <n v="1.1493534912128E+17"/>
        <n v="1.14752356301962E+17"/>
        <n v="1.06016217021838E+17"/>
        <n v="1.11516208163086E+17"/>
        <n v="1.14342618246308E+17"/>
        <n v="1.1465454171540899E+17"/>
        <n v="1.0598122530657901E+17"/>
        <n v="1.1651185730050099E+17"/>
        <n v="1.07074338657956E+17"/>
        <n v="1.07026852916388E+17"/>
        <n v="1.0713657604338099E+17"/>
        <n v="1.10040308280226E+17"/>
        <n v="1.09309609139008E+17"/>
        <n v="1.13104490169958E+17"/>
        <n v="1.1459103680292701E+17"/>
        <n v="1.1113380788666E+17"/>
        <n v="1.09242975197134E+17"/>
        <n v="1.13888020238988E+17"/>
        <n v="1.1616560857251901E+17"/>
        <n v="1.11754426879992E+17"/>
        <n v="1.0751688533517101E+17"/>
        <n v="1.07083630257664E+17"/>
        <n v="1.1223907936272301E+17"/>
        <n v="1.10981072616878E+17"/>
        <n v="1.1582532677248499E+17"/>
        <n v="1.15695086982204E+17"/>
        <n v="1.0748015267783901E+17"/>
        <n v="1.1420479125253299E+17"/>
        <n v="1.1074783503269501E+17"/>
        <n v="1.1242846818012E+17"/>
        <n v="1.1548392136671501E+17"/>
        <n v="1.1675333512691699E+17"/>
        <n v="1.1437580842390301E+17"/>
        <n v="1.1573652904195101E+17"/>
        <n v="1.0714746719125101E+17"/>
        <n v="1.12174747606774E+17"/>
        <n v="1.07036959792324E+17"/>
        <n v="1.0705641422417901E+17"/>
        <n v="1.16849979620094E+17"/>
        <n v="1.0921741340864499E+17"/>
        <n v="1.0702235381651E+17"/>
        <n v="1.1395195352586301E+17"/>
        <n v="1.0809870720899101E+17"/>
        <n v="1.09607058579682E+17"/>
        <n v="1.07017124572328E+17"/>
        <n v="1.1349634346047501E+17"/>
        <n v="1.11003133078208E+17"/>
        <n v="1.1416265321955E+17"/>
        <n v="1.06427518256706E+17"/>
        <n v="1.0993865819560301E+17"/>
        <n v="1.13955893352398E+17"/>
        <n v="1.1280892739079E+17"/>
        <n v="1.1493141247770499E+17"/>
        <n v="1.0967063489708E+17"/>
        <n v="1.06670108600202E+17"/>
        <n v="1.14614584891042E+17"/>
        <n v="1.07924627704316E+17"/>
        <n v="1.1059725261527101E+17"/>
        <n v="1.1169356455519E+17"/>
        <n v="1.16611353196954E+17"/>
        <n v="1.1191764630457501E+17"/>
        <n v="1.15634174673882E+17"/>
        <n v="1.0587620923738499E+17"/>
        <n v="1.0636110952270701E+17"/>
        <n v="1.12488636548936E+17"/>
        <n v="1.0752799004035901E+17"/>
        <n v="1.1351935936813101E+17"/>
        <n v="1.12547668840046E+17"/>
        <n v="1.11510288125288E+17"/>
        <n v="1.0661070605244E+17"/>
        <n v="1.1495047399554899E+17"/>
        <n v="1.1062538472642099E+17"/>
        <n v="1.0711555596766E+17"/>
        <n v="1.0708393562396701E+17"/>
        <n v="1.0732656183823501E+17"/>
        <n v="1.1414396473869901E+17"/>
        <n v="1.13886516388066E+17"/>
        <n v="1.12548308959166E+17"/>
        <n v="1.1750366647137101E+17"/>
        <n v="1.2149125974653699E+17"/>
        <n v="1.2149111308556701E+17"/>
        <n v="1.2264541440317901E+17"/>
        <n v="1.2144403710607E+17"/>
        <n v="1.1974721841986301E+17"/>
        <n v="1.2263308124818099E+17"/>
        <n v="1.2277699232306301E+17"/>
        <n v="1.2012036324291E+17"/>
        <n v="1.2275586212013299E+17"/>
        <n v="1.1748570416627299E+17"/>
        <n v="1.19003712592178E+17"/>
        <n v="1.2596792550834E+17"/>
        <n v="1.21948045668676E+17"/>
        <n v="1.1744831355655299E+17"/>
        <n v="1.26291729287772E+17"/>
        <n v="1.2145541757336301E+17"/>
        <n v="1.1748361914839501E+17"/>
        <n v="1.1760819876412899E+17"/>
        <n v="1.2552076466034499E+17"/>
        <n v="1.2086863101286301E+17"/>
        <n v="1.193790838048E+17"/>
        <n v="1.22733284428992E+17"/>
        <n v="1.17469107401682E+17"/>
        <n v="1.2360885255303699E+17"/>
        <n v="1.1974749539706099E+17"/>
        <n v="1.21542298522776E+17"/>
        <n v="1.2521652468334E+17"/>
        <n v="1.1797000739228499E+17"/>
        <n v="1.1941996730426499E+17"/>
        <n v="1.22661062259798E+17"/>
        <n v="1.1751170523977699E+17"/>
        <n v="1.19659524197084E+17"/>
        <n v="1.1892148243660499E+17"/>
        <n v="1.2295943377206899E+17"/>
        <n v="1.2057378556598301E+17"/>
        <n v="1.2185602621049699E+17"/>
        <n v="1.2239160934516701E+17"/>
        <n v="1.21535902279598E+17"/>
        <n v="1.17245979736002E+17"/>
        <n v="1.1729365464236499E+17"/>
        <n v="1.1897879313383101E+17"/>
        <n v="1.1751289489538701E+17"/>
        <n v="1.17101768911122E+17"/>
        <n v="1.2016822005651299E+17"/>
        <n v="1.19821325828214E+17"/>
        <n v="1.17629672610886E+17"/>
        <n v="1.19317096441344E+17"/>
        <n v="1.2258074976652099E+17"/>
        <n v="1.1763172361764499E+17"/>
        <n v="1.25128857598888E+17"/>
        <n v="1.21140068655822E+17"/>
        <n v="1.17626681724006E+17"/>
        <n v="1.2190920279185299E+17"/>
        <n v="1.1747998961145E+17"/>
        <n v="1.2568173951030899E+17"/>
        <n v="1.20780893915868E+17"/>
        <n v="1.1969061072997101E+17"/>
        <n v="1.2156081509839299E+17"/>
        <n v="1.2125185281900099E+17"/>
        <n v="1.2073046907039299E+17"/>
        <n v="1.20066106221294E+17"/>
        <n v="1.2294011692999E+17"/>
        <n v="1.19815628269548E+17"/>
        <n v="1.2082949988892301E+17"/>
        <n v="1.2030403881388899E+17"/>
        <n v="1.2310283856143699E+17"/>
        <n v="1.2270101743038899E+17"/>
        <n v="1.22230901064232E+17"/>
        <n v="1.1896476366238099E+17"/>
        <n v="1.2160761036239299E+17"/>
        <n v="1.22355860335914E+17"/>
        <n v="1.2263652368544E+17"/>
        <n v="1.1868875951137101E+17"/>
        <n v="1.2218896144254899E+17"/>
        <n v="1.1732148032873699E+17"/>
        <n v="1.2157337311251299E+17"/>
        <n v="1.1748844511025E+17"/>
        <n v="1.2123718235009501E+17"/>
        <n v="1.21995067888304E+17"/>
        <n v="1.18367729827828E+17"/>
        <n v="1.1746782160843E+17"/>
        <n v="1.1969298940155901E+17"/>
        <n v="1.2381889220328899E+17"/>
        <n v="1.18647645514564E+17"/>
        <n v="1.2546995166562899E+17"/>
        <n v="1.2006344777767E+17"/>
        <n v="1.22185806630352E+17"/>
        <n v="1.1754010679315299E+17"/>
        <n v="1.2202028906344899E+17"/>
        <n v="1.1827205799283501E+17"/>
        <n v="1.1745851157908301E+17"/>
        <n v="1.20793414248812E+17"/>
        <n v="1.1706877017826499E+17"/>
        <n v="1.1748761257567901E+17"/>
        <n v="1.24744017670114E+17"/>
        <n v="1.17874432464286E+17"/>
        <n v="1.21211637175972E+17"/>
        <n v="1.19849851575596E+17"/>
        <n v="1.2042774049482E+17"/>
        <n v="1.20385196653702E+17"/>
        <n v="1.22249008784764E+17"/>
        <n v="1.1723916595930301E+17"/>
        <n v="1.1760209127462899E+17"/>
        <n v="1.2556058407812899E+17"/>
        <n v="1.2485337657619501E+17"/>
        <n v="1.1791921495913299E+17"/>
        <n v="1.1974864799091901E+17"/>
        <n v="1.17055857308758E+17"/>
        <n v="1.265859877481E+17"/>
        <n v="1.22030063163306E+17"/>
        <n v="1.2038820124878499E+17"/>
        <n v="1.22640792409108E+17"/>
        <n v="1.2663956767483299E+17"/>
        <n v="1.2369722277685299E+17"/>
        <n v="1.16972605390746E+17"/>
        <n v="1.2234953474662899E+17"/>
        <n v="1.1763167546221699E+17"/>
        <n v="1.1755194491420301E+17"/>
        <n v="1.2157395138522701E+17"/>
        <n v="1.18201586418872E+17"/>
        <n v="1.2633980828585901E+17"/>
        <n v="1.1985170680014099E+17"/>
        <n v="1.22246788844646E+17"/>
        <n v="1.19359413634232E+17"/>
        <n v="1.2149252705553101E+17"/>
        <n v="1.2234237426506E+17"/>
        <n v="1.22379042637902E+17"/>
        <n v="1.19296137709604E+17"/>
        <n v="1.22913983069056E+17"/>
        <n v="1.1762748396902499E+17"/>
        <n v="1.2198507863621101E+17"/>
        <n v="1.20805665610134E+17"/>
        <n v="1.1862844864946499E+17"/>
        <n v="1.17503347459912E+17"/>
        <n v="1.22510577331074E+17"/>
        <n v="1.2257301108895299E+17"/>
        <n v="1.2380960508405901E+17"/>
        <n v="1.2080716875700701E+17"/>
        <n v="1.1749355127812899E+17"/>
        <n v="1.215291053848E+17"/>
        <n v="1.26591982427732E+17"/>
        <n v="1.20882558404816E+17"/>
        <n v="1.1859243645602499E+17"/>
        <n v="1.2588470791314499E+17"/>
        <n v="1.1980069738567699E+17"/>
        <n v="1.1705515901569E+17"/>
        <n v="1.20376703402144E+17"/>
        <n v="1.2079864425233901E+17"/>
        <n v="1.26536146602982E+17"/>
        <n v="1.19499450368128E+17"/>
        <n v="1.17238495352876E+17"/>
        <n v="1.26338264960492E+17"/>
        <n v="1.2115575440965699E+17"/>
        <n v="1.22922845297864E+17"/>
        <n v="1.2153198794958499E+17"/>
        <n v="1.1864523813817101E+17"/>
        <n v="1.19715167982056E+17"/>
        <n v="1.2188733946757101E+17"/>
        <n v="1.22596170307588E+17"/>
        <n v="1.2260271640943E+17"/>
        <n v="1.2594986775144301E+17"/>
        <n v="1.2149067365127299E+17"/>
        <n v="1.219356975817E+17"/>
        <n v="1.20826081803792E+17"/>
        <n v="1.1748056620661501E+17"/>
        <n v="1.1732473459260899E+17"/>
        <n v="1.17461695655472E+17"/>
        <n v="1.1933456424932499E+17"/>
        <n v="1.17459382882692E+17"/>
        <n v="1.2412160605751901E+17"/>
        <n v="1.22720779799654E+17"/>
        <n v="1.2089024922805501E+17"/>
        <n v="1.1767073450730701E+17"/>
        <n v="1.1857488313016701E+17"/>
        <n v="1.19911462487192E+17"/>
        <n v="1.2451792391739101E+17"/>
        <n v="1.17867772077306E+17"/>
        <n v="1.22735581250874E+17"/>
        <n v="1.17501425071844E+17"/>
        <n v="1.2460708774883299E+17"/>
        <n v="1.1969561912803E+17"/>
        <n v="1.1830194148298E+17"/>
        <n v="1.2043995349794301E+17"/>
        <n v="1.22332329125082E+17"/>
        <n v="1.1904317814908E+17"/>
        <n v="1.19966383944618E+17"/>
        <n v="1.17487071397216E+17"/>
        <n v="1.26355463940148E+17"/>
        <n v="1.22024859818816E+17"/>
        <n v="1.22296621447054E+17"/>
        <n v="1.17510360763886E+17"/>
        <n v="1.2221874879941901E+17"/>
        <n v="1.2381965112607E+17"/>
        <n v="1.2665209408288301E+17"/>
        <n v="1.1748842296013101E+17"/>
        <n v="1.2345810696040899E+17"/>
        <n v="1.21963749788774E+17"/>
        <n v="1.26039417572728E+17"/>
        <n v="1.18199654497284E+17"/>
        <n v="1.18381320741388E+17"/>
        <n v="1.23643703973712E+17"/>
        <n v="1.20103383349752E+17"/>
        <n v="1.2012993363603901E+17"/>
        <n v="1.2340758312503299E+17"/>
        <n v="1.2665669370764499E+17"/>
        <n v="1.2008756998686701E+17"/>
        <n v="1.3809781585036301E+17"/>
        <n v="1.3209060246388701E+17"/>
        <n v="1.3615232985324099E+17"/>
        <n v="1.3083517784414701E+17"/>
        <n v="1.3608534386704701E+17"/>
        <n v="1.3795328822251101E+17"/>
        <n v="1.38284030402398E+17"/>
        <n v="1.3580292644972301E+17"/>
        <n v="1.34977208989782E+17"/>
        <n v="1.36750085644032E+17"/>
        <n v="1.3470944359759901E+17"/>
        <n v="1.3672964187571E+17"/>
        <n v="1.37864154501976E+17"/>
        <n v="1.3446544787380899E+17"/>
        <n v="1.34316696432738E+17"/>
        <n v="1.3637979408108899E+17"/>
        <n v="1.36793855805524E+17"/>
        <n v="1.28450822384452E+17"/>
        <n v="1.2839130518850099E+17"/>
        <n v="1.37508798074882E+17"/>
        <n v="1.28400603775992E+17"/>
        <n v="1.28004777821146E+17"/>
        <n v="1.2914728837864E+17"/>
        <n v="1.33776265018936E+17"/>
        <n v="1.2927879124779699E+17"/>
        <n v="1.36742009053684E+17"/>
        <n v="1.3436616063520099E+17"/>
        <n v="1.35399505901552E+17"/>
        <n v="1.3176444546125E+17"/>
        <n v="1.3288239961201101E+17"/>
        <n v="1.3822856918352E+17"/>
        <n v="1.28178162428438E+17"/>
        <n v="1.3054239637841699E+17"/>
        <n v="1.3597851227131901E+17"/>
        <n v="1.3174365076200099E+17"/>
        <n v="1.2817550771929101E+17"/>
        <n v="1.3091682174130899E+17"/>
        <n v="1.30687405431E+17"/>
        <n v="1.33067369105754E+17"/>
        <n v="1.3751462643398499E+17"/>
        <n v="1.3318822261712899E+17"/>
        <n v="1.34853942260762E+17"/>
        <n v="1.3529548649641E+17"/>
        <n v="1.3508155013952301E+17"/>
        <n v="1.2825504811866499E+17"/>
        <n v="1.29857906602482E+17"/>
        <n v="1.37238308435104E+17"/>
        <n v="1.3607715260836301E+17"/>
        <n v="1.3528648214754701E+17"/>
        <n v="1.3204362550968701E+17"/>
        <n v="1.33643370718724E+17"/>
        <n v="1.3354319085767901E+17"/>
        <n v="1.3384560587653901E+17"/>
        <n v="1.3206165097798099E+17"/>
        <n v="1.3511404960320899E+17"/>
        <n v="1.3099322678542301E+17"/>
        <n v="1.32129228224104E+17"/>
        <n v="1.30835549996352E+17"/>
        <n v="1.36704413910438E+17"/>
        <n v="1.2984992722496701E+17"/>
        <n v="1.3736627530255699E+17"/>
        <n v="1.32791279015594E+17"/>
        <n v="1.3234154356542701E+17"/>
        <n v="1.32849371959304E+17"/>
        <n v="1.3288591015625501E+17"/>
        <n v="1.33361054142138E+17"/>
        <n v="1.2911533687693299E+17"/>
        <n v="1.3248069600113501E+17"/>
        <n v="1.30691907681956E+17"/>
        <n v="1.36097986467928E+17"/>
        <n v="1.34888912024506E+17"/>
        <n v="1.3542920302877101E+17"/>
        <n v="1.3283556646640899E+17"/>
        <n v="1.29069092171334E+17"/>
        <n v="1.2980377321280301E+17"/>
        <n v="1.29468159590318E+17"/>
        <n v="1.3241982328756701E+17"/>
        <n v="1.3072962763037E+17"/>
        <n v="1.29276585026226E+17"/>
        <n v="1.3564377193228701E+17"/>
        <n v="1.35426543089656E+17"/>
        <n v="1.30511327307566E+17"/>
        <n v="1.3821419196979699E+17"/>
        <n v="1.3542905549452899E+17"/>
        <n v="1.3679651331381901E+17"/>
        <n v="1.3324705299264499E+17"/>
        <n v="1.28522485029214E+17"/>
        <n v="1.2943520533768099E+17"/>
        <n v="1.3460049342632E+17"/>
        <n v="1.3274145682034099E+17"/>
        <n v="1.3425554282175699E+17"/>
        <n v="1.28844212799244E+17"/>
        <n v="1.354807478079E+17"/>
        <n v="1.36018460497678E+17"/>
        <n v="1.3422129034005901E+17"/>
        <n v="1.32099542078984E+17"/>
        <n v="1.37886099317238E+17"/>
        <n v="1.35985740986614E+17"/>
        <n v="1.3342124817976701E+17"/>
        <n v="1.34976563526804E+17"/>
        <n v="1.29507243934686E+17"/>
        <n v="1.31051037696006E+17"/>
        <n v="1.3755778003957E+17"/>
        <n v="1.3354536083685699E+17"/>
        <n v="1.3537108813706899E+17"/>
        <n v="1.28085832434482E+17"/>
        <n v="1.3307100895632E+17"/>
        <n v="1.3127154095627299E+17"/>
        <n v="1.3110665767679101E+17"/>
        <n v="1.3284854932586701E+17"/>
        <n v="1.38202496917672E+17"/>
        <n v="1.38189717413234E+17"/>
        <n v="1.3515177586701699E+17"/>
        <n v="1.36040962722792E+17"/>
        <n v="1.3506210431113901E+17"/>
        <n v="1.3492312452976099E+17"/>
        <n v="1.3705479260973501E+17"/>
        <n v="1.2817043553996499E+17"/>
        <n v="1.35408240900374E+17"/>
        <n v="1.3051976029034899E+17"/>
        <n v="1.3469094179232301E+17"/>
        <n v="1.3275269312627501E+17"/>
        <n v="1.38092223311808E+17"/>
        <n v="1.3231165706214099E+17"/>
        <n v="1.32719428953512E+17"/>
        <n v="1.3821351908721101E+17"/>
        <n v="1.31338229772422E+17"/>
        <n v="1.3022030296085299E+17"/>
        <n v="1.30146817139998E+17"/>
        <n v="1.33463072957726E+17"/>
        <n v="1.34852030421574E+17"/>
        <n v="1.3384303448716899E+17"/>
        <n v="1.3273496117756099E+17"/>
        <n v="1.36023670132212E+17"/>
        <n v="1.3778150555291299E+17"/>
        <n v="1.3633743330938099E+17"/>
        <n v="1.3816566850666701E+17"/>
        <n v="1.34306093501582E+17"/>
        <n v="1.3354559063346301E+17"/>
        <n v="1.2874896715989E+17"/>
        <n v="1.32040431064386E+17"/>
        <n v="1.3533245631987699E+17"/>
        <n v="1.3103667751410099E+17"/>
        <n v="1.34897091263496E+17"/>
        <n v="1.32571350543302E+17"/>
        <n v="1.32561919687952E+17"/>
        <n v="1.3286706743387901E+17"/>
        <n v="1.2907984073740099E+17"/>
        <n v="1.32414229646312E+17"/>
        <n v="1.3525512610480099E+17"/>
        <n v="1.3264495660634099E+17"/>
        <n v="1.3616557139293101E+17"/>
        <n v="1.3430557031576301E+17"/>
        <n v="1.33846075034208E+17"/>
        <n v="1.2891661315611699E+17"/>
        <n v="1.3680849954685101E+17"/>
        <n v="1.37394315761294E+17"/>
        <n v="1.2942455686842E+17"/>
        <n v="1.3692062541483299E+17"/>
        <n v="1.3163674464269699E+17"/>
        <n v="1.3546182385097299E+17"/>
        <n v="1.3703220301912701E+17"/>
        <n v="1.3180914148353699E+17"/>
        <n v="1.31416007410878E+17"/>
        <n v="1.37558696795768E+17"/>
        <n v="1.3363556031637901E+17"/>
        <n v="1.36058921411314E+17"/>
        <n v="1.3738583257996099E+17"/>
        <n v="1.2815867617142499E+17"/>
        <n v="1.3027846576032899E+17"/>
        <n v="1.32741705605882E+17"/>
        <n v="1.435193893248E+17"/>
        <n v="1.4611976025270499E+17"/>
        <n v="1.4625338132126301E+17"/>
        <n v="1.43381128413874E+17"/>
        <n v="1.4514236189627299E+17"/>
        <n v="1.4335628144798E+17"/>
        <n v="1.42942804262722E+17"/>
        <n v="1.4328433849440301E+17"/>
        <n v="1.4305454240154301E+17"/>
        <n v="1.4728596672476301E+17"/>
        <n v="1.41791456033894E+17"/>
        <n v="1.42305404977304E+17"/>
        <n v="1.43016672017142E+17"/>
        <n v="1.4583699744977901E+17"/>
        <n v="1.42236954562038E+17"/>
        <n v="1.42835994429332E+17"/>
        <n v="1.4751421053989798E+17"/>
        <n v="1.45216631994784E+17"/>
        <n v="1.4318352723916301E+17"/>
        <n v="1.4221605652497101E+17"/>
        <n v="1.4919395521210202E+17"/>
        <n v="1.4728435798307802E+17"/>
        <n v="1.41823663804142E+17"/>
        <n v="1.42191758553772E+17"/>
        <n v="1.4253893620695699E+17"/>
        <n v="1.4405437377307901E+17"/>
        <n v="1.4741168184901699E+17"/>
        <n v="1.39385363327396E+17"/>
        <n v="1.3921930672541E+17"/>
        <n v="1.42148594395716E+17"/>
        <n v="1.39368130858816E+17"/>
        <n v="1.44099990155464E+17"/>
        <n v="1.40780902880484E+17"/>
        <n v="1.4580823880144998E+17"/>
        <n v="1.4042040018119299E+17"/>
        <n v="1.4838010612020602E+17"/>
        <n v="1.4209639673219901E+17"/>
        <n v="1.42196063080188E+17"/>
        <n v="1.4084888052761E+17"/>
        <n v="1.4832829385353299E+17"/>
        <n v="1.4652757925517699E+17"/>
        <n v="1.4079388496859E+17"/>
        <n v="1.4524731743154701E+17"/>
        <n v="1.4045654476747699E+17"/>
        <n v="1.40849219527876E+17"/>
        <n v="1.4015716149019E+17"/>
        <n v="1.4281994155705E+17"/>
        <n v="1.4331169178139699E+17"/>
        <n v="1.4281879787496701E+17"/>
        <n v="1.42601316958098E+17"/>
        <n v="1.4246005103014301E+17"/>
        <n v="1.4398232204368899E+17"/>
        <n v="1.441815118591E+17"/>
        <n v="1.42908802962398E+17"/>
        <n v="1.4505017345402202E+17"/>
        <n v="1.4815673614667002E+17"/>
        <n v="1.4537101158542598E+17"/>
        <n v="1.4516023605969402E+17"/>
        <n v="1.450257019593E+17"/>
        <n v="1.42931664736558E+17"/>
        <n v="1.4072426893243299E+17"/>
        <n v="1.4507424569737798E+17"/>
        <n v="1.4770098014974899E+17"/>
        <n v="1.3960972725155699E+17"/>
        <n v="1.4033426561047101E+17"/>
        <n v="1.45178225106652E+17"/>
        <n v="1.42981043121134E+17"/>
        <n v="1.4039140446271299E+17"/>
        <n v="1.4249776323399501E+17"/>
        <n v="1.4434345246412701E+17"/>
        <n v="1.4655880034511002E+17"/>
        <n v="1.4653692781161798E+17"/>
        <n v="1.4510262159419501E+17"/>
        <n v="1.4479964192594899E+17"/>
        <n v="1.43605926749426E+17"/>
        <n v="1.4576394336538E+17"/>
        <n v="1.4188000158201299E+17"/>
        <n v="1.4799294097034598E+17"/>
        <n v="1.4484827887109798E+17"/>
        <n v="1.4467677435786598E+17"/>
        <n v="1.4411024082053E+17"/>
        <n v="1.4408768881961E+17"/>
        <n v="1.4433887770836602E+17"/>
        <n v="1.4665075403925101E+17"/>
        <n v="1.46512531390744E+17"/>
        <n v="1.39394529619448E+17"/>
        <n v="1.4338261426703699E+17"/>
        <n v="1.41959272674488E+17"/>
        <n v="1.44095563507994E+17"/>
        <n v="1.4834713129068701E+17"/>
        <n v="1.4153310411177101E+17"/>
        <n v="1.3939144025313501E+17"/>
        <n v="1.41530565023732E+17"/>
        <n v="1.44817755019384E+17"/>
        <n v="1.4179613856649E+17"/>
        <n v="1.4861748051152198E+17"/>
        <n v="1.4552223474300301E+17"/>
        <n v="1.4369152925287101E+17"/>
        <n v="1.41531812799812E+17"/>
        <n v="1.43658022497284E+17"/>
        <n v="1.4153339536523699E+17"/>
        <n v="1.49089430082848E+17"/>
        <n v="1.4519871388742701E+17"/>
        <n v="1.4834008270409299E+17"/>
        <n v="1.49185141620444E+17"/>
        <n v="1.4797723246261402E+17"/>
        <n v="1.4378448056499E+17"/>
        <n v="1.4006977916001101E+17"/>
        <n v="1.4836520568744E+17"/>
        <n v="1.4185125980864099E+17"/>
        <n v="1.4192634991755501E+17"/>
        <n v="1.4765067591110301E+17"/>
        <n v="1.4807286201500301E+17"/>
        <n v="1.4762612342440301E+17"/>
        <n v="1.4875592537194899E+17"/>
        <n v="1.4879570135472701E+17"/>
        <n v="1.39586198214286E+17"/>
        <n v="1.4543074713809402E+17"/>
        <n v="1.43556788506746E+17"/>
        <n v="1.4367122155157E+17"/>
        <n v="1.40436484294188E+17"/>
        <n v="1.4549351810362701E+17"/>
        <n v="1.4865287955647802E+17"/>
        <n v="1.39575860634852E+17"/>
        <n v="1.3864272669747E+17"/>
        <n v="1.44859601854396E+17"/>
        <n v="1.41214950659396E+17"/>
        <n v="1.4824338613793699E+17"/>
        <n v="1.4235324197148701E+17"/>
        <n v="1.4898449426242202E+17"/>
        <n v="1.48326921558196E+17"/>
        <n v="1.48824369082828E+17"/>
        <n v="1.4911669765456301E+17"/>
        <n v="1.4621200925898099E+17"/>
        <n v="1.4113271325068701E+17"/>
        <n v="1.39554258788714E+17"/>
        <n v="1.4621461759305501E+17"/>
        <n v="1.4250507712189699E+17"/>
        <n v="1.3966130672750499E+17"/>
        <n v="1.4515787104415002E+17"/>
        <n v="1.41239808425562E+17"/>
        <n v="1.43218142977088E+17"/>
        <n v="1.4245767518365901E+17"/>
        <n v="1.4159989089622499E+17"/>
        <n v="1.41943811136396E+17"/>
        <n v="1.4775609555626099E+17"/>
        <n v="1.4910450596626899E+17"/>
        <n v="1.41509106891952E+17"/>
        <n v="1.4038752896776E+17"/>
        <n v="1.4409536092204701E+17"/>
        <n v="1.4619355882187002E+17"/>
        <n v="1.4188740859412701E+17"/>
        <n v="1.4918921244498499E+17"/>
        <n v="1.4912020276769901E+17"/>
        <n v="1.4012020827347501E+17"/>
        <n v="1.43922603518232E+17"/>
        <n v="1.4759077456429402E+17"/>
        <n v="1.41841284265052E+17"/>
        <n v="1.4154094199895501E+17"/>
        <n v="1.46262294196292E+17"/>
        <n v="1.41840423395676E+17"/>
        <n v="1.40115538885258E+17"/>
        <n v="1.40119680269878E+17"/>
        <n v="1.4187900161507501E+17"/>
        <n v="1.42940042465806E+17"/>
        <n v="1.44001790785508E+17"/>
        <n v="1.38562453076808E+17"/>
        <n v="1.39819143821306E+17"/>
        <n v="1.4587693960267501E+17"/>
        <n v="1.48281242957808E+17"/>
        <n v="1.4842020543768198E+17"/>
        <n v="1.3889111452160301E+17"/>
        <n v="1.46297849857984E+17"/>
        <n v="1.4501485661076E+17"/>
        <n v="1.43359425297142E+17"/>
        <n v="1.4443740711026301E+17"/>
        <n v="1.3894456706692E+17"/>
        <n v="1.38888629723638E+17"/>
        <n v="1.39674984619902E+17"/>
        <n v="1.48091984379616E+17"/>
        <n v="1.3889524915460899E+17"/>
        <n v="1.4217043618467699E+17"/>
        <n v="1.38349329321136E+17"/>
        <n v="1.3863311325800499E+17"/>
        <n v="1.4617694934575002E+17"/>
        <n v="1.4588710623486099E+17"/>
        <n v="1.3850285298408E+17"/>
        <n v="1.4587893216828E+17"/>
        <n v="1.3851150567981501E+17"/>
        <n v="1.4338424993235101E+17"/>
        <n v="1.45103004184812E+17"/>
        <n v="1.4757249514697501E+17"/>
        <n v="1.4043876758746099E+17"/>
        <n v="1.3932555120194499E+17"/>
        <n v="1.4067030972317901E+17"/>
        <n v="1.3959772841889699E+17"/>
        <n v="1.41114652200948E+17"/>
        <n v="1.4696911229885299E+17"/>
        <n v="1.4117369822434701E+17"/>
        <n v="1.4037061981113699E+17"/>
        <n v="1.41225429294486E+17"/>
        <n v="1.41179300624306E+17"/>
        <n v="1.4617349631510202E+17"/>
        <n v="1.40283154209018E+17"/>
        <n v="1.46315021492324E+17"/>
        <n v="1.4335412829484499E+17"/>
        <n v="1.3921796589909901E+17"/>
        <n v="1.4219685530422099E+17"/>
        <n v="1.4291304907863501E+17"/>
        <n v="1.4333269561118099E+17"/>
        <n v="1.4720030703718E+17"/>
        <n v="1.4336080620982099E+17"/>
        <n v="1.3893598836241901E+17"/>
        <n v="1.5243232709453901E+17"/>
        <n v="1.5962863472486499E+17"/>
        <n v="1.5667729239384499E+17"/>
        <n v="1.5198341138497699E+17"/>
        <n v="1.5883375499028301E+17"/>
        <n v="1.4993126218947398E+17"/>
        <n v="1.5049656603282899E+17"/>
        <n v="1.4953276356424899E+17"/>
        <n v="1.5009616750113901E+17"/>
        <n v="1.5636211159172198E+17"/>
        <n v="1.4958110672752E+17"/>
        <n v="1.5484587918502E+17"/>
        <n v="1.5056603176517798E+17"/>
        <n v="1.55619161760932E+17"/>
        <n v="1.5421109540861501E+17"/>
        <n v="1.5787492246980701E+17"/>
        <n v="1.58829840651332E+17"/>
        <n v="1.5881350846776301E+17"/>
        <n v="1.58274156985668E+17"/>
        <n v="1.5889521659671901E+17"/>
        <n v="1.56558135283232E+17"/>
        <n v="1.5514623344126099E+17"/>
        <n v="1.4952951365937101E+17"/>
        <n v="1.5204650359891699E+17"/>
        <n v="1.56725706036948E+17"/>
        <n v="1.5423859171010099E+17"/>
        <n v="1.59672189728688E+17"/>
        <n v="1.5815894106174499E+17"/>
        <n v="1.5990418468146598E+17"/>
        <n v="1.5704038869470499E+17"/>
        <n v="1.5889659138471299E+17"/>
        <n v="1.5416295772597101E+17"/>
        <n v="1.5381084663917501E+17"/>
        <n v="1.55743563505304E+17"/>
        <n v="1.5968751121920998E+17"/>
        <n v="1.5025382416132099E+17"/>
        <n v="1.5015502342190202E+17"/>
        <n v="1.5410921576080998E+17"/>
        <n v="1.5128341001414499E+17"/>
        <n v="1.60259110221196E+17"/>
        <n v="1.5049686433609299E+17"/>
        <n v="1.4976556335782701E+17"/>
        <n v="1.4941757739961699E+17"/>
        <n v="1.4945764935555699E+17"/>
        <n v="1.4992803414825798E+17"/>
        <n v="1.50177559548168E+17"/>
        <n v="1.55386219117748E+17"/>
        <n v="1.5346098003726301E+17"/>
        <n v="1.5408685445818E+17"/>
        <n v="1.4985523591764499E+17"/>
        <n v="1.5887628293802E+17"/>
        <n v="1.5280533285789501E+17"/>
        <n v="1.5027448732867501E+17"/>
        <n v="1.5640151471276301E+17"/>
        <n v="1.5972546220035501E+17"/>
        <n v="1.5089393047591802E+17"/>
        <n v="1.5813991713692602E+17"/>
        <n v="1.54281512073148E+17"/>
        <n v="1.50166142661068E+17"/>
        <n v="1.5349515601478499E+17"/>
        <n v="1.50224394068136E+17"/>
        <n v="1.5043468109913299E+17"/>
        <n v="1.5662256182271501E+17"/>
        <n v="1.4954599439555398E+17"/>
        <n v="1.5243733011527802E+17"/>
        <n v="1.50223841218168E+17"/>
        <n v="1.5261042173028499E+17"/>
        <n v="1.54447218915916E+17"/>
        <n v="1.5265444304372198E+17"/>
        <n v="1.5713109127787501E+17"/>
        <n v="1.5426812788970099E+17"/>
        <n v="1.5600850604507699E+17"/>
        <n v="1.5384496348077299E+17"/>
        <n v="1.5826591418425798E+17"/>
        <n v="1.5085395444761402E+17"/>
        <n v="1.54990558510036E+17"/>
        <n v="1.5662830548218899E+17"/>
        <n v="1.5525444704230301E+17"/>
        <n v="1.5461412791708301E+17"/>
        <n v="1.5856824777869402E+17"/>
        <n v="1.5169692772981299E+17"/>
        <n v="1.4951633852842099E+17"/>
        <n v="1.5528177604503699E+17"/>
        <n v="1.5701248554995501E+17"/>
        <n v="1.55626893927232E+17"/>
        <n v="1.54787439259492E+17"/>
        <n v="1.5959040332931501E+17"/>
        <n v="1.58816138199904E+17"/>
        <n v="1.5889618746484899E+17"/>
        <n v="1.5168981187412198E+17"/>
        <n v="1.5161746380813501E+17"/>
        <n v="1.5195667792308E+17"/>
        <n v="1.51296558288964E+17"/>
        <n v="1.53315159459308E+17"/>
        <n v="1.6026701056187802E+17"/>
        <n v="1.6804806059632301E+17"/>
        <n v="1.6678223752051501E+17"/>
        <n v="1.65371657409104E+17"/>
        <n v="1.6406559450841402E+17"/>
        <n v="1.7084851242326499E+17"/>
        <n v="1.6227463860804301E+17"/>
        <n v="1.6325696122267501E+17"/>
        <n v="1.6324685870639002E+17"/>
        <n v="1.6950676994349798E+17"/>
        <n v="1.6830871290415101E+17"/>
        <n v="1.6477945415621402E+17"/>
        <n v="1.6319328288386202E+17"/>
        <n v="1.64690090122252E+17"/>
        <n v="1.6079993775018202E+17"/>
        <n v="1.6785988908649699E+17"/>
        <n v="1.6298851786218202E+17"/>
        <n v="1.6568336740964899E+17"/>
        <n v="1.6362967978485699E+17"/>
        <n v="1.6691763926751699E+17"/>
        <n v="1.6584799157022301E+17"/>
        <n v="1.6579336592611901E+17"/>
        <n v="1.67521509829804E+17"/>
        <n v="1.6547086458116701E+17"/>
        <n v="1.6284301529824198E+17"/>
        <n v="1.6056727299453699E+17"/>
        <n v="1.6787277222258301E+17"/>
        <n v="1.6317151352755002E+17"/>
        <n v="1.6323484271991501E+17"/>
        <n v="1.6310536698990099E+17"/>
        <n v="1.7084407999847101E+17"/>
        <n v="1.6056692148438E+17"/>
        <n v="1.61399886058196E+17"/>
        <n v="1.6903216643136198E+17"/>
        <n v="1.6721144941304198E+17"/>
        <n v="1.6317190564464198E+17"/>
        <n v="1.62794638481408E+17"/>
        <n v="1.6694239435590899E+17"/>
        <n v="1.6765862815578899E+17"/>
        <n v="1.6082333255867802E+17"/>
        <n v="1.6781045548512099E+17"/>
        <n v="1.6538283656062701E+17"/>
        <n v="1.6468264103212E+17"/>
        <n v="1.6807806952023699E+17"/>
        <n v="1.6312760568706202E+17"/>
        <n v="1.6062680723260499E+17"/>
        <n v="1.69400631906372E+17"/>
        <n v="1.6547176512517101E+17"/>
        <n v="1.6586363562600198E+17"/>
        <n v="1.70756798972792E+17"/>
        <n v="1.6825197328659398E+17"/>
        <n v="1.6577503901368602E+17"/>
        <n v="1.7126938601893501E+17"/>
        <n v="1.66049447548652E+17"/>
        <n v="1.6348626200622202E+17"/>
        <n v="1.6934976552742499E+17"/>
        <n v="1.60951512309796E+17"/>
        <n v="1.6550842529248198E+17"/>
        <n v="1.6617768685360701E+17"/>
        <n v="1.6241463919020198E+17"/>
        <n v="1.6961423765555299E+17"/>
        <n v="1.7119511609388602E+17"/>
        <n v="1.69954152685012E+17"/>
        <n v="1.71265125775412E+17"/>
        <n v="1.67154385890348E+17"/>
        <n v="1.6723841137831699E+17"/>
        <n v="1.7110175898185299E+17"/>
        <n v="1.7074322231502499E+17"/>
        <n v="1.6934380414130899E+17"/>
        <n v="1.6336015643491299E+17"/>
        <n v="1.7833124518774598E+17"/>
        <n v="1.7731450319570598E+17"/>
        <n v="1.7798666551880899E+17"/>
        <n v="1.7375207529653901E+17"/>
        <n v="1.7320436721256099E+17"/>
        <n v="1.7163597062508E+17"/>
        <n v="1.7765524770601699E+17"/>
        <n v="1.80731761629852E+17"/>
        <n v="1.7890544603548602E+17"/>
        <n v="1.7199713578754099E+17"/>
        <n v="1.72169563222328E+17"/>
        <n v="1.7665875544062301E+17"/>
        <n v="1.8064200380075901E+17"/>
        <n v="1.7927884355382598E+17"/>
        <n v="1.7819249089215101E+17"/>
        <n v="1.736142559107E+17"/>
        <n v="1.71543003508168E+17"/>
        <n v="1.81674591500104E+17"/>
        <n v="1.7296036101883501E+17"/>
        <n v="1.74457561167792E+17"/>
        <n v="1.7983444460916602E+17"/>
        <n v="1.7160307114623299E+17"/>
        <n v="1.81309712045732E+17"/>
        <n v="1.8237589985296E+17"/>
        <n v="1.7195646176418202E+17"/>
        <n v="1.7198522442555398E+17"/>
        <n v="1.7698644211505402E+17"/>
        <n v="1.8249100701912E+17"/>
        <n v="1.7916288801518099E+17"/>
        <n v="1.8253363278230301E+17"/>
        <n v="1.93717719068284E+17"/>
        <n v="1.9160204051775501E+17"/>
        <n v="1.89341000141144E+17"/>
        <n v="1.9104293055869798E+17"/>
        <n v="1.8760061283758899E+17"/>
        <n v="1.8677096849922E+17"/>
        <n v="1.8303912652551002E+17"/>
        <n v="1.84983578541868E+17"/>
        <n v="1.8420587991318899E+17"/>
        <n v="1.90718104342168E+17"/>
        <n v="1.8569095621618899E+17"/>
        <n v="1.8925052726610701E+17"/>
        <n v="1.91144630480584E+17"/>
        <n v="1.90796621737672E+17"/>
        <n v="1.9079680994551398E+17"/>
        <n v="1.8321811232021299E+17"/>
        <n v="1.9047194362278499E+17"/>
        <n v="1.8687862412863101E+17"/>
        <n v="1.8613230800866701E+17"/>
        <n v="1.89238800294396E+17"/>
        <n v="1.8797452284104301E+17"/>
        <n v="1.92444402906464E+17"/>
        <n v="1.9117028322187699E+17"/>
        <n v="1.8743784930521901E+17"/>
        <n v="1.92769994638692E+17"/>
        <n v="1.8270729695841299E+17"/>
        <n v="1.8941387020045501E+17"/>
        <n v="1.89691917872956E+17"/>
        <n v="1.93328474524516E+17"/>
        <n v="1.8618178887873699E+17"/>
        <n v="1.9227037084133299E+17"/>
        <n v="1.8859722842287299E+17"/>
        <n v="1.9116997258271501E+17"/>
        <n v="1.9179392109723699E+17"/>
        <n v="1.88546398412632E+17"/>
        <n v="1.8748880055700301E+17"/>
      </sharedItems>
    </cacheField>
    <cacheField name="order_date" numFmtId="165">
      <sharedItems/>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ount="12">
        <n v="9"/>
        <n v="10"/>
        <n v="11"/>
        <n v="12"/>
        <n v="1"/>
        <n v="2"/>
        <n v="3"/>
        <n v="4"/>
        <n v="5"/>
        <n v="6"/>
        <n v="7"/>
        <n v="8"/>
      </sharedItems>
    </cacheField>
    <cacheField name="Year" numFmtId="0">
      <sharedItems containsSemiMixedTypes="0" containsString="0" containsNumber="1" containsInteger="1" minValue="2024" maxValue="2025"/>
    </cacheField>
    <cacheField name="MONTH " numFmtId="0">
      <sharedItems containsNonDate="0" containsString="0" containsBlank="1"/>
    </cacheField>
    <cacheField name="order_status" numFmtId="0">
      <sharedItems count="7">
        <s v="Shipped"/>
        <s v="Delivered"/>
        <s v="rto"/>
        <s v="Cancelled"/>
        <s v="Ordered"/>
        <s v="Return"/>
        <s v="Exchange"/>
      </sharedItems>
    </cacheField>
    <cacheField name="end_customer_pin" numFmtId="1">
      <sharedItems containsSemiMixedTypes="0" containsString="0" containsNumber="1" containsInteger="1" minValue="110008" maxValue="855108"/>
    </cacheField>
    <cacheField name="hsn_code" numFmtId="1">
      <sharedItems containsSemiMixedTypes="0" containsString="0" containsNumber="1" containsInteger="1" minValue="7117" maxValue="961590" count="5">
        <n v="7117"/>
        <n v="711790"/>
        <n v="340600"/>
        <n v="961590"/>
        <n v="330410"/>
      </sharedItems>
    </cacheField>
    <cacheField name="gst_rate" numFmtId="1">
      <sharedItems containsSemiMixedTypes="0" containsString="0" containsNumber="1" containsInteger="1" minValue="3" maxValue="18" count="3">
        <n v="3"/>
        <n v="18"/>
        <n v="12"/>
      </sharedItems>
    </cacheField>
    <cacheField name="total_taxable_sale_value" numFmtId="1">
      <sharedItems containsSemiMixedTypes="0" containsString="0" containsNumber="1" minValue="0" maxValue="460.19417479999998"/>
    </cacheField>
    <cacheField name="tax_amount" numFmtId="1">
      <sharedItems containsSemiMixedTypes="0" containsString="0" containsNumber="1" minValue="0" maxValue="74"/>
    </cacheField>
    <cacheField name="total_invoice_value" numFmtId="1">
      <sharedItems containsSemiMixedTypes="0" containsString="0" containsNumber="1" minValue="0" maxValue="488" count="512">
        <n v="125.32038834951369"/>
        <n v="130.13559322033851"/>
        <n v="108.9999999999994"/>
        <n v="93.118644067796495"/>
        <n v="154.99999999999909"/>
        <n v="168.99999999999909"/>
        <n v="141.99999999999952"/>
        <n v="125.0508474576265"/>
        <n v="110.93203883495109"/>
        <n v="118.6101694915254"/>
        <n v="143.13559322033811"/>
        <n v="112.0508474576271"/>
        <n v="138.0508474576271"/>
        <n v="139.9999999999998"/>
        <n v="96.553398058252398"/>
        <n v="131.29126213592184"/>
        <n v="161.08737864077619"/>
        <n v="128.78640776699012"/>
        <n v="146.61165048543691"/>
        <n v="160.99999999999949"/>
        <n v="163.34951456310679"/>
        <n v="156.20388349514496"/>
        <n v="163.9999999999992"/>
        <n v="205.20388349514542"/>
        <n v="145.40776699029107"/>
        <n v="144.6699029126209"/>
        <n v="158.17475728155321"/>
        <n v="154.29126213592221"/>
        <n v="149.99999999999994"/>
        <n v="133.29126213592232"/>
        <n v="94"/>
        <n v="140.99999999999986"/>
        <n v="149.05825242718419"/>
        <n v="171.17475728155324"/>
        <n v="144.9999999999998"/>
        <n v="166.99999999999991"/>
        <n v="151.9999999999994"/>
        <n v="118.66990291262086"/>
        <n v="143.99999999999955"/>
        <n v="121.11864406779659"/>
        <n v="129.75728155339712"/>
        <n v="169.17475728155279"/>
        <n v="170.20388349514525"/>
        <n v="157.20388349514522"/>
        <n v="174.9999999999998"/>
        <n v="110.69902912621322"/>
        <n v="135.99999999999969"/>
        <n v="113.9999999999999"/>
        <n v="117.13559322033899"/>
        <n v="157.29126213592193"/>
        <n v="140.72815533980545"/>
        <n v="162.99999999999997"/>
        <n v="128.4951456310678"/>
        <n v="262.58252427184374"/>
        <n v="132.2912621359221"/>
        <n v="131.5254237288128"/>
        <n v="123.52427184465985"/>
        <n v="116.6610169491525"/>
        <n v="206.55339805825244"/>
        <n v="153.29126213592198"/>
        <n v="107.8983050847457"/>
        <n v="153.20388349514531"/>
        <n v="116.72815533980585"/>
        <n v="128.52542372881271"/>
        <n v="161.40776699029078"/>
        <n v="167.2330097087378"/>
        <n v="281.99999999999972"/>
        <n v="123.61165048543654"/>
        <n v="136.99999999999991"/>
        <n v="146.52427184466021"/>
        <n v="151.2912621359215"/>
        <n v="188.78571428571368"/>
        <n v="135.29126213592178"/>
        <n v="145.55339805825221"/>
        <n v="142.61165048543597"/>
        <n v="141.66990291262121"/>
        <n v="202.99999999999929"/>
        <n v="149.99999999999929"/>
        <n v="139.7281553398052"/>
        <n v="155.99999999999935"/>
        <n v="155.87378640776612"/>
        <n v="161.57142857142782"/>
        <n v="149.60714285714269"/>
        <n v="172.99999999999932"/>
        <n v="161.29126213592184"/>
        <n v="211.55339805825159"/>
        <n v="157.9999999999998"/>
        <n v="178.05825242718393"/>
        <n v="165.60714285714238"/>
        <n v="152.29126213592173"/>
        <n v="137.07766990291233"/>
        <n v="138.72815533980497"/>
        <n v="161.72815533980534"/>
        <n v="117.72815533980508"/>
        <n v="156.3928571428564"/>
        <n v="152.20388349514505"/>
        <n v="156.92857142857119"/>
        <n v="173.92857142857079"/>
        <n v="184.92857142857119"/>
        <n v="159.20388349514468"/>
        <n v="166.60714285714218"/>
        <n v="127.52427184465979"/>
        <n v="182.9999999999998"/>
        <n v="171.05825242718433"/>
        <n v="142.66990291262044"/>
        <n v="160.08737864077597"/>
        <n v="155.29126213592144"/>
        <n v="128.43689320388333"/>
        <n v="165.99999999999969"/>
        <n v="164.29126213592153"/>
        <n v="181.96428571428481"/>
        <n v="90.786407766990266"/>
        <n v="219.99999999999949"/>
        <n v="145.14285714285671"/>
        <n v="144.29126213592187"/>
        <n v="172.28571428571379"/>
        <n v="164.99999999999943"/>
        <n v="181.67857142857079"/>
        <n v="166.92857142857079"/>
        <n v="200.9999999999992"/>
        <n v="147.52427184465944"/>
        <n v="185.75"/>
        <n v="134.29126213592156"/>
        <n v="104.69902912621282"/>
        <n v="89.553398058252469"/>
        <n v="154.78571428571351"/>
        <n v="179.99999999999994"/>
        <n v="176.92857142857139"/>
        <n v="170.29126213592195"/>
        <n v="158.52427184466001"/>
        <n v="163.29126213592232"/>
        <n v="249.04854368932018"/>
        <n v="165.29126213592178"/>
        <n v="146.55339805825244"/>
        <n v="245.9999999999998"/>
        <n v="141.52427184466006"/>
        <n v="146.3928571428568"/>
        <n v="159.99999999999929"/>
        <n v="114.6610169491525"/>
        <n v="170.99999999999986"/>
        <n v="175.9999999999992"/>
        <n v="169.99999999999963"/>
        <n v="203.78571428571351"/>
        <n v="154.2038834951455"/>
        <n v="153.99999999999989"/>
        <n v="164.60714285714249"/>
        <n v="363.78571428571411"/>
        <n v="183.99999999999989"/>
        <n v="153.52427184465986"/>
        <n v="157.4642857142855"/>
        <n v="210"/>
        <n v="152.99999999999966"/>
        <n v="189.0714285714277"/>
        <n v="170.4999999999998"/>
        <n v="168.05825242718362"/>
        <n v="150.49514563106791"/>
        <n v="170.0582524271841"/>
        <n v="199.78640776698964"/>
        <n v="157.64285714285668"/>
        <n v="192.99999999999937"/>
        <n v="140.0582524271841"/>
        <n v="131.72815533980534"/>
        <n v="141.99999999999909"/>
        <n v="163.8135593220338"/>
        <n v="174.92857142857071"/>
        <n v="116.29126213592235"/>
        <n v="338.14285714285609"/>
        <n v="178.99999999999937"/>
        <n v="170.67857142857139"/>
        <n v="185.99999999999935"/>
        <n v="213.99999999999937"/>
        <n v="161.99999999999977"/>
        <n v="129.72815533980489"/>
        <n v="113.29126213592166"/>
        <n v="149.29126213592207"/>
        <n v="162.52427184465995"/>
        <n v="189.9999999999998"/>
        <n v="212.99999999999949"/>
        <n v="124.52427184466009"/>
        <n v="204.69902912621311"/>
        <n v="131.66990291262087"/>
        <n v="203"/>
        <n v="217.26213592232963"/>
        <n v="156.26213592232943"/>
        <n v="145.4368932038833"/>
        <n v="206.89830508474532"/>
        <n v="184.99999999999912"/>
        <n v="143.29126213592164"/>
        <n v="156.52427184465952"/>
        <n v="194.99999999999943"/>
        <n v="161.11650485436843"/>
        <n v="133.55339805825241"/>
        <n v="186.99999999999955"/>
        <n v="168.17475728155253"/>
        <n v="185.29126213592144"/>
        <n v="171.99999999999909"/>
        <n v="177.29126213592156"/>
        <n v="147.14563106796041"/>
        <n v="174.05825242718399"/>
        <n v="160.05825242718373"/>
        <n v="276.2330097087372"/>
        <n v="277.26213592232966"/>
        <n v="175.29126213592212"/>
        <n v="147.11650485436817"/>
        <n v="173.99999999999952"/>
        <n v="134.52427184465941"/>
        <n v="183.05825242718413"/>
        <n v="285.99999999999966"/>
        <n v="157.11650485436851"/>
        <n v="146.29126213592235"/>
        <n v="105.40776699029074"/>
        <n v="239.99999999999991"/>
        <n v="107.55339805825236"/>
        <n v="190.99999999999949"/>
        <n v="176"/>
        <n v="160.29126213592161"/>
        <n v="151.23300970873706"/>
        <n v="251.26213592232958"/>
        <n v="155.26213592232921"/>
        <n v="257.26213592233"/>
        <n v="247.55339805825196"/>
        <n v="140.29126213592195"/>
        <n v="166.55339805825213"/>
        <n v="128.72815533980565"/>
        <n v="207.55339805825164"/>
        <n v="176.26213592233012"/>
        <n v="176.11650485436894"/>
        <n v="161.55339805825193"/>
        <n v="160.72815533980511"/>
        <n v="147.72815533980508"/>
        <n v="160.14563106796044"/>
        <n v="136.72815533980551"/>
        <n v="160.5533980582517"/>
        <n v="152.26213592232949"/>
        <n v="148.99999999999972"/>
        <n v="287.28155339805789"/>
        <n v="193.05825242718444"/>
        <n v="142.5533980582515"/>
        <n v="204.24271844660171"/>
        <n v="206.99999999999923"/>
        <n v="182.99999999999966"/>
        <n v="149.55339805825216"/>
        <n v="150.99999999999918"/>
        <n v="161.52427184465969"/>
        <n v="151.55339805825162"/>
        <n v="152.52427184465961"/>
        <n v="163.69902912621356"/>
        <n v="168.99999999999937"/>
        <n v="171.26213592232995"/>
        <n v="261.11650485436877"/>
        <n v="166.29126213592201"/>
        <n v="202.3009708737857"/>
        <n v="158.99999999999906"/>
        <n v="142.26213592232918"/>
        <n v="224.9999999999998"/>
        <n v="190.65048543689269"/>
        <n v="154.1747572815533"/>
        <n v="167.11650485436886"/>
        <n v="162.26213592232986"/>
        <n v="163.43689320388347"/>
        <n v="149.49514563106769"/>
        <n v="160.20388349514491"/>
        <n v="201.55339805825227"/>
        <n v="169.26213592232946"/>
        <n v="154.26213592232997"/>
        <n v="151.66990291262053"/>
        <n v="136.46601941747542"/>
        <n v="143.26213592232941"/>
        <n v="191.26213592232958"/>
        <n v="147.99999999999949"/>
        <n v="130.58252427184394"/>
        <n v="133.26213592233009"/>
        <n v="158.20388349514545"/>
        <n v="166.2621359223298"/>
        <n v="212.26213592232949"/>
        <n v="199.9999999999996"/>
        <n v="171.1165048543688"/>
        <n v="177.99999999999946"/>
        <n v="156.72815533980517"/>
        <n v="154.55339805825233"/>
        <n v="150.26213592233006"/>
        <n v="158.26213592232992"/>
        <n v="136.14563106796086"/>
        <n v="144.20388349514516"/>
        <n v="103.14563106796118"/>
        <n v="188.95145631067888"/>
        <n v="177.44660194174705"/>
        <n v="157.61165048543648"/>
        <n v="151.52427184465938"/>
        <n v="172.67961165048473"/>
        <n v="126.64077669902848"/>
        <n v="143.64077669902844"/>
        <n v="139.26213592232949"/>
        <n v="173.78640776698958"/>
        <n v="219.99999999999926"/>
        <n v="176.08737864077671"/>
        <n v="172.26213592232918"/>
        <n v="144.26213592232963"/>
        <n v="158.46601941747554"/>
        <n v="156.55339805825179"/>
        <n v="122.99999999999966"/>
        <n v="152.66990291262078"/>
        <n v="180.99999999999918"/>
        <n v="156.64077669902846"/>
        <n v="143.69902912621291"/>
        <n v="181.55339805825159"/>
        <n v="231.26213592232992"/>
        <n v="179.02912621359195"/>
        <n v="155.72815533980494"/>
        <n v="160.52427184465947"/>
        <n v="159.0291262135913"/>
        <n v="138.37864077669818"/>
        <n v="219.00000000000003"/>
        <n v="168.88349514563043"/>
        <n v="154.99999999999912"/>
        <n v="193.88349514563026"/>
        <n v="158.02912621359206"/>
        <n v="102.8571428571428"/>
        <n v="119.64077669902885"/>
        <n v="170.23300970873748"/>
        <n v="153.34951456310645"/>
        <n v="200.99999999999983"/>
        <n v="125.20388349514477"/>
        <n v="138.61165048543606"/>
        <n v="167.26213592233"/>
        <n v="157.66990291262096"/>
        <n v="135.69902912621305"/>
        <n v="123.55339805825209"/>
        <n v="173.14563106796047"/>
        <n v="0"/>
        <n v="141.69902912621345"/>
        <n v="157.26213592232969"/>
        <n v="174.26213592232963"/>
        <n v="142.20388349514471"/>
        <n v="87.640776699029104"/>
        <n v="215.99999999999932"/>
        <n v="150.69902912621353"/>
        <n v="160.23300970873714"/>
        <n v="111.5533980582523"/>
        <n v="148.52427184465967"/>
        <n v="180.99999999999912"/>
        <n v="161.14563106796066"/>
        <n v="151.26213592232929"/>
        <n v="131.52427184465972"/>
        <n v="138.99999999999937"/>
        <n v="148.64077669902861"/>
        <n v="168.233009708737"/>
        <n v="154.58252427184453"/>
        <n v="206.64077669902912"/>
        <n v="155.66990291262047"/>
        <n v="144.58252427184419"/>
        <n v="165.37864077669846"/>
        <n v="154.69902912621347"/>
        <n v="214.43689320388336"/>
        <n v="138.14563106796032"/>
        <n v="140.26213592232972"/>
        <n v="148.75728155339752"/>
        <n v="125.69902912621272"/>
        <n v="141.26213592232995"/>
        <n v="177.72815533980506"/>
        <n v="84.786407766990251"/>
        <n v="165.26213592232952"/>
        <n v="105.81553398058199"/>
        <n v="179.9999999999992"/>
        <n v="154.14563106796106"/>
        <n v="269.55339805825213"/>
        <n v="171.20388349514548"/>
        <n v="181.9999999999994"/>
        <n v="136.6116504854366"/>
        <n v="316.99029126213549"/>
        <n v="167.99999999999915"/>
        <n v="166.14563106796086"/>
        <n v="199.26213592232946"/>
        <n v="144.14563106796069"/>
        <n v="323.99999999999955"/>
        <n v="189.99999999999926"/>
        <n v="165.55339805825187"/>
        <n v="137.52427184466012"/>
        <n v="204.26213592232961"/>
        <n v="242.99999999999963"/>
        <n v="212.99999999999963"/>
        <n v="136"/>
        <n v="175"/>
        <n v="179"/>
        <n v="168"/>
        <n v="146"/>
        <n v="113"/>
        <n v="172"/>
        <n v="164"/>
        <n v="250"/>
        <n v="141"/>
        <n v="157"/>
        <n v="156"/>
        <n v="166"/>
        <n v="119"/>
        <n v="174"/>
        <n v="182"/>
        <n v="149"/>
        <n v="266"/>
        <n v="183"/>
        <n v="199"/>
        <n v="133"/>
        <n v="142"/>
        <n v="139"/>
        <n v="190"/>
        <n v="171"/>
        <n v="163"/>
        <n v="144"/>
        <n v="150"/>
        <n v="173"/>
        <n v="159"/>
        <n v="232"/>
        <n v="187"/>
        <n v="90"/>
        <n v="198"/>
        <n v="161"/>
        <n v="106"/>
        <n v="148"/>
        <n v="140"/>
        <n v="155"/>
        <n v="178"/>
        <n v="272"/>
        <n v="283"/>
        <n v="154"/>
        <n v="255"/>
        <n v="152"/>
        <n v="124"/>
        <n v="162"/>
        <n v="138"/>
        <n v="196"/>
        <n v="158"/>
        <n v="263"/>
        <n v="165"/>
        <n v="205"/>
        <n v="167"/>
        <n v="92"/>
        <n v="180"/>
        <n v="193"/>
        <n v="169"/>
        <n v="160"/>
        <n v="147"/>
        <n v="270"/>
        <n v="237"/>
        <n v="278"/>
        <n v="170"/>
        <n v="186"/>
        <n v="251"/>
        <n v="218"/>
        <n v="151"/>
        <n v="197"/>
        <n v="88"/>
        <n v="221"/>
        <n v="132"/>
        <n v="238"/>
        <n v="225"/>
        <n v="126"/>
        <n v="104"/>
        <n v="181"/>
        <n v="128"/>
        <n v="177"/>
        <n v="192"/>
        <n v="131"/>
        <n v="209"/>
        <n v="118"/>
        <n v="127"/>
        <n v="153"/>
        <n v="202"/>
        <n v="191"/>
        <n v="185"/>
        <n v="145"/>
        <n v="330"/>
        <n v="137"/>
        <n v="310"/>
        <n v="322"/>
        <n v="226"/>
        <n v="188"/>
        <n v="294"/>
        <n v="195"/>
        <n v="256"/>
        <n v="208"/>
        <n v="350"/>
        <n v="264"/>
        <n v="184"/>
        <n v="235"/>
        <n v="223"/>
        <n v="219"/>
        <n v="204"/>
        <n v="116"/>
        <n v="200"/>
        <n v="286"/>
        <n v="276"/>
        <n v="215"/>
        <n v="143"/>
        <n v="239"/>
        <n v="243"/>
        <n v="382"/>
        <n v="231"/>
        <n v="220"/>
        <n v="212"/>
        <n v="474"/>
        <n v="135"/>
        <n v="194"/>
        <n v="115"/>
        <n v="214"/>
        <n v="271"/>
        <n v="211"/>
        <n v="488"/>
        <n v="282"/>
        <n v="234"/>
        <n v="258"/>
        <n v="296"/>
        <n v="134"/>
      </sharedItems>
    </cacheField>
    <cacheField name="taxable_shipping" numFmtId="1">
      <sharedItems containsSemiMixedTypes="0" containsString="0" containsNumber="1" minValue="-24.271844660194201" maxValue="133.89830508"/>
    </cacheField>
    <cacheField name="end_customer_state_new" numFmtId="0">
      <sharedItems count="36">
        <s v="Uttar Pradesh"/>
        <s v="Gujarat"/>
        <s v="West Bengal"/>
        <s v="Punjab"/>
        <s v="Karnataka"/>
        <s v="Bihar"/>
        <s v="Chhattisgarh"/>
        <s v="Madhya Pradesh"/>
        <s v="Tamil Nadu"/>
        <s v="Delhi"/>
        <s v="Assam"/>
        <s v="Jharkhand"/>
        <s v="Andhra Pradesh"/>
        <s v="Maharashtra"/>
        <s v="Himachal Pradesh"/>
        <s v="Rajasthan"/>
        <s v="Uttarakhand"/>
        <s v="Telangana"/>
        <s v="Odisha"/>
        <s v="Jammu &amp; Kashmir"/>
        <s v="Haryana"/>
        <s v="Tamilnadu"/>
        <s v="Chandigarh"/>
        <s v="Arunachal Pradesh"/>
        <s v="Kerala"/>
        <s v="Andaman &amp; Nicobar Islands"/>
        <s v="Nagaland"/>
        <s v="Goa"/>
        <s v="Uttarpradesh"/>
        <s v="Tripura"/>
        <s v="Manipur"/>
        <s v="Meghalaya"/>
        <s v="Andaman And Nicobar Islands"/>
        <s v="Jammu And Kashmir"/>
        <s v="Pondicherry"/>
        <s v="Sikkim"/>
      </sharedItems>
    </cacheField>
  </cacheFields>
  <extLst>
    <ext xmlns:x14="http://schemas.microsoft.com/office/spreadsheetml/2009/9/main" uri="{725AE2AE-9491-48be-B2B4-4EB974FC3084}">
      <x14:pivotCacheDefinition pivotCacheId="11143631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49.75601365741" backgroundQuery="1" createdVersion="8" refreshedVersion="8" minRefreshableVersion="3" recordCount="0" supportSubquery="1" supportAdvancedDrill="1" xr:uid="{7014617E-14B3-46AC-9FD9-0BFA2C989F7E}">
  <cacheSource type="external" connectionId="1"/>
  <cacheFields count="3">
    <cacheField name="[Range].[order_status].[order_status]" caption="order_status" numFmtId="0" hierarchy="2" level="1">
      <sharedItems count="7">
        <s v="Cancelled"/>
        <s v="Delivered"/>
        <s v="Exchange"/>
        <s v="Ordered"/>
        <s v="Return"/>
        <s v="rto"/>
        <s v="Shipped"/>
      </sharedItems>
    </cacheField>
    <cacheField name="[Measures].[Sum of total_invoice_value]" caption="Sum of total_invoice_value" numFmtId="0" hierarchy="17" level="32767"/>
    <cacheField name="[Range].[end_customer_state_new].[end_customer_state_new]" caption="end_customer_state_new" numFmtId="0" hierarchy="10" level="1">
      <sharedItems containsSemiMixedTypes="0" containsNonDate="0" containsString="0"/>
    </cacheField>
  </cacheFields>
  <cacheHierarchies count="18">
    <cacheHierarchy uniqueName="[Range].[sub_order_num]" caption="sub_order_num" attribute="1" defaultMemberUniqueName="[Range].[sub_order_num].[All]" allUniqueName="[Range].[sub_order_num].[All]" dimensionUniqueName="[Range]" displayFolder="" count="0" memberValueDatatype="5" unbalanced="0"/>
    <cacheHierarchy uniqueName="[Range].[order_date]" caption="order_date" attribute="1" defaultMemberUniqueName="[Range].[order_date].[All]" allUniqueName="[Range].[order_date].[All]" dimensionUniqueName="[Range]" displayFolder="" count="0" memberValueDatatype="130" unbalanced="0"/>
    <cacheHierarchy uniqueName="[Range].[order_status]" caption="order_status" attribute="1" defaultMemberUniqueName="[Range].[order_status].[All]" allUniqueName="[Range].[order_status].[All]" dimensionUniqueName="[Range]" displayFolder="" count="2" memberValueDatatype="130" unbalanced="0">
      <fieldsUsage count="2">
        <fieldUsage x="-1"/>
        <fieldUsage x="0"/>
      </fieldsUsage>
    </cacheHierarchy>
    <cacheHierarchy uniqueName="[Range].[end_customer_pin]" caption="end_customer_pin" attribute="1" defaultMemberUniqueName="[Range].[end_customer_pin].[All]" allUniqueName="[Range].[end_customer_pin].[All]" dimensionUniqueName="[Range]" displayFolder="" count="0" memberValueDatatype="20" unbalanced="0"/>
    <cacheHierarchy uniqueName="[Range].[hsn_code]" caption="hsn_code" attribute="1" defaultMemberUniqueName="[Range].[hsn_code].[All]" allUniqueName="[Range].[hsn_code].[All]" dimensionUniqueName="[Range]" displayFolder="" count="0" memberValueDatatype="20" unbalanced="0"/>
    <cacheHierarchy uniqueName="[Range].[gst_rate]" caption="gst_rate" attribute="1" defaultMemberUniqueName="[Range].[gst_rate].[All]" allUniqueName="[Range].[gst_rate].[All]" dimensionUniqueName="[Range]" displayFolder="" count="0" memberValueDatatype="20" unbalanced="0"/>
    <cacheHierarchy uniqueName="[Range].[total_taxable_sale_value]" caption="total_taxable_sale_value" attribute="1" defaultMemberUniqueName="[Range].[total_taxable_sale_value].[All]" allUniqueName="[Range].[total_taxable_sale_value].[All]" dimensionUniqueName="[Range]" displayFolder="" count="0" memberValueDatatype="5" unbalanced="0"/>
    <cacheHierarchy uniqueName="[Range].[tax_amount]" caption="tax_amount" attribute="1" defaultMemberUniqueName="[Range].[tax_amount].[All]" allUniqueName="[Range].[tax_amount].[All]" dimensionUniqueName="[Range]" displayFolder="" count="0" memberValueDatatype="5" unbalanced="0"/>
    <cacheHierarchy uniqueName="[Range].[total_invoice_value]" caption="total_invoice_value" attribute="1" defaultMemberUniqueName="[Range].[total_invoice_value].[All]" allUniqueName="[Range].[total_invoice_value].[All]" dimensionUniqueName="[Range]" displayFolder="" count="0" memberValueDatatype="5" unbalanced="0"/>
    <cacheHierarchy uniqueName="[Range].[taxable_shipping]" caption="taxable_shipping" attribute="1" defaultMemberUniqueName="[Range].[taxable_shipping].[All]" allUniqueName="[Range].[taxable_shipping].[All]" dimensionUniqueName="[Range]" displayFolder="" count="0" memberValueDatatype="5" unbalanced="0"/>
    <cacheHierarchy uniqueName="[Range].[end_customer_state_new]" caption="end_customer_state_new" attribute="1" defaultMemberUniqueName="[Range].[end_customer_state_new].[All]" allUniqueName="[Range].[end_customer_state_new].[All]" dimensionUniqueName="[Range]" displayFolder="" count="2" memberValueDatatype="130" unbalanced="0">
      <fieldsUsage count="2">
        <fieldUsage x="-1"/>
        <fieldUsage x="2"/>
      </fieldsUsage>
    </cacheHierarchy>
    <cacheHierarchy uniqueName="[Table1].[FILTERS]" caption="FILTERS" attribute="1" defaultMemberUniqueName="[Table1].[FILTERS].[All]" allUniqueName="[Table1].[FILTERS].[All]" dimensionUniqueName="[Table1]" displayFolder="" count="0" memberValueDatatype="130" unbalanced="0"/>
    <cacheHierarchy uniqueName="[Table1].[Total Orders by Status]" caption="Total Orders by Status" attribute="1" defaultMemberUniqueName="[Table1].[Total Orders by Status].[All]" allUniqueName="[Table1].[Total Orders by Status].[All]" dimensionUniqueName="[Table1]" displayFolder="" count="0" memberValueDatatype="130" unbalanced="0"/>
    <cacheHierarchy uniqueName="[Table1].[KPI]" caption="KPI" attribute="1" defaultMemberUniqueName="[Table1].[KPI].[All]" allUniqueName="[Table1].[KPI].[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invoice_value]" caption="Sum of total_invoice_value"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49.777642129629" createdVersion="8" refreshedVersion="8" minRefreshableVersion="3" recordCount="1589" xr:uid="{14022E46-19AC-4651-BBEA-DDFA964F9467}">
  <cacheSource type="worksheet">
    <worksheetSource ref="A1:L1048576" sheet="all_sales"/>
  </cacheSource>
  <cacheFields count="12">
    <cacheField name="sub_order_num" numFmtId="0">
      <sharedItems containsString="0" containsBlank="1" containsNumber="1" containsInteger="1" minValue="6.8779559920018096E+16" maxValue="1.93717719068284E+17"/>
    </cacheField>
    <cacheField name="order_date" numFmtId="0">
      <sharedItems containsBlank="1"/>
    </cacheField>
    <cacheField name="Month" numFmtId="0">
      <sharedItems containsBlank="1" count="13">
        <s v="Sep"/>
        <s v="Oct"/>
        <s v="Nov"/>
        <s v="Dec"/>
        <s v="Jan"/>
        <s v="Feb"/>
        <s v="Mar"/>
        <s v="Apr"/>
        <s v="May"/>
        <s v="Jun"/>
        <s v="Jul"/>
        <s v="Aug"/>
        <m/>
      </sharedItems>
    </cacheField>
    <cacheField name="order_status" numFmtId="0">
      <sharedItems containsBlank="1" count="8">
        <s v="Shipped"/>
        <s v="Delivered"/>
        <s v="rto"/>
        <s v="Cancelled"/>
        <s v="Ordered"/>
        <s v="Return"/>
        <s v="Exchange"/>
        <m/>
      </sharedItems>
    </cacheField>
    <cacheField name="end_customer_pin" numFmtId="0">
      <sharedItems containsString="0" containsBlank="1" containsNumber="1" containsInteger="1" minValue="110008" maxValue="855108"/>
    </cacheField>
    <cacheField name="hsn_code" numFmtId="0">
      <sharedItems containsString="0" containsBlank="1" containsNumber="1" containsInteger="1" minValue="7117" maxValue="961590"/>
    </cacheField>
    <cacheField name="gst_rate" numFmtId="0">
      <sharedItems containsString="0" containsBlank="1" containsNumber="1" containsInteger="1" minValue="3" maxValue="18"/>
    </cacheField>
    <cacheField name="total_taxable_sale_value" numFmtId="0">
      <sharedItems containsString="0" containsBlank="1" containsNumber="1" minValue="0" maxValue="460.19417479999998"/>
    </cacheField>
    <cacheField name="tax_amount" numFmtId="0">
      <sharedItems containsString="0" containsBlank="1" containsNumber="1" minValue="0" maxValue="74"/>
    </cacheField>
    <cacheField name="total_invoice_value" numFmtId="0">
      <sharedItems containsString="0" containsBlank="1" containsNumber="1" minValue="0" maxValue="488"/>
    </cacheField>
    <cacheField name="taxable_shipping" numFmtId="1">
      <sharedItems containsString="0" containsBlank="1" containsNumber="1" minValue="-24.271844660194201" maxValue="133.89830508"/>
    </cacheField>
    <cacheField name="end_customer_state_new" numFmtId="0">
      <sharedItems containsBlank="1"/>
    </cacheField>
  </cacheFields>
  <extLst>
    <ext xmlns:x14="http://schemas.microsoft.com/office/spreadsheetml/2009/9/main" uri="{725AE2AE-9491-48be-B2B4-4EB974FC3084}">
      <x14:pivotCacheDefinition pivotCacheId="207838016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49.726872222222" backgroundQuery="1" createdVersion="3" refreshedVersion="8" minRefreshableVersion="3" recordCount="0" supportSubquery="1" supportAdvancedDrill="1" xr:uid="{0E3F66F2-9F54-48FD-B870-F6CD189EF922}">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Range].[sub_order_num]" caption="sub_order_num" attribute="1" defaultMemberUniqueName="[Range].[sub_order_num].[All]" allUniqueName="[Range].[sub_order_num].[All]" dimensionUniqueName="[Range]" displayFolder="" count="0" memberValueDatatype="5" unbalanced="0"/>
    <cacheHierarchy uniqueName="[Range].[order_date]" caption="order_date" attribute="1" defaultMemberUniqueName="[Range].[order_date].[All]" allUniqueName="[Range].[order_date].[All]" dimensionUniqueName="[Range]" displayFolder="" count="0" memberValueDatatype="130" unbalanced="0"/>
    <cacheHierarchy uniqueName="[Range].[order_status]" caption="order_status" attribute="1" defaultMemberUniqueName="[Range].[order_status].[All]" allUniqueName="[Range].[order_status].[All]" dimensionUniqueName="[Range]" displayFolder="" count="0" memberValueDatatype="130" unbalanced="0"/>
    <cacheHierarchy uniqueName="[Range].[end_customer_pin]" caption="end_customer_pin" attribute="1" defaultMemberUniqueName="[Range].[end_customer_pin].[All]" allUniqueName="[Range].[end_customer_pin].[All]" dimensionUniqueName="[Range]" displayFolder="" count="0" memberValueDatatype="20" unbalanced="0"/>
    <cacheHierarchy uniqueName="[Range].[hsn_code]" caption="hsn_code" attribute="1" defaultMemberUniqueName="[Range].[hsn_code].[All]" allUniqueName="[Range].[hsn_code].[All]" dimensionUniqueName="[Range]" displayFolder="" count="0" memberValueDatatype="20" unbalanced="0"/>
    <cacheHierarchy uniqueName="[Range].[gst_rate]" caption="gst_rate" attribute="1" defaultMemberUniqueName="[Range].[gst_rate].[All]" allUniqueName="[Range].[gst_rate].[All]" dimensionUniqueName="[Range]" displayFolder="" count="0" memberValueDatatype="20" unbalanced="0"/>
    <cacheHierarchy uniqueName="[Range].[total_taxable_sale_value]" caption="total_taxable_sale_value" attribute="1" defaultMemberUniqueName="[Range].[total_taxable_sale_value].[All]" allUniqueName="[Range].[total_taxable_sale_value].[All]" dimensionUniqueName="[Range]" displayFolder="" count="0" memberValueDatatype="5" unbalanced="0"/>
    <cacheHierarchy uniqueName="[Range].[tax_amount]" caption="tax_amount" attribute="1" defaultMemberUniqueName="[Range].[tax_amount].[All]" allUniqueName="[Range].[tax_amount].[All]" dimensionUniqueName="[Range]" displayFolder="" count="0" memberValueDatatype="5" unbalanced="0"/>
    <cacheHierarchy uniqueName="[Range].[total_invoice_value]" caption="total_invoice_value" attribute="1" defaultMemberUniqueName="[Range].[total_invoice_value].[All]" allUniqueName="[Range].[total_invoice_value].[All]" dimensionUniqueName="[Range]" displayFolder="" count="0" memberValueDatatype="5" unbalanced="0"/>
    <cacheHierarchy uniqueName="[Range].[taxable_shipping]" caption="taxable_shipping" attribute="1" defaultMemberUniqueName="[Range].[taxable_shipping].[All]" allUniqueName="[Range].[taxable_shipping].[All]" dimensionUniqueName="[Range]" displayFolder="" count="0" memberValueDatatype="5" unbalanced="0"/>
    <cacheHierarchy uniqueName="[Range].[end_customer_state_new]" caption="end_customer_state_new" attribute="1" defaultMemberUniqueName="[Range].[end_customer_state_new].[All]" allUniqueName="[Range].[end_customer_state_new].[All]" dimensionUniqueName="[Range]" displayFolder="" count="0" memberValueDatatype="130" unbalanced="0"/>
    <cacheHierarchy uniqueName="[Table1].[FILTERS]" caption="FILTERS" attribute="1" defaultMemberUniqueName="[Table1].[FILTERS].[All]" allUniqueName="[Table1].[FILTERS].[All]" dimensionUniqueName="[Table1]" displayFolder="" count="0" memberValueDatatype="130" unbalanced="0"/>
    <cacheHierarchy uniqueName="[Table1].[Total Orders by Status]" caption="Total Orders by Status" attribute="1" defaultMemberUniqueName="[Table1].[Total Orders by Status].[All]" allUniqueName="[Table1].[Total Orders by Status].[All]" dimensionUniqueName="[Table1]" displayFolder="" count="0" memberValueDatatype="130" unbalanced="0"/>
    <cacheHierarchy uniqueName="[Table1].[KPI]" caption="KPI" attribute="1" defaultMemberUniqueName="[Table1].[KPI].[All]" allUniqueName="[Table1].[KPI].[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invoice_value]" caption="Sum of total_invoice_value" measure="1" displayFolder="" measureGroup="Range"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licerData="1" pivotCacheId="42840727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8">
  <r>
    <x v="0"/>
    <s v="2024-09-29"/>
    <n v="29"/>
    <x v="0"/>
    <n v="2024"/>
    <m/>
    <x v="0"/>
    <n v="271904"/>
    <x v="0"/>
    <x v="0"/>
    <n v="121.35922330097"/>
    <n v="3.9611650485436898"/>
    <x v="0"/>
    <n v="52.427184466019398"/>
    <x v="0"/>
  </r>
  <r>
    <x v="1"/>
    <s v="2024-09-27"/>
    <n v="27"/>
    <x v="0"/>
    <n v="2024"/>
    <m/>
    <x v="0"/>
    <n v="361001"/>
    <x v="1"/>
    <x v="1"/>
    <n v="108.474576271186"/>
    <n v="21.661016949152501"/>
    <x v="1"/>
    <n v="44.067796610169502"/>
    <x v="1"/>
  </r>
  <r>
    <x v="2"/>
    <s v="2024-09-30"/>
    <n v="30"/>
    <x v="0"/>
    <n v="2024"/>
    <m/>
    <x v="0"/>
    <n v="721431"/>
    <x v="0"/>
    <x v="0"/>
    <n v="105.82524271844601"/>
    <n v="3.1747572815534002"/>
    <x v="2"/>
    <n v="65.048543689320397"/>
    <x v="2"/>
  </r>
  <r>
    <x v="3"/>
    <s v="2024-09-21"/>
    <n v="21"/>
    <x v="0"/>
    <n v="2024"/>
    <m/>
    <x v="1"/>
    <n v="143001"/>
    <x v="0"/>
    <x v="1"/>
    <n v="75.423728813559293"/>
    <n v="17.694915254237198"/>
    <x v="3"/>
    <n v="33.0508474576271"/>
    <x v="3"/>
  </r>
  <r>
    <x v="4"/>
    <s v="2024-09-23"/>
    <n v="23"/>
    <x v="0"/>
    <n v="2024"/>
    <m/>
    <x v="1"/>
    <n v="577203"/>
    <x v="1"/>
    <x v="1"/>
    <n v="131.35593220338899"/>
    <n v="23.644067796610098"/>
    <x v="4"/>
    <n v="55.932203389830498"/>
    <x v="4"/>
  </r>
  <r>
    <x v="5"/>
    <s v="2024-09-26"/>
    <n v="26"/>
    <x v="0"/>
    <n v="2024"/>
    <m/>
    <x v="2"/>
    <n v="800006"/>
    <x v="0"/>
    <x v="1"/>
    <n v="143.22033898305"/>
    <n v="25.779661016949099"/>
    <x v="5"/>
    <n v="53.389830508474603"/>
    <x v="5"/>
  </r>
  <r>
    <x v="6"/>
    <s v="2024-09-29"/>
    <n v="29"/>
    <x v="0"/>
    <n v="2024"/>
    <m/>
    <x v="0"/>
    <n v="495554"/>
    <x v="1"/>
    <x v="1"/>
    <n v="120.33898305084701"/>
    <n v="21.661016949152501"/>
    <x v="6"/>
    <n v="55.932203389830498"/>
    <x v="6"/>
  </r>
  <r>
    <x v="7"/>
    <s v="2024-09-29"/>
    <n v="29"/>
    <x v="0"/>
    <n v="2024"/>
    <m/>
    <x v="0"/>
    <n v="160062"/>
    <x v="1"/>
    <x v="1"/>
    <n v="103.38983050847401"/>
    <n v="21.661016949152501"/>
    <x v="7"/>
    <n v="38.983050847457598"/>
    <x v="3"/>
  </r>
  <r>
    <x v="8"/>
    <s v="2024-09-28"/>
    <n v="28"/>
    <x v="0"/>
    <n v="2024"/>
    <m/>
    <x v="3"/>
    <n v="226002"/>
    <x v="0"/>
    <x v="0"/>
    <n v="106.796116504854"/>
    <n v="4.13592233009709"/>
    <x v="8"/>
    <n v="29.126213592233"/>
    <x v="0"/>
  </r>
  <r>
    <x v="9"/>
    <s v="2024-09-30"/>
    <n v="30"/>
    <x v="0"/>
    <n v="2024"/>
    <m/>
    <x v="0"/>
    <n v="821101"/>
    <x v="0"/>
    <x v="1"/>
    <n v="100"/>
    <n v="18.610169491525401"/>
    <x v="9"/>
    <n v="53.389830508474603"/>
    <x v="5"/>
  </r>
  <r>
    <x v="10"/>
    <s v="2024-09-29"/>
    <n v="29"/>
    <x v="0"/>
    <n v="2024"/>
    <m/>
    <x v="3"/>
    <n v="462043"/>
    <x v="1"/>
    <x v="1"/>
    <n v="120.33898305084701"/>
    <n v="21.661016949152501"/>
    <x v="6"/>
    <n v="55.932203389830498"/>
    <x v="7"/>
  </r>
  <r>
    <x v="11"/>
    <s v="2024-09-23"/>
    <n v="23"/>
    <x v="0"/>
    <n v="2024"/>
    <m/>
    <x v="0"/>
    <n v="600117"/>
    <x v="1"/>
    <x v="1"/>
    <n v="119.49152542372801"/>
    <n v="23.644067796610098"/>
    <x v="10"/>
    <n v="44.067796610169502"/>
    <x v="8"/>
  </r>
  <r>
    <x v="12"/>
    <s v="2024-09-27"/>
    <n v="27"/>
    <x v="0"/>
    <n v="2024"/>
    <m/>
    <x v="1"/>
    <n v="110008"/>
    <x v="1"/>
    <x v="1"/>
    <n v="92.372881355932194"/>
    <n v="19.677966101694899"/>
    <x v="11"/>
    <n v="38.983050847457598"/>
    <x v="9"/>
  </r>
  <r>
    <x v="13"/>
    <s v="2024-09-22"/>
    <n v="22"/>
    <x v="0"/>
    <n v="2024"/>
    <m/>
    <x v="1"/>
    <n v="144022"/>
    <x v="1"/>
    <x v="1"/>
    <n v="114.406779661017"/>
    <n v="23.644067796610098"/>
    <x v="12"/>
    <n v="38.983050847457598"/>
    <x v="3"/>
  </r>
  <r>
    <x v="14"/>
    <s v="2024-09-22"/>
    <n v="22"/>
    <x v="0"/>
    <n v="2024"/>
    <m/>
    <x v="1"/>
    <n v="700032"/>
    <x v="1"/>
    <x v="1"/>
    <n v="118.64406779661"/>
    <n v="21.355932203389798"/>
    <x v="13"/>
    <n v="55.932203389830498"/>
    <x v="2"/>
  </r>
  <r>
    <x v="15"/>
    <s v="2024-10-13"/>
    <n v="13"/>
    <x v="1"/>
    <n v="2024"/>
    <m/>
    <x v="3"/>
    <n v="700041"/>
    <x v="0"/>
    <x v="0"/>
    <n v="93.203883495145604"/>
    <n v="3.3495145631068"/>
    <x v="14"/>
    <n v="60.194174757281601"/>
    <x v="2"/>
  </r>
  <r>
    <x v="16"/>
    <s v="2024-10-24"/>
    <n v="24"/>
    <x v="1"/>
    <n v="2024"/>
    <m/>
    <x v="3"/>
    <n v="201102"/>
    <x v="0"/>
    <x v="0"/>
    <n v="127.184466019417"/>
    <n v="4.1067961165048503"/>
    <x v="15"/>
    <n v="58.252427184466001"/>
    <x v="0"/>
  </r>
  <r>
    <x v="17"/>
    <s v="2024-10-30"/>
    <n v="30"/>
    <x v="1"/>
    <n v="2024"/>
    <m/>
    <x v="4"/>
    <n v="824203"/>
    <x v="0"/>
    <x v="0"/>
    <n v="156.31067961164999"/>
    <n v="4.7766990291262097"/>
    <x v="16"/>
    <n v="55.339805825242699"/>
    <x v="5"/>
  </r>
  <r>
    <x v="18"/>
    <s v="2024-10-31"/>
    <n v="31"/>
    <x v="1"/>
    <n v="2024"/>
    <m/>
    <x v="4"/>
    <n v="786001"/>
    <x v="1"/>
    <x v="0"/>
    <n v="124.27184466019401"/>
    <n v="4.5145631067961203"/>
    <x v="17"/>
    <n v="52.427184466019398"/>
    <x v="10"/>
  </r>
  <r>
    <x v="19"/>
    <s v="2024-10-22"/>
    <n v="22"/>
    <x v="1"/>
    <n v="2024"/>
    <m/>
    <x v="1"/>
    <n v="825313"/>
    <x v="0"/>
    <x v="0"/>
    <n v="141.747572815534"/>
    <n v="4.86407766990291"/>
    <x v="18"/>
    <n v="40.776699029126199"/>
    <x v="11"/>
  </r>
  <r>
    <x v="20"/>
    <s v="2024-10-31"/>
    <n v="31"/>
    <x v="1"/>
    <n v="2024"/>
    <m/>
    <x v="0"/>
    <n v="506002"/>
    <x v="0"/>
    <x v="0"/>
    <n v="156.31067961164999"/>
    <n v="4.6893203883495103"/>
    <x v="19"/>
    <n v="59.223300970873801"/>
    <x v="12"/>
  </r>
  <r>
    <x v="21"/>
    <s v="2024-10-21"/>
    <n v="21"/>
    <x v="1"/>
    <n v="2024"/>
    <m/>
    <x v="3"/>
    <n v="400101"/>
    <x v="0"/>
    <x v="0"/>
    <n v="158.252427184466"/>
    <n v="5.0970873786407802"/>
    <x v="20"/>
    <n v="63.106796116504903"/>
    <x v="13"/>
  </r>
  <r>
    <x v="22"/>
    <s v="2024-10-24"/>
    <n v="24"/>
    <x v="1"/>
    <n v="2024"/>
    <m/>
    <x v="3"/>
    <n v="144211"/>
    <x v="0"/>
    <x v="0"/>
    <n v="151.45631067961099"/>
    <n v="4.7475728155339798"/>
    <x v="21"/>
    <n v="51.456310679611697"/>
    <x v="3"/>
  </r>
  <r>
    <x v="23"/>
    <s v="2024-10-29"/>
    <n v="29"/>
    <x v="1"/>
    <n v="2024"/>
    <m/>
    <x v="4"/>
    <n v="843119"/>
    <x v="0"/>
    <x v="0"/>
    <n v="159.223300970873"/>
    <n v="4.7766990291262097"/>
    <x v="22"/>
    <n v="59.223300970873801"/>
    <x v="5"/>
  </r>
  <r>
    <x v="24"/>
    <s v="2024-10-15"/>
    <n v="15"/>
    <x v="1"/>
    <n v="2024"/>
    <m/>
    <x v="1"/>
    <n v="174001"/>
    <x v="0"/>
    <x v="0"/>
    <n v="199.02912621359201"/>
    <n v="6.1747572815533998"/>
    <x v="23"/>
    <n v="52.427184466019398"/>
    <x v="14"/>
  </r>
  <r>
    <x v="25"/>
    <s v="2024-10-19"/>
    <n v="19"/>
    <x v="1"/>
    <n v="2024"/>
    <m/>
    <x v="3"/>
    <n v="202002"/>
    <x v="0"/>
    <x v="0"/>
    <n v="140.77669902912601"/>
    <n v="4.6310679611650496"/>
    <x v="24"/>
    <n v="50.485436893203897"/>
    <x v="0"/>
  </r>
  <r>
    <x v="26"/>
    <s v="2024-10-31"/>
    <n v="31"/>
    <x v="1"/>
    <n v="2024"/>
    <m/>
    <x v="4"/>
    <n v="151001"/>
    <x v="0"/>
    <x v="0"/>
    <n v="139.80582524271799"/>
    <n v="4.86407766990291"/>
    <x v="25"/>
    <n v="36.893203883495197"/>
    <x v="3"/>
  </r>
  <r>
    <x v="27"/>
    <s v="2024-10-31"/>
    <n v="31"/>
    <x v="1"/>
    <n v="2024"/>
    <m/>
    <x v="0"/>
    <n v="301701"/>
    <x v="0"/>
    <x v="0"/>
    <n v="153.39805825242701"/>
    <n v="4.7766990291262097"/>
    <x v="26"/>
    <n v="52.427184466019398"/>
    <x v="15"/>
  </r>
  <r>
    <x v="28"/>
    <s v="2024-10-30"/>
    <n v="30"/>
    <x v="1"/>
    <n v="2024"/>
    <m/>
    <x v="0"/>
    <n v="415604"/>
    <x v="0"/>
    <x v="0"/>
    <n v="159.223300970873"/>
    <n v="4.7766990291262097"/>
    <x v="22"/>
    <n v="58.252427184466001"/>
    <x v="13"/>
  </r>
  <r>
    <x v="29"/>
    <s v="2024-10-24"/>
    <n v="24"/>
    <x v="1"/>
    <n v="2024"/>
    <m/>
    <x v="3"/>
    <n v="221010"/>
    <x v="0"/>
    <x v="0"/>
    <n v="149.514563106796"/>
    <n v="4.7766990291262097"/>
    <x v="27"/>
    <n v="58.252427184466001"/>
    <x v="0"/>
  </r>
  <r>
    <x v="30"/>
    <s v="2024-10-28"/>
    <n v="28"/>
    <x v="1"/>
    <n v="2024"/>
    <m/>
    <x v="0"/>
    <n v="570031"/>
    <x v="1"/>
    <x v="0"/>
    <n v="145.631067961165"/>
    <n v="4.3689320388349504"/>
    <x v="28"/>
    <n v="59.223300970873801"/>
    <x v="4"/>
  </r>
  <r>
    <x v="31"/>
    <s v="2024-10-27"/>
    <n v="27"/>
    <x v="1"/>
    <n v="2024"/>
    <m/>
    <x v="2"/>
    <n v="140307"/>
    <x v="0"/>
    <x v="0"/>
    <n v="159.223300970873"/>
    <n v="4.7766990291262097"/>
    <x v="22"/>
    <n v="59.223300970873801"/>
    <x v="3"/>
  </r>
  <r>
    <x v="32"/>
    <s v="2024-10-28"/>
    <n v="28"/>
    <x v="1"/>
    <n v="2024"/>
    <m/>
    <x v="0"/>
    <n v="263153"/>
    <x v="0"/>
    <x v="0"/>
    <n v="129.126213592233"/>
    <n v="4.1650485436893199"/>
    <x v="29"/>
    <n v="49.514563106796103"/>
    <x v="16"/>
  </r>
  <r>
    <x v="33"/>
    <s v="2024-10-18"/>
    <n v="18"/>
    <x v="1"/>
    <n v="2024"/>
    <m/>
    <x v="1"/>
    <n v="700041"/>
    <x v="0"/>
    <x v="0"/>
    <n v="91.262135922330103"/>
    <n v="2.7378640776698999"/>
    <x v="30"/>
    <n v="60.194174757281601"/>
    <x v="2"/>
  </r>
  <r>
    <x v="34"/>
    <s v="2024-10-30"/>
    <n v="30"/>
    <x v="1"/>
    <n v="2024"/>
    <m/>
    <x v="0"/>
    <n v="515201"/>
    <x v="0"/>
    <x v="0"/>
    <n v="136.893203883495"/>
    <n v="4.1067961165048503"/>
    <x v="31"/>
    <n v="58.252427184466001"/>
    <x v="12"/>
  </r>
  <r>
    <x v="35"/>
    <s v="2024-10-30"/>
    <n v="30"/>
    <x v="1"/>
    <n v="2024"/>
    <m/>
    <x v="0"/>
    <n v="821301"/>
    <x v="0"/>
    <x v="0"/>
    <n v="144.66019417475701"/>
    <n v="4.3980582524271803"/>
    <x v="32"/>
    <n v="57.2815533980583"/>
    <x v="5"/>
  </r>
  <r>
    <x v="36"/>
    <s v="2024-10-23"/>
    <n v="23"/>
    <x v="1"/>
    <n v="2024"/>
    <m/>
    <x v="3"/>
    <n v="140603"/>
    <x v="0"/>
    <x v="0"/>
    <n v="158.252427184466"/>
    <n v="5.0970873786407802"/>
    <x v="20"/>
    <n v="63.106796116504903"/>
    <x v="3"/>
  </r>
  <r>
    <x v="37"/>
    <s v="2024-10-29"/>
    <n v="29"/>
    <x v="1"/>
    <n v="2024"/>
    <m/>
    <x v="3"/>
    <n v="283111"/>
    <x v="0"/>
    <x v="0"/>
    <n v="166.01941747572801"/>
    <n v="5.15533980582524"/>
    <x v="33"/>
    <n v="59.223300970873801"/>
    <x v="0"/>
  </r>
  <r>
    <x v="38"/>
    <s v="2024-10-21"/>
    <n v="21"/>
    <x v="1"/>
    <n v="2024"/>
    <m/>
    <x v="5"/>
    <n v="110020"/>
    <x v="0"/>
    <x v="0"/>
    <n v="158.252427184466"/>
    <n v="5.0970873786407802"/>
    <x v="20"/>
    <n v="51.456310679611697"/>
    <x v="9"/>
  </r>
  <r>
    <x v="39"/>
    <s v="2024-10-27"/>
    <n v="27"/>
    <x v="1"/>
    <n v="2024"/>
    <m/>
    <x v="3"/>
    <n v="843146"/>
    <x v="0"/>
    <x v="0"/>
    <n v="140.77669902912601"/>
    <n v="4.2233009708737903"/>
    <x v="34"/>
    <n v="59.223300970873801"/>
    <x v="5"/>
  </r>
  <r>
    <x v="40"/>
    <s v="2024-10-29"/>
    <n v="29"/>
    <x v="1"/>
    <n v="2024"/>
    <m/>
    <x v="0"/>
    <n v="743355"/>
    <x v="0"/>
    <x v="0"/>
    <n v="162.135922330097"/>
    <n v="4.86407766990291"/>
    <x v="35"/>
    <n v="59.223300970873801"/>
    <x v="2"/>
  </r>
  <r>
    <x v="41"/>
    <s v="2024-10-21"/>
    <n v="21"/>
    <x v="1"/>
    <n v="2024"/>
    <m/>
    <x v="3"/>
    <n v="509376"/>
    <x v="0"/>
    <x v="0"/>
    <n v="147.57281553397999"/>
    <n v="4.42718446601942"/>
    <x v="36"/>
    <n v="63.106796116504903"/>
    <x v="17"/>
  </r>
  <r>
    <x v="42"/>
    <s v="2024-10-24"/>
    <n v="24"/>
    <x v="1"/>
    <n v="2024"/>
    <m/>
    <x v="3"/>
    <n v="110043"/>
    <x v="0"/>
    <x v="0"/>
    <n v="114.563106796116"/>
    <n v="4.1067961165048503"/>
    <x v="37"/>
    <n v="58.252427184466001"/>
    <x v="9"/>
  </r>
  <r>
    <x v="43"/>
    <s v="2024-10-23"/>
    <n v="23"/>
    <x v="1"/>
    <n v="2024"/>
    <m/>
    <x v="3"/>
    <n v="743165"/>
    <x v="0"/>
    <x v="0"/>
    <n v="139.80582524271799"/>
    <n v="4.1941747572815498"/>
    <x v="38"/>
    <n v="61.165048543689302"/>
    <x v="2"/>
  </r>
  <r>
    <x v="44"/>
    <s v="2024-10-19"/>
    <n v="19"/>
    <x v="1"/>
    <n v="2024"/>
    <m/>
    <x v="3"/>
    <n v="852137"/>
    <x v="0"/>
    <x v="0"/>
    <n v="162.135922330097"/>
    <n v="4.86407766990291"/>
    <x v="35"/>
    <n v="61.165048543689302"/>
    <x v="5"/>
  </r>
  <r>
    <x v="45"/>
    <s v="2024-10-30"/>
    <n v="30"/>
    <x v="1"/>
    <n v="2024"/>
    <m/>
    <x v="0"/>
    <n v="762010"/>
    <x v="0"/>
    <x v="0"/>
    <n v="159.223300970873"/>
    <n v="4.7766990291262097"/>
    <x v="22"/>
    <n v="58.252427184466001"/>
    <x v="18"/>
  </r>
  <r>
    <x v="46"/>
    <s v="2024-10-31"/>
    <n v="31"/>
    <x v="1"/>
    <n v="2024"/>
    <m/>
    <x v="0"/>
    <n v="276403"/>
    <x v="0"/>
    <x v="0"/>
    <n v="149.514563106796"/>
    <n v="4.7766990291262097"/>
    <x v="27"/>
    <n v="48.543689320388303"/>
    <x v="0"/>
  </r>
  <r>
    <x v="47"/>
    <s v="2024-10-23"/>
    <n v="23"/>
    <x v="1"/>
    <n v="2024"/>
    <m/>
    <x v="3"/>
    <n v="811302"/>
    <x v="0"/>
    <x v="0"/>
    <n v="139.80582524271799"/>
    <n v="4.1941747572815498"/>
    <x v="38"/>
    <n v="61.165048543689302"/>
    <x v="5"/>
  </r>
  <r>
    <x v="48"/>
    <s v="2024-10-31"/>
    <n v="31"/>
    <x v="1"/>
    <n v="2024"/>
    <m/>
    <x v="4"/>
    <n v="805131"/>
    <x v="0"/>
    <x v="0"/>
    <n v="159.223300970873"/>
    <n v="4.7766990291262097"/>
    <x v="22"/>
    <n v="58.252427184466001"/>
    <x v="5"/>
  </r>
  <r>
    <x v="49"/>
    <s v="2024-10-06"/>
    <n v="6"/>
    <x v="1"/>
    <n v="2024"/>
    <m/>
    <x v="1"/>
    <n v="190007"/>
    <x v="1"/>
    <x v="1"/>
    <n v="99.152542372881399"/>
    <n v="21.966101694915199"/>
    <x v="39"/>
    <n v="45.762711864406803"/>
    <x v="19"/>
  </r>
  <r>
    <x v="50"/>
    <s v="2024-10-23"/>
    <n v="23"/>
    <x v="1"/>
    <n v="2024"/>
    <m/>
    <x v="1"/>
    <n v="811213"/>
    <x v="0"/>
    <x v="0"/>
    <n v="139.80582524271799"/>
    <n v="4.1941747572815498"/>
    <x v="38"/>
    <n v="61.165048543689302"/>
    <x v="5"/>
  </r>
  <r>
    <x v="51"/>
    <s v="2024-10-07"/>
    <n v="7"/>
    <x v="1"/>
    <n v="2024"/>
    <m/>
    <x v="1"/>
    <n v="229301"/>
    <x v="0"/>
    <x v="0"/>
    <n v="125.242718446601"/>
    <n v="4.5145631067961203"/>
    <x v="40"/>
    <n v="34.951456310679603"/>
    <x v="0"/>
  </r>
  <r>
    <x v="52"/>
    <s v="2024-10-22"/>
    <n v="22"/>
    <x v="1"/>
    <n v="2024"/>
    <m/>
    <x v="1"/>
    <n v="143521"/>
    <x v="0"/>
    <x v="0"/>
    <n v="158.252427184466"/>
    <n v="5.0970873786407802"/>
    <x v="20"/>
    <n v="51.456310679611697"/>
    <x v="3"/>
  </r>
  <r>
    <x v="53"/>
    <s v="2024-10-21"/>
    <n v="21"/>
    <x v="1"/>
    <n v="2024"/>
    <m/>
    <x v="3"/>
    <n v="572137"/>
    <x v="0"/>
    <x v="0"/>
    <n v="164.07766990291199"/>
    <n v="5.0970873786407802"/>
    <x v="41"/>
    <n v="63.106796116504903"/>
    <x v="4"/>
  </r>
  <r>
    <x v="54"/>
    <s v="2024-10-27"/>
    <n v="27"/>
    <x v="1"/>
    <n v="2024"/>
    <m/>
    <x v="3"/>
    <n v="175027"/>
    <x v="0"/>
    <x v="0"/>
    <n v="165.04854368932001"/>
    <n v="5.15533980582524"/>
    <x v="42"/>
    <n v="52.427184466019398"/>
    <x v="14"/>
  </r>
  <r>
    <x v="55"/>
    <s v="2024-10-30"/>
    <n v="30"/>
    <x v="1"/>
    <n v="2024"/>
    <m/>
    <x v="0"/>
    <n v="825325"/>
    <x v="0"/>
    <x v="0"/>
    <n v="136.893203883495"/>
    <n v="4.1067961165048503"/>
    <x v="31"/>
    <n v="58.252427184466001"/>
    <x v="11"/>
  </r>
  <r>
    <x v="56"/>
    <s v="2024-10-24"/>
    <n v="24"/>
    <x v="1"/>
    <n v="2024"/>
    <m/>
    <x v="3"/>
    <n v="301701"/>
    <x v="0"/>
    <x v="0"/>
    <n v="152.42718446601901"/>
    <n v="4.7766990291262097"/>
    <x v="43"/>
    <n v="58.252427184466001"/>
    <x v="15"/>
  </r>
  <r>
    <x v="57"/>
    <s v="2024-10-26"/>
    <n v="26"/>
    <x v="1"/>
    <n v="2024"/>
    <m/>
    <x v="0"/>
    <n v="853201"/>
    <x v="0"/>
    <x v="0"/>
    <n v="162.135922330097"/>
    <n v="4.86407766990291"/>
    <x v="35"/>
    <n v="59.223300970873801"/>
    <x v="5"/>
  </r>
  <r>
    <x v="58"/>
    <s v="2024-10-23"/>
    <n v="23"/>
    <x v="1"/>
    <n v="2024"/>
    <m/>
    <x v="3"/>
    <n v="843129"/>
    <x v="0"/>
    <x v="0"/>
    <n v="169.90291262135901"/>
    <n v="5.0970873786407802"/>
    <x v="44"/>
    <n v="63.106796116504903"/>
    <x v="5"/>
  </r>
  <r>
    <x v="59"/>
    <s v="2024-10-31"/>
    <n v="31"/>
    <x v="1"/>
    <n v="2024"/>
    <m/>
    <x v="0"/>
    <n v="534450"/>
    <x v="0"/>
    <x v="0"/>
    <n v="156.31067961164999"/>
    <n v="4.6893203883495103"/>
    <x v="19"/>
    <n v="59.223300970873801"/>
    <x v="12"/>
  </r>
  <r>
    <x v="60"/>
    <s v="2024-10-30"/>
    <n v="30"/>
    <x v="1"/>
    <n v="2024"/>
    <m/>
    <x v="3"/>
    <n v="721101"/>
    <x v="0"/>
    <x v="0"/>
    <n v="159.223300970873"/>
    <n v="4.7766990291262097"/>
    <x v="22"/>
    <n v="58.252427184466001"/>
    <x v="2"/>
  </r>
  <r>
    <x v="61"/>
    <s v="2024-10-30"/>
    <n v="30"/>
    <x v="1"/>
    <n v="2024"/>
    <m/>
    <x v="0"/>
    <n v="813205"/>
    <x v="0"/>
    <x v="0"/>
    <n v="136.893203883495"/>
    <n v="4.1067961165048503"/>
    <x v="31"/>
    <n v="58.252427184466001"/>
    <x v="5"/>
  </r>
  <r>
    <x v="62"/>
    <s v="2024-10-30"/>
    <n v="30"/>
    <x v="1"/>
    <n v="2024"/>
    <m/>
    <x v="0"/>
    <n v="228159"/>
    <x v="0"/>
    <x v="0"/>
    <n v="149.514563106796"/>
    <n v="4.7766990291262097"/>
    <x v="27"/>
    <n v="48.543689320388303"/>
    <x v="0"/>
  </r>
  <r>
    <x v="63"/>
    <s v="2024-10-30"/>
    <n v="30"/>
    <x v="1"/>
    <n v="2024"/>
    <m/>
    <x v="0"/>
    <n v="486340"/>
    <x v="0"/>
    <x v="0"/>
    <n v="159.223300970873"/>
    <n v="4.7766990291262097"/>
    <x v="22"/>
    <n v="58.252427184466001"/>
    <x v="7"/>
  </r>
  <r>
    <x v="64"/>
    <s v="2024-10-06"/>
    <n v="6"/>
    <x v="1"/>
    <n v="2024"/>
    <m/>
    <x v="1"/>
    <n v="201304"/>
    <x v="0"/>
    <x v="0"/>
    <n v="106.796116504854"/>
    <n v="3.9029126213592198"/>
    <x v="45"/>
    <n v="35.922330097087404"/>
    <x v="0"/>
  </r>
  <r>
    <x v="65"/>
    <s v="2024-10-24"/>
    <n v="24"/>
    <x v="1"/>
    <n v="2024"/>
    <m/>
    <x v="3"/>
    <n v="301701"/>
    <x v="0"/>
    <x v="0"/>
    <n v="152.42718446601901"/>
    <n v="4.7766990291262097"/>
    <x v="43"/>
    <n v="58.252427184466001"/>
    <x v="15"/>
  </r>
  <r>
    <x v="66"/>
    <s v="2024-10-25"/>
    <n v="25"/>
    <x v="1"/>
    <n v="2024"/>
    <m/>
    <x v="0"/>
    <n v="344001"/>
    <x v="0"/>
    <x v="0"/>
    <n v="152.42718446601901"/>
    <n v="4.7766990291262097"/>
    <x v="43"/>
    <n v="52.427184466019398"/>
    <x v="15"/>
  </r>
  <r>
    <x v="67"/>
    <s v="2024-10-31"/>
    <n v="31"/>
    <x v="1"/>
    <n v="2024"/>
    <m/>
    <x v="3"/>
    <n v="110053"/>
    <x v="0"/>
    <x v="0"/>
    <n v="149.514563106796"/>
    <n v="4.7766990291262097"/>
    <x v="27"/>
    <n v="58.252427184466001"/>
    <x v="9"/>
  </r>
  <r>
    <x v="68"/>
    <s v="2024-10-31"/>
    <n v="31"/>
    <x v="1"/>
    <n v="2024"/>
    <m/>
    <x v="4"/>
    <n v="522001"/>
    <x v="0"/>
    <x v="0"/>
    <n v="159.223300970873"/>
    <n v="4.7766990291262097"/>
    <x v="22"/>
    <n v="58.252427184466001"/>
    <x v="12"/>
  </r>
  <r>
    <x v="69"/>
    <s v="2024-10-31"/>
    <n v="31"/>
    <x v="1"/>
    <n v="2024"/>
    <m/>
    <x v="4"/>
    <n v="600012"/>
    <x v="0"/>
    <x v="0"/>
    <n v="159.223300970873"/>
    <n v="4.7766990291262097"/>
    <x v="22"/>
    <n v="58.252427184466001"/>
    <x v="8"/>
  </r>
  <r>
    <x v="70"/>
    <s v="2024-10-10"/>
    <n v="10"/>
    <x v="1"/>
    <n v="2024"/>
    <m/>
    <x v="5"/>
    <n v="600057"/>
    <x v="0"/>
    <x v="0"/>
    <n v="132.03883495145601"/>
    <n v="3.9611650485436898"/>
    <x v="46"/>
    <n v="63.106796116504903"/>
    <x v="8"/>
  </r>
  <r>
    <x v="71"/>
    <s v="2024-10-31"/>
    <n v="31"/>
    <x v="1"/>
    <n v="2024"/>
    <m/>
    <x v="4"/>
    <n v="277501"/>
    <x v="0"/>
    <x v="0"/>
    <n v="127.184466019417"/>
    <n v="4.1067961165048503"/>
    <x v="15"/>
    <n v="48.543689320388303"/>
    <x v="0"/>
  </r>
  <r>
    <x v="72"/>
    <s v="2024-10-24"/>
    <n v="24"/>
    <x v="1"/>
    <n v="2024"/>
    <m/>
    <x v="3"/>
    <n v="301701"/>
    <x v="0"/>
    <x v="0"/>
    <n v="152.42718446601901"/>
    <n v="4.7766990291262097"/>
    <x v="43"/>
    <n v="58.252427184466001"/>
    <x v="15"/>
  </r>
  <r>
    <x v="73"/>
    <s v="2024-10-15"/>
    <n v="15"/>
    <x v="1"/>
    <n v="2024"/>
    <m/>
    <x v="3"/>
    <n v="491995"/>
    <x v="0"/>
    <x v="1"/>
    <n v="96.610169491525397"/>
    <n v="17.3898305084745"/>
    <x v="47"/>
    <n v="55.932203389830498"/>
    <x v="6"/>
  </r>
  <r>
    <x v="74"/>
    <s v="2024-10-03"/>
    <n v="3"/>
    <x v="1"/>
    <n v="2024"/>
    <m/>
    <x v="1"/>
    <n v="735214"/>
    <x v="1"/>
    <x v="1"/>
    <n v="97.457627118644098"/>
    <n v="19.677966101694899"/>
    <x v="48"/>
    <n v="44.067796610169502"/>
    <x v="2"/>
  </r>
  <r>
    <x v="75"/>
    <s v="2024-10-24"/>
    <n v="24"/>
    <x v="1"/>
    <n v="2024"/>
    <m/>
    <x v="0"/>
    <n v="534324"/>
    <x v="0"/>
    <x v="0"/>
    <n v="159.223300970873"/>
    <n v="4.7766990291262097"/>
    <x v="22"/>
    <n v="58.252427184466001"/>
    <x v="12"/>
  </r>
  <r>
    <x v="76"/>
    <s v="2024-10-20"/>
    <n v="20"/>
    <x v="1"/>
    <n v="2024"/>
    <m/>
    <x v="0"/>
    <n v="813203"/>
    <x v="0"/>
    <x v="0"/>
    <n v="162.135922330097"/>
    <n v="4.86407766990291"/>
    <x v="35"/>
    <n v="61.165048543689302"/>
    <x v="5"/>
  </r>
  <r>
    <x v="77"/>
    <s v="2024-10-22"/>
    <n v="22"/>
    <x v="1"/>
    <n v="2024"/>
    <m/>
    <x v="0"/>
    <n v="121003"/>
    <x v="0"/>
    <x v="0"/>
    <n v="152.42718446601901"/>
    <n v="4.86407766990291"/>
    <x v="49"/>
    <n v="51.456310679611697"/>
    <x v="20"/>
  </r>
  <r>
    <x v="78"/>
    <s v="2024-10-05"/>
    <n v="5"/>
    <x v="1"/>
    <n v="2024"/>
    <m/>
    <x v="2"/>
    <n v="422001"/>
    <x v="1"/>
    <x v="1"/>
    <n v="120.33898305084701"/>
    <n v="21.661016949152501"/>
    <x v="6"/>
    <n v="55.932203389830498"/>
    <x v="13"/>
  </r>
  <r>
    <x v="79"/>
    <s v="2024-10-27"/>
    <n v="27"/>
    <x v="1"/>
    <n v="2024"/>
    <m/>
    <x v="3"/>
    <n v="221010"/>
    <x v="0"/>
    <x v="0"/>
    <n v="135.92233009708701"/>
    <n v="4.8058252427184502"/>
    <x v="50"/>
    <n v="34.951456310679603"/>
    <x v="0"/>
  </r>
  <r>
    <x v="80"/>
    <s v="2024-10-24"/>
    <n v="24"/>
    <x v="1"/>
    <n v="2024"/>
    <m/>
    <x v="3"/>
    <n v="841287"/>
    <x v="0"/>
    <x v="0"/>
    <n v="158.252427184466"/>
    <n v="4.7475728155339798"/>
    <x v="51"/>
    <n v="58.252427184466001"/>
    <x v="5"/>
  </r>
  <r>
    <x v="81"/>
    <s v="2024-10-31"/>
    <n v="31"/>
    <x v="1"/>
    <n v="2024"/>
    <m/>
    <x v="3"/>
    <n v="110043"/>
    <x v="0"/>
    <x v="0"/>
    <n v="127.184466019417"/>
    <n v="4.1067961165048503"/>
    <x v="15"/>
    <n v="58.252427184466001"/>
    <x v="9"/>
  </r>
  <r>
    <x v="82"/>
    <s v="2024-10-24"/>
    <n v="24"/>
    <x v="1"/>
    <n v="2024"/>
    <m/>
    <x v="1"/>
    <n v="500007"/>
    <x v="0"/>
    <x v="0"/>
    <n v="124.27184466019401"/>
    <n v="4.2233009708737903"/>
    <x v="52"/>
    <n v="42.7184466019418"/>
    <x v="17"/>
  </r>
  <r>
    <x v="83"/>
    <s v="2024-10-30"/>
    <n v="30"/>
    <x v="1"/>
    <n v="2024"/>
    <m/>
    <x v="0"/>
    <n v="277001"/>
    <x v="0"/>
    <x v="0"/>
    <n v="149.514563106796"/>
    <n v="4.7766990291262097"/>
    <x v="27"/>
    <n v="48.543689320388303"/>
    <x v="0"/>
  </r>
  <r>
    <x v="84"/>
    <s v="2024-10-31"/>
    <n v="31"/>
    <x v="1"/>
    <n v="2024"/>
    <m/>
    <x v="4"/>
    <n v="110043"/>
    <x v="0"/>
    <x v="0"/>
    <n v="254.368932038834"/>
    <n v="8.2135922330097095"/>
    <x v="53"/>
    <n v="97.087378640776706"/>
    <x v="9"/>
  </r>
  <r>
    <x v="85"/>
    <s v="2024-10-24"/>
    <n v="24"/>
    <x v="1"/>
    <n v="2024"/>
    <m/>
    <x v="1"/>
    <n v="497333"/>
    <x v="0"/>
    <x v="0"/>
    <n v="128.15533980582501"/>
    <n v="4.13592233009709"/>
    <x v="54"/>
    <n v="48.543689320388303"/>
    <x v="6"/>
  </r>
  <r>
    <x v="86"/>
    <s v="2024-10-21"/>
    <n v="21"/>
    <x v="1"/>
    <n v="2024"/>
    <m/>
    <x v="2"/>
    <n v="455111"/>
    <x v="0"/>
    <x v="0"/>
    <n v="162.135922330097"/>
    <n v="4.86407766990291"/>
    <x v="35"/>
    <n v="61.165048543689302"/>
    <x v="7"/>
  </r>
  <r>
    <x v="87"/>
    <s v="2024-10-07"/>
    <n v="7"/>
    <x v="1"/>
    <n v="2024"/>
    <m/>
    <x v="1"/>
    <n v="201013"/>
    <x v="0"/>
    <x v="1"/>
    <n v="110.169491525423"/>
    <n v="21.355932203389798"/>
    <x v="55"/>
    <n v="43.220338983050901"/>
    <x v="0"/>
  </r>
  <r>
    <x v="88"/>
    <s v="2024-10-24"/>
    <n v="24"/>
    <x v="1"/>
    <n v="2024"/>
    <m/>
    <x v="3"/>
    <n v="144211"/>
    <x v="0"/>
    <x v="0"/>
    <n v="151.45631067961099"/>
    <n v="4.7475728155339798"/>
    <x v="21"/>
    <n v="58.252427184466001"/>
    <x v="3"/>
  </r>
  <r>
    <x v="89"/>
    <s v="2024-10-30"/>
    <n v="30"/>
    <x v="1"/>
    <n v="2024"/>
    <m/>
    <x v="0"/>
    <n v="742213"/>
    <x v="0"/>
    <x v="0"/>
    <n v="159.223300970873"/>
    <n v="4.7766990291262097"/>
    <x v="22"/>
    <n v="58.252427184466001"/>
    <x v="2"/>
  </r>
  <r>
    <x v="90"/>
    <s v="2024-10-24"/>
    <n v="24"/>
    <x v="1"/>
    <n v="2024"/>
    <m/>
    <x v="3"/>
    <n v="816115"/>
    <x v="0"/>
    <x v="0"/>
    <n v="119.417475728155"/>
    <n v="4.1067961165048503"/>
    <x v="56"/>
    <n v="40.776699029126199"/>
    <x v="11"/>
  </r>
  <r>
    <x v="91"/>
    <s v="2024-10-17"/>
    <n v="17"/>
    <x v="1"/>
    <n v="2024"/>
    <m/>
    <x v="2"/>
    <n v="302025"/>
    <x v="1"/>
    <x v="1"/>
    <n v="95.762711864406796"/>
    <n v="20.898305084745701"/>
    <x v="57"/>
    <n v="31.355932203389798"/>
    <x v="15"/>
  </r>
  <r>
    <x v="92"/>
    <s v="2024-10-09"/>
    <n v="9"/>
    <x v="1"/>
    <n v="2024"/>
    <m/>
    <x v="5"/>
    <n v="462003"/>
    <x v="0"/>
    <x v="0"/>
    <n v="200"/>
    <n v="6.55339805825243"/>
    <x v="58"/>
    <n v="41.747572815533999"/>
    <x v="7"/>
  </r>
  <r>
    <x v="93"/>
    <s v="2024-10-25"/>
    <n v="25"/>
    <x v="1"/>
    <n v="2024"/>
    <m/>
    <x v="0"/>
    <n v="224190"/>
    <x v="0"/>
    <x v="0"/>
    <n v="148.54368932038801"/>
    <n v="4.7475728155339798"/>
    <x v="59"/>
    <n v="48.543689320388303"/>
    <x v="0"/>
  </r>
  <r>
    <x v="94"/>
    <s v="2024-10-30"/>
    <n v="30"/>
    <x v="1"/>
    <n v="2024"/>
    <m/>
    <x v="0"/>
    <n v="303007"/>
    <x v="0"/>
    <x v="0"/>
    <n v="149.514563106796"/>
    <n v="4.7766990291262097"/>
    <x v="27"/>
    <n v="48.543689320388303"/>
    <x v="15"/>
  </r>
  <r>
    <x v="95"/>
    <s v="2024-10-24"/>
    <n v="24"/>
    <x v="1"/>
    <n v="2024"/>
    <m/>
    <x v="3"/>
    <n v="491222"/>
    <x v="0"/>
    <x v="0"/>
    <n v="159.223300970873"/>
    <n v="4.7766990291262097"/>
    <x v="22"/>
    <n v="58.252427184466001"/>
    <x v="6"/>
  </r>
  <r>
    <x v="96"/>
    <s v="2024-10-17"/>
    <n v="17"/>
    <x v="1"/>
    <n v="2024"/>
    <m/>
    <x v="1"/>
    <n v="412207"/>
    <x v="1"/>
    <x v="1"/>
    <n v="88.983050847457605"/>
    <n v="18.915254237288099"/>
    <x v="60"/>
    <n v="35.593220338983102"/>
    <x v="13"/>
  </r>
  <r>
    <x v="97"/>
    <s v="2024-10-30"/>
    <n v="30"/>
    <x v="1"/>
    <n v="2024"/>
    <m/>
    <x v="4"/>
    <n v="224208"/>
    <x v="0"/>
    <x v="0"/>
    <n v="149.514563106796"/>
    <n v="4.7766990291262097"/>
    <x v="27"/>
    <n v="48.543689320388303"/>
    <x v="0"/>
  </r>
  <r>
    <x v="98"/>
    <s v="2024-10-30"/>
    <n v="30"/>
    <x v="1"/>
    <n v="2024"/>
    <m/>
    <x v="0"/>
    <n v="281004"/>
    <x v="0"/>
    <x v="0"/>
    <n v="149.514563106796"/>
    <n v="4.7766990291262097"/>
    <x v="27"/>
    <n v="48.543689320388303"/>
    <x v="0"/>
  </r>
  <r>
    <x v="99"/>
    <s v="2024-10-31"/>
    <n v="31"/>
    <x v="1"/>
    <n v="2024"/>
    <m/>
    <x v="0"/>
    <n v="272175"/>
    <x v="0"/>
    <x v="0"/>
    <n v="149.514563106796"/>
    <n v="4.7766990291262097"/>
    <x v="27"/>
    <n v="48.543689320388303"/>
    <x v="0"/>
  </r>
  <r>
    <x v="100"/>
    <s v="2024-10-21"/>
    <n v="21"/>
    <x v="1"/>
    <n v="2024"/>
    <m/>
    <x v="1"/>
    <n v="813203"/>
    <x v="0"/>
    <x v="0"/>
    <n v="162.135922330097"/>
    <n v="4.86407766990291"/>
    <x v="35"/>
    <n v="61.165048543689302"/>
    <x v="5"/>
  </r>
  <r>
    <x v="101"/>
    <s v="2024-10-22"/>
    <n v="22"/>
    <x v="1"/>
    <n v="2024"/>
    <m/>
    <x v="0"/>
    <n v="272190"/>
    <x v="0"/>
    <x v="0"/>
    <n v="152.42718446601901"/>
    <n v="4.86407766990291"/>
    <x v="49"/>
    <n v="51.456310679611697"/>
    <x v="0"/>
  </r>
  <r>
    <x v="102"/>
    <s v="2024-10-22"/>
    <n v="22"/>
    <x v="1"/>
    <n v="2024"/>
    <m/>
    <x v="1"/>
    <n v="143103"/>
    <x v="0"/>
    <x v="0"/>
    <n v="148.54368932038801"/>
    <n v="4.6601941747572804"/>
    <x v="61"/>
    <n v="51.456310679611697"/>
    <x v="3"/>
  </r>
  <r>
    <x v="103"/>
    <s v="2024-10-30"/>
    <n v="30"/>
    <x v="1"/>
    <n v="2024"/>
    <m/>
    <x v="0"/>
    <n v="277401"/>
    <x v="0"/>
    <x v="0"/>
    <n v="112.621359223301"/>
    <n v="4.1067961165048503"/>
    <x v="62"/>
    <n v="33.980582524271803"/>
    <x v="0"/>
  </r>
  <r>
    <x v="104"/>
    <s v="2024-10-31"/>
    <n v="31"/>
    <x v="1"/>
    <n v="2024"/>
    <m/>
    <x v="0"/>
    <n v="560035"/>
    <x v="0"/>
    <x v="0"/>
    <n v="159.223300970873"/>
    <n v="4.7766990291262097"/>
    <x v="22"/>
    <n v="58.252427184466001"/>
    <x v="4"/>
  </r>
  <r>
    <x v="105"/>
    <s v="2024-10-17"/>
    <n v="17"/>
    <x v="1"/>
    <n v="2024"/>
    <m/>
    <x v="1"/>
    <n v="110047"/>
    <x v="1"/>
    <x v="1"/>
    <n v="107.627118644067"/>
    <n v="20.898305084745701"/>
    <x v="63"/>
    <n v="43.220338983050901"/>
    <x v="9"/>
  </r>
  <r>
    <x v="106"/>
    <s v="2024-10-23"/>
    <n v="23"/>
    <x v="1"/>
    <n v="2024"/>
    <m/>
    <x v="3"/>
    <n v="753001"/>
    <x v="0"/>
    <x v="0"/>
    <n v="139.80582524271799"/>
    <n v="4.1941747572815498"/>
    <x v="38"/>
    <n v="61.165048543689302"/>
    <x v="18"/>
  </r>
  <r>
    <x v="107"/>
    <s v="2024-10-31"/>
    <n v="31"/>
    <x v="1"/>
    <n v="2024"/>
    <m/>
    <x v="4"/>
    <n v="816115"/>
    <x v="0"/>
    <x v="0"/>
    <n v="119.417475728155"/>
    <n v="4.1067961165048503"/>
    <x v="56"/>
    <n v="40.776699029126199"/>
    <x v="11"/>
  </r>
  <r>
    <x v="108"/>
    <s v="2024-10-22"/>
    <n v="22"/>
    <x v="1"/>
    <n v="2024"/>
    <m/>
    <x v="1"/>
    <n v="228171"/>
    <x v="0"/>
    <x v="0"/>
    <n v="156.31067961164999"/>
    <n v="5.0970873786407802"/>
    <x v="64"/>
    <n v="49.514563106796103"/>
    <x v="0"/>
  </r>
  <r>
    <x v="109"/>
    <s v="2024-10-23"/>
    <n v="23"/>
    <x v="1"/>
    <n v="2024"/>
    <m/>
    <x v="3"/>
    <n v="141016"/>
    <x v="0"/>
    <x v="0"/>
    <n v="152.42718446601901"/>
    <n v="4.86407766990291"/>
    <x v="49"/>
    <n v="61.165048543689302"/>
    <x v="3"/>
  </r>
  <r>
    <x v="110"/>
    <s v="2024-10-19"/>
    <n v="19"/>
    <x v="1"/>
    <n v="2024"/>
    <m/>
    <x v="1"/>
    <n v="276137"/>
    <x v="0"/>
    <x v="0"/>
    <n v="156.31067961164999"/>
    <n v="5.0970873786407802"/>
    <x v="64"/>
    <n v="49.514563106796103"/>
    <x v="0"/>
  </r>
  <r>
    <x v="111"/>
    <s v="2024-10-30"/>
    <n v="30"/>
    <x v="1"/>
    <n v="2024"/>
    <m/>
    <x v="0"/>
    <n v="493228"/>
    <x v="0"/>
    <x v="0"/>
    <n v="136.893203883495"/>
    <n v="4.1067961165048503"/>
    <x v="31"/>
    <n v="58.252427184466001"/>
    <x v="6"/>
  </r>
  <r>
    <x v="112"/>
    <s v="2024-10-24"/>
    <n v="24"/>
    <x v="1"/>
    <n v="2024"/>
    <m/>
    <x v="2"/>
    <n v="333001"/>
    <x v="0"/>
    <x v="0"/>
    <n v="152.42718446601901"/>
    <n v="4.7766990291262097"/>
    <x v="43"/>
    <n v="51.456310679611697"/>
    <x v="15"/>
  </r>
  <r>
    <x v="113"/>
    <s v="2024-10-29"/>
    <n v="29"/>
    <x v="1"/>
    <n v="2024"/>
    <m/>
    <x v="0"/>
    <n v="843146"/>
    <x v="0"/>
    <x v="0"/>
    <n v="140.77669902912601"/>
    <n v="4.2233009708737903"/>
    <x v="34"/>
    <n v="59.223300970873801"/>
    <x v="5"/>
  </r>
  <r>
    <x v="114"/>
    <s v="2024-10-21"/>
    <n v="21"/>
    <x v="1"/>
    <n v="2024"/>
    <m/>
    <x v="3"/>
    <n v="846009"/>
    <x v="0"/>
    <x v="0"/>
    <n v="162.135922330097"/>
    <n v="4.86407766990291"/>
    <x v="35"/>
    <n v="61.165048543689302"/>
    <x v="5"/>
  </r>
  <r>
    <x v="115"/>
    <s v="2024-10-30"/>
    <n v="30"/>
    <x v="1"/>
    <n v="2024"/>
    <m/>
    <x v="0"/>
    <n v="243632"/>
    <x v="0"/>
    <x v="0"/>
    <n v="127.184466019417"/>
    <n v="4.1067961165048503"/>
    <x v="15"/>
    <n v="48.543689320388303"/>
    <x v="0"/>
  </r>
  <r>
    <x v="116"/>
    <s v="2024-10-22"/>
    <n v="22"/>
    <x v="1"/>
    <n v="2024"/>
    <m/>
    <x v="1"/>
    <n v="144514"/>
    <x v="0"/>
    <x v="0"/>
    <n v="162.135922330097"/>
    <n v="5.0970873786407802"/>
    <x v="65"/>
    <n v="55.339805825242699"/>
    <x v="3"/>
  </r>
  <r>
    <x v="117"/>
    <s v="2024-10-30"/>
    <n v="30"/>
    <x v="1"/>
    <n v="2024"/>
    <m/>
    <x v="3"/>
    <n v="151001"/>
    <x v="0"/>
    <x v="0"/>
    <n v="152.42718446601901"/>
    <n v="4.86407766990291"/>
    <x v="49"/>
    <n v="49.514563106796103"/>
    <x v="3"/>
  </r>
  <r>
    <x v="118"/>
    <s v="2024-10-24"/>
    <n v="24"/>
    <x v="1"/>
    <n v="2024"/>
    <m/>
    <x v="3"/>
    <n v="175012"/>
    <x v="0"/>
    <x v="0"/>
    <n v="149.514563106796"/>
    <n v="4.7766990291262097"/>
    <x v="27"/>
    <n v="48.543689320388303"/>
    <x v="14"/>
  </r>
  <r>
    <x v="119"/>
    <s v="2024-10-26"/>
    <n v="26"/>
    <x v="1"/>
    <n v="2024"/>
    <m/>
    <x v="1"/>
    <n v="285203"/>
    <x v="0"/>
    <x v="0"/>
    <n v="152.42718446601901"/>
    <n v="4.86407766990291"/>
    <x v="49"/>
    <n v="49.514563106796103"/>
    <x v="0"/>
  </r>
  <r>
    <x v="120"/>
    <s v="2024-10-30"/>
    <n v="30"/>
    <x v="1"/>
    <n v="2024"/>
    <m/>
    <x v="3"/>
    <n v="271855"/>
    <x v="0"/>
    <x v="0"/>
    <n v="149.514563106796"/>
    <n v="4.7766990291262097"/>
    <x v="27"/>
    <n v="58.252427184466001"/>
    <x v="0"/>
  </r>
  <r>
    <x v="121"/>
    <s v="2024-10-30"/>
    <n v="30"/>
    <x v="1"/>
    <n v="2024"/>
    <m/>
    <x v="0"/>
    <n v="413503"/>
    <x v="0"/>
    <x v="0"/>
    <n v="273.78640776699001"/>
    <n v="8.2135922330097095"/>
    <x v="66"/>
    <n v="116.504854368932"/>
    <x v="13"/>
  </r>
  <r>
    <x v="122"/>
    <s v="2024-10-23"/>
    <n v="23"/>
    <x v="1"/>
    <n v="2024"/>
    <m/>
    <x v="3"/>
    <n v="444704"/>
    <x v="0"/>
    <x v="0"/>
    <n v="119.417475728155"/>
    <n v="4.1941747572815498"/>
    <x v="67"/>
    <n v="61.165048543689302"/>
    <x v="13"/>
  </r>
  <r>
    <x v="123"/>
    <s v="2024-10-30"/>
    <n v="30"/>
    <x v="1"/>
    <n v="2024"/>
    <m/>
    <x v="4"/>
    <n v="825324"/>
    <x v="0"/>
    <x v="0"/>
    <n v="136.893203883495"/>
    <n v="4.1067961165048503"/>
    <x v="31"/>
    <n v="58.252427184466001"/>
    <x v="11"/>
  </r>
  <r>
    <x v="124"/>
    <s v="2024-10-20"/>
    <n v="20"/>
    <x v="1"/>
    <n v="2024"/>
    <m/>
    <x v="0"/>
    <n v="185121"/>
    <x v="0"/>
    <x v="0"/>
    <n v="169.90291262135901"/>
    <n v="5.0970873786407802"/>
    <x v="44"/>
    <n v="63.106796116504903"/>
    <x v="19"/>
  </r>
  <r>
    <x v="125"/>
    <s v="2024-10-25"/>
    <n v="25"/>
    <x v="1"/>
    <n v="2024"/>
    <m/>
    <x v="3"/>
    <n v="626117"/>
    <x v="0"/>
    <x v="0"/>
    <n v="133.009708737864"/>
    <n v="3.9902912621359201"/>
    <x v="68"/>
    <n v="59.223300970873801"/>
    <x v="21"/>
  </r>
  <r>
    <x v="126"/>
    <s v="2024-10-25"/>
    <n v="25"/>
    <x v="1"/>
    <n v="2024"/>
    <m/>
    <x v="0"/>
    <n v="848114"/>
    <x v="0"/>
    <x v="0"/>
    <n v="159.223300970873"/>
    <n v="4.7766990291262097"/>
    <x v="22"/>
    <n v="59.223300970873801"/>
    <x v="5"/>
  </r>
  <r>
    <x v="127"/>
    <s v="2024-10-31"/>
    <n v="31"/>
    <x v="1"/>
    <n v="2024"/>
    <m/>
    <x v="3"/>
    <n v="845106"/>
    <x v="0"/>
    <x v="0"/>
    <n v="136.893203883495"/>
    <n v="4.1067961165048503"/>
    <x v="31"/>
    <n v="58.252427184466001"/>
    <x v="5"/>
  </r>
  <r>
    <x v="128"/>
    <s v="2024-10-19"/>
    <n v="19"/>
    <x v="1"/>
    <n v="2024"/>
    <m/>
    <x v="3"/>
    <n v="221404"/>
    <x v="0"/>
    <x v="0"/>
    <n v="156.31067961164999"/>
    <n v="5.0970873786407802"/>
    <x v="64"/>
    <n v="49.514563106796103"/>
    <x v="0"/>
  </r>
  <r>
    <x v="129"/>
    <s v="2024-10-24"/>
    <n v="24"/>
    <x v="1"/>
    <n v="2024"/>
    <m/>
    <x v="3"/>
    <n v="226016"/>
    <x v="0"/>
    <x v="0"/>
    <n v="141.747572815534"/>
    <n v="4.7766990291262097"/>
    <x v="69"/>
    <n v="40.776699029126199"/>
    <x v="0"/>
  </r>
  <r>
    <x v="130"/>
    <s v="2024-10-30"/>
    <n v="30"/>
    <x v="1"/>
    <n v="2024"/>
    <m/>
    <x v="0"/>
    <n v="276123"/>
    <x v="0"/>
    <x v="0"/>
    <n v="146.601941747572"/>
    <n v="4.6893203883495103"/>
    <x v="70"/>
    <n v="49.514563106796103"/>
    <x v="0"/>
  </r>
  <r>
    <x v="131"/>
    <s v="2024-10-30"/>
    <n v="30"/>
    <x v="1"/>
    <n v="2024"/>
    <m/>
    <x v="4"/>
    <n v="243402"/>
    <x v="0"/>
    <x v="0"/>
    <n v="149.514563106796"/>
    <n v="4.7766990291262097"/>
    <x v="27"/>
    <n v="48.543689320388303"/>
    <x v="0"/>
  </r>
  <r>
    <x v="132"/>
    <s v="2024-10-30"/>
    <n v="30"/>
    <x v="1"/>
    <n v="2024"/>
    <m/>
    <x v="0"/>
    <n v="201304"/>
    <x v="2"/>
    <x v="2"/>
    <n v="166.07142857142799"/>
    <n v="22.714285714285701"/>
    <x v="71"/>
    <n v="42.857142857142897"/>
    <x v="0"/>
  </r>
  <r>
    <x v="133"/>
    <s v="2024-10-07"/>
    <n v="7"/>
    <x v="1"/>
    <n v="2024"/>
    <m/>
    <x v="3"/>
    <n v="201013"/>
    <x v="0"/>
    <x v="1"/>
    <n v="110.169491525423"/>
    <n v="21.355932203389798"/>
    <x v="55"/>
    <n v="43.220338983050901"/>
    <x v="0"/>
  </r>
  <r>
    <x v="134"/>
    <s v="2024-10-31"/>
    <n v="31"/>
    <x v="1"/>
    <n v="2024"/>
    <m/>
    <x v="3"/>
    <n v="110043"/>
    <x v="0"/>
    <x v="0"/>
    <n v="254.368932038834"/>
    <n v="8.2135922330097095"/>
    <x v="53"/>
    <n v="116.504854368932"/>
    <x v="9"/>
  </r>
  <r>
    <x v="135"/>
    <s v="2024-10-26"/>
    <n v="26"/>
    <x v="1"/>
    <n v="2024"/>
    <m/>
    <x v="0"/>
    <n v="222139"/>
    <x v="0"/>
    <x v="0"/>
    <n v="131.06796116504799"/>
    <n v="4.2233009708737903"/>
    <x v="72"/>
    <n v="49.514563106796103"/>
    <x v="0"/>
  </r>
  <r>
    <x v="136"/>
    <s v="2024-10-31"/>
    <n v="31"/>
    <x v="1"/>
    <n v="2024"/>
    <m/>
    <x v="0"/>
    <n v="226013"/>
    <x v="0"/>
    <x v="0"/>
    <n v="140.77669902912601"/>
    <n v="4.7766990291262097"/>
    <x v="73"/>
    <n v="39.805825242718498"/>
    <x v="0"/>
  </r>
  <r>
    <x v="137"/>
    <s v="2024-10-20"/>
    <n v="20"/>
    <x v="1"/>
    <n v="2024"/>
    <m/>
    <x v="1"/>
    <n v="491771"/>
    <x v="0"/>
    <x v="0"/>
    <n v="139.80582524271799"/>
    <n v="4.1941747572815498"/>
    <x v="38"/>
    <n v="61.165048543689302"/>
    <x v="6"/>
  </r>
  <r>
    <x v="138"/>
    <s v="2024-10-25"/>
    <n v="25"/>
    <x v="1"/>
    <n v="2024"/>
    <m/>
    <x v="0"/>
    <n v="261506"/>
    <x v="0"/>
    <x v="0"/>
    <n v="127.184466019417"/>
    <n v="4.1067961165048503"/>
    <x v="15"/>
    <n v="48.543689320388303"/>
    <x v="0"/>
  </r>
  <r>
    <x v="139"/>
    <s v="2024-10-31"/>
    <n v="31"/>
    <x v="1"/>
    <n v="2024"/>
    <m/>
    <x v="0"/>
    <n v="122413"/>
    <x v="0"/>
    <x v="0"/>
    <n v="149.514563106796"/>
    <n v="4.7766990291262097"/>
    <x v="27"/>
    <n v="48.543689320388303"/>
    <x v="20"/>
  </r>
  <r>
    <x v="140"/>
    <s v="2024-10-21"/>
    <n v="21"/>
    <x v="1"/>
    <n v="2024"/>
    <m/>
    <x v="1"/>
    <n v="805106"/>
    <x v="0"/>
    <x v="0"/>
    <n v="169.90291262135901"/>
    <n v="5.0970873786407802"/>
    <x v="44"/>
    <n v="63.106796116504903"/>
    <x v="5"/>
  </r>
  <r>
    <x v="141"/>
    <s v="2024-10-31"/>
    <n v="31"/>
    <x v="1"/>
    <n v="2024"/>
    <m/>
    <x v="0"/>
    <n v="800014"/>
    <x v="0"/>
    <x v="0"/>
    <n v="137.864077669902"/>
    <n v="4.7475728155339798"/>
    <x v="74"/>
    <n v="37.864077669902898"/>
    <x v="5"/>
  </r>
  <r>
    <x v="142"/>
    <s v="2024-10-28"/>
    <n v="28"/>
    <x v="1"/>
    <n v="2024"/>
    <m/>
    <x v="4"/>
    <n v="232327"/>
    <x v="0"/>
    <x v="0"/>
    <n v="148.54368932038801"/>
    <n v="4.7475728155339798"/>
    <x v="59"/>
    <n v="48.543689320388303"/>
    <x v="0"/>
  </r>
  <r>
    <x v="143"/>
    <s v="2024-10-24"/>
    <n v="24"/>
    <x v="1"/>
    <n v="2024"/>
    <m/>
    <x v="3"/>
    <n v="848101"/>
    <x v="0"/>
    <x v="0"/>
    <n v="159.223300970873"/>
    <n v="4.7766990291262097"/>
    <x v="22"/>
    <n v="58.252427184466001"/>
    <x v="5"/>
  </r>
  <r>
    <x v="144"/>
    <s v="2024-10-24"/>
    <n v="24"/>
    <x v="1"/>
    <n v="2024"/>
    <m/>
    <x v="3"/>
    <n v="335001"/>
    <x v="0"/>
    <x v="0"/>
    <n v="136.893203883495"/>
    <n v="4.7766990291262097"/>
    <x v="75"/>
    <n v="35.922330097087404"/>
    <x v="15"/>
  </r>
  <r>
    <x v="145"/>
    <s v="2024-10-31"/>
    <n v="31"/>
    <x v="1"/>
    <n v="2024"/>
    <m/>
    <x v="4"/>
    <n v="123401"/>
    <x v="0"/>
    <x v="0"/>
    <n v="152.42718446601901"/>
    <n v="4.7766990291262097"/>
    <x v="43"/>
    <n v="58.252427184466001"/>
    <x v="20"/>
  </r>
  <r>
    <x v="146"/>
    <s v="2024-10-25"/>
    <n v="25"/>
    <x v="1"/>
    <n v="2024"/>
    <m/>
    <x v="0"/>
    <n v="400607"/>
    <x v="0"/>
    <x v="0"/>
    <n v="197.087378640776"/>
    <n v="5.9126213592232997"/>
    <x v="76"/>
    <n v="59.223300970873801"/>
    <x v="13"/>
  </r>
  <r>
    <x v="147"/>
    <s v="2024-10-27"/>
    <n v="27"/>
    <x v="1"/>
    <n v="2024"/>
    <m/>
    <x v="4"/>
    <n v="477222"/>
    <x v="0"/>
    <x v="0"/>
    <n v="162.135922330097"/>
    <n v="4.86407766990291"/>
    <x v="35"/>
    <n v="59.223300970873801"/>
    <x v="7"/>
  </r>
  <r>
    <x v="148"/>
    <s v="2024-10-28"/>
    <n v="28"/>
    <x v="1"/>
    <n v="2024"/>
    <m/>
    <x v="0"/>
    <n v="413102"/>
    <x v="1"/>
    <x v="0"/>
    <n v="145.631067961165"/>
    <n v="4.3689320388349504"/>
    <x v="28"/>
    <n v="59.223300970873801"/>
    <x v="13"/>
  </r>
  <r>
    <x v="149"/>
    <s v="2024-10-07"/>
    <n v="7"/>
    <x v="1"/>
    <n v="2024"/>
    <m/>
    <x v="5"/>
    <n v="509001"/>
    <x v="0"/>
    <x v="1"/>
    <n v="127.118644067796"/>
    <n v="22.881355932203299"/>
    <x v="77"/>
    <n v="51.694915254237301"/>
    <x v="17"/>
  </r>
  <r>
    <x v="150"/>
    <s v="2024-10-24"/>
    <n v="24"/>
    <x v="1"/>
    <n v="2024"/>
    <m/>
    <x v="5"/>
    <n v="277001"/>
    <x v="0"/>
    <x v="0"/>
    <n v="134.95145631067899"/>
    <n v="4.7766990291262097"/>
    <x v="78"/>
    <n v="33.980582524271803"/>
    <x v="0"/>
  </r>
  <r>
    <x v="151"/>
    <s v="2024-10-31"/>
    <n v="31"/>
    <x v="1"/>
    <n v="2024"/>
    <m/>
    <x v="0"/>
    <n v="509376"/>
    <x v="0"/>
    <x v="0"/>
    <n v="139.80582524271799"/>
    <n v="4.1941747572815498"/>
    <x v="38"/>
    <n v="58.252427184466001"/>
    <x v="17"/>
  </r>
  <r>
    <x v="152"/>
    <s v="2024-11-13"/>
    <n v="13"/>
    <x v="2"/>
    <n v="2024"/>
    <m/>
    <x v="1"/>
    <n v="392240"/>
    <x v="0"/>
    <x v="0"/>
    <n v="151.45631067961099"/>
    <n v="4.5436893203883502"/>
    <x v="79"/>
    <n v="61.165048543689302"/>
    <x v="1"/>
  </r>
  <r>
    <x v="153"/>
    <s v="2024-11-13"/>
    <n v="13"/>
    <x v="2"/>
    <n v="2024"/>
    <m/>
    <x v="1"/>
    <n v="226005"/>
    <x v="0"/>
    <x v="0"/>
    <n v="150.485436893203"/>
    <n v="5.3883495145631102"/>
    <x v="80"/>
    <n v="30.097087378640801"/>
    <x v="0"/>
  </r>
  <r>
    <x v="154"/>
    <s v="2024-11-15"/>
    <n v="15"/>
    <x v="2"/>
    <n v="2024"/>
    <m/>
    <x v="6"/>
    <n v="226002"/>
    <x v="2"/>
    <x v="2"/>
    <n v="141.96428571428501"/>
    <n v="19.607142857142801"/>
    <x v="81"/>
    <n v="45.535714285714299"/>
    <x v="0"/>
  </r>
  <r>
    <x v="155"/>
    <s v="2024-11-13"/>
    <n v="13"/>
    <x v="2"/>
    <n v="2024"/>
    <m/>
    <x v="3"/>
    <n v="411060"/>
    <x v="2"/>
    <x v="2"/>
    <n v="132.142857142857"/>
    <n v="17.464285714285701"/>
    <x v="82"/>
    <n v="53.571428571428598"/>
    <x v="13"/>
  </r>
  <r>
    <x v="156"/>
    <s v="2024-11-23"/>
    <n v="23"/>
    <x v="2"/>
    <n v="2024"/>
    <m/>
    <x v="0"/>
    <n v="400043"/>
    <x v="0"/>
    <x v="0"/>
    <n v="167.96116504854299"/>
    <n v="5.0388349514563098"/>
    <x v="83"/>
    <n v="59.223300970873801"/>
    <x v="13"/>
  </r>
  <r>
    <x v="157"/>
    <s v="2024-11-07"/>
    <n v="7"/>
    <x v="2"/>
    <n v="2024"/>
    <m/>
    <x v="3"/>
    <n v="151207"/>
    <x v="0"/>
    <x v="0"/>
    <n v="156.31067961164999"/>
    <n v="4.9805825242718402"/>
    <x v="84"/>
    <n v="59.223300970873801"/>
    <x v="3"/>
  </r>
  <r>
    <x v="158"/>
    <s v="2024-11-20"/>
    <n v="20"/>
    <x v="2"/>
    <n v="2024"/>
    <m/>
    <x v="1"/>
    <n v="411041"/>
    <x v="0"/>
    <x v="0"/>
    <n v="204.854368932038"/>
    <n v="6.6990291262135901"/>
    <x v="85"/>
    <n v="42.7184466019418"/>
    <x v="13"/>
  </r>
  <r>
    <x v="159"/>
    <s v="2024-11-11"/>
    <n v="11"/>
    <x v="2"/>
    <n v="2024"/>
    <m/>
    <x v="1"/>
    <n v="133203"/>
    <x v="2"/>
    <x v="2"/>
    <n v="138.392857142857"/>
    <n v="19.607142857142801"/>
    <x v="86"/>
    <n v="41.964285714285701"/>
    <x v="20"/>
  </r>
  <r>
    <x v="160"/>
    <s v="2024-11-07"/>
    <n v="7"/>
    <x v="2"/>
    <n v="2024"/>
    <m/>
    <x v="1"/>
    <n v="483501"/>
    <x v="0"/>
    <x v="0"/>
    <n v="172.81553398058199"/>
    <n v="5.2427184466019403"/>
    <x v="87"/>
    <n v="57.2815533980583"/>
    <x v="7"/>
  </r>
  <r>
    <x v="161"/>
    <s v="2024-11-17"/>
    <n v="17"/>
    <x v="2"/>
    <n v="2024"/>
    <m/>
    <x v="5"/>
    <n v="500004"/>
    <x v="2"/>
    <x v="2"/>
    <n v="146.42857142857099"/>
    <n v="19.178571428571399"/>
    <x v="88"/>
    <n v="41.071428571428598"/>
    <x v="17"/>
  </r>
  <r>
    <x v="162"/>
    <s v="2024-11-16"/>
    <n v="16"/>
    <x v="2"/>
    <n v="2024"/>
    <m/>
    <x v="1"/>
    <n v="473222"/>
    <x v="0"/>
    <x v="0"/>
    <n v="158.252427184466"/>
    <n v="4.7475728155339798"/>
    <x v="51"/>
    <n v="58.252427184466001"/>
    <x v="7"/>
  </r>
  <r>
    <x v="163"/>
    <s v="2024-11-25"/>
    <n v="25"/>
    <x v="2"/>
    <n v="2024"/>
    <m/>
    <x v="0"/>
    <n v="224190"/>
    <x v="0"/>
    <x v="0"/>
    <n v="147.57281553397999"/>
    <n v="4.7184466019417499"/>
    <x v="89"/>
    <n v="47.572815533980602"/>
    <x v="0"/>
  </r>
  <r>
    <x v="164"/>
    <s v="2024-11-11"/>
    <n v="11"/>
    <x v="2"/>
    <n v="2024"/>
    <m/>
    <x v="1"/>
    <n v="562159"/>
    <x v="0"/>
    <x v="0"/>
    <n v="139.80582524271799"/>
    <n v="4.1941747572815498"/>
    <x v="38"/>
    <n v="58.252427184466001"/>
    <x v="4"/>
  </r>
  <r>
    <x v="165"/>
    <s v="2024-11-18"/>
    <n v="18"/>
    <x v="2"/>
    <n v="2024"/>
    <m/>
    <x v="1"/>
    <n v="824211"/>
    <x v="0"/>
    <x v="0"/>
    <n v="132.03883495145601"/>
    <n v="5.0388349514563098"/>
    <x v="90"/>
    <n v="23.300970873786401"/>
    <x v="5"/>
  </r>
  <r>
    <x v="166"/>
    <s v="2024-11-10"/>
    <n v="10"/>
    <x v="2"/>
    <n v="2024"/>
    <m/>
    <x v="5"/>
    <n v="273158"/>
    <x v="0"/>
    <x v="0"/>
    <n v="133.980582524271"/>
    <n v="4.7475728155339798"/>
    <x v="91"/>
    <n v="33.980582524271803"/>
    <x v="0"/>
  </r>
  <r>
    <x v="167"/>
    <s v="2024-11-07"/>
    <n v="7"/>
    <x v="2"/>
    <n v="2024"/>
    <m/>
    <x v="6"/>
    <n v="223226"/>
    <x v="0"/>
    <x v="0"/>
    <n v="156.31067961164999"/>
    <n v="5.4174757281553401"/>
    <x v="92"/>
    <n v="34.951456310679603"/>
    <x v="0"/>
  </r>
  <r>
    <x v="168"/>
    <s v="2024-11-19"/>
    <n v="19"/>
    <x v="2"/>
    <n v="2024"/>
    <m/>
    <x v="3"/>
    <n v="208013"/>
    <x v="0"/>
    <x v="0"/>
    <n v="113.592233009708"/>
    <n v="4.13592233009709"/>
    <x v="93"/>
    <n v="59.223300970873801"/>
    <x v="0"/>
  </r>
  <r>
    <x v="169"/>
    <s v="2024-11-12"/>
    <n v="12"/>
    <x v="2"/>
    <n v="2024"/>
    <m/>
    <x v="5"/>
    <n v="160022"/>
    <x v="2"/>
    <x v="2"/>
    <n v="135.71428571428501"/>
    <n v="20.678571428571399"/>
    <x v="94"/>
    <n v="30.3571428571429"/>
    <x v="22"/>
  </r>
  <r>
    <x v="170"/>
    <s v="2024-11-20"/>
    <n v="20"/>
    <x v="2"/>
    <n v="2024"/>
    <m/>
    <x v="3"/>
    <n v="831011"/>
    <x v="0"/>
    <x v="0"/>
    <n v="158.252427184466"/>
    <n v="4.7475728155339798"/>
    <x v="51"/>
    <n v="58.252427184466001"/>
    <x v="11"/>
  </r>
  <r>
    <x v="171"/>
    <s v="2024-11-28"/>
    <n v="28"/>
    <x v="2"/>
    <n v="2024"/>
    <m/>
    <x v="1"/>
    <n v="301704"/>
    <x v="0"/>
    <x v="0"/>
    <n v="147.57281553397999"/>
    <n v="4.6310679611650496"/>
    <x v="95"/>
    <n v="50.485436893203897"/>
    <x v="15"/>
  </r>
  <r>
    <x v="172"/>
    <s v="2024-11-14"/>
    <n v="14"/>
    <x v="2"/>
    <n v="2024"/>
    <m/>
    <x v="5"/>
    <n v="400055"/>
    <x v="2"/>
    <x v="2"/>
    <n v="138.392857142857"/>
    <n v="18.535714285714199"/>
    <x v="96"/>
    <n v="50.892857142857103"/>
    <x v="13"/>
  </r>
  <r>
    <x v="173"/>
    <s v="2024-11-11"/>
    <n v="11"/>
    <x v="2"/>
    <n v="2024"/>
    <m/>
    <x v="1"/>
    <n v="392240"/>
    <x v="0"/>
    <x v="0"/>
    <n v="151.45631067961099"/>
    <n v="4.5436893203883502"/>
    <x v="79"/>
    <n v="61.165048543689302"/>
    <x v="1"/>
  </r>
  <r>
    <x v="174"/>
    <s v="2024-11-11"/>
    <n v="11"/>
    <x v="2"/>
    <n v="2024"/>
    <m/>
    <x v="5"/>
    <n v="585103"/>
    <x v="2"/>
    <x v="2"/>
    <n v="153.57142857142799"/>
    <n v="20.357142857142801"/>
    <x v="97"/>
    <n v="50.892857142857103"/>
    <x v="4"/>
  </r>
  <r>
    <x v="175"/>
    <s v="2024-11-15"/>
    <n v="15"/>
    <x v="2"/>
    <n v="2024"/>
    <m/>
    <x v="1"/>
    <n v="171014"/>
    <x v="2"/>
    <x v="2"/>
    <n v="163.392857142857"/>
    <n v="21.535714285714199"/>
    <x v="98"/>
    <n v="50.892857142857103"/>
    <x v="14"/>
  </r>
  <r>
    <x v="176"/>
    <s v="2024-11-29"/>
    <n v="29"/>
    <x v="2"/>
    <n v="2024"/>
    <m/>
    <x v="0"/>
    <n v="326034"/>
    <x v="0"/>
    <x v="0"/>
    <n v="154.368932038834"/>
    <n v="4.8349514563106801"/>
    <x v="99"/>
    <n v="52.427184466019398"/>
    <x v="15"/>
  </r>
  <r>
    <x v="177"/>
    <s v="2024-11-06"/>
    <n v="6"/>
    <x v="2"/>
    <n v="2024"/>
    <m/>
    <x v="1"/>
    <n v="560037"/>
    <x v="2"/>
    <x v="2"/>
    <n v="163.392857142857"/>
    <n v="21.535714285714199"/>
    <x v="98"/>
    <n v="50.892857142857103"/>
    <x v="4"/>
  </r>
  <r>
    <x v="178"/>
    <s v="2024-11-19"/>
    <n v="19"/>
    <x v="2"/>
    <n v="2024"/>
    <m/>
    <x v="5"/>
    <n v="560078"/>
    <x v="2"/>
    <x v="2"/>
    <n v="147.32142857142799"/>
    <n v="19.285714285714199"/>
    <x v="100"/>
    <n v="40.178571428571402"/>
    <x v="4"/>
  </r>
  <r>
    <x v="179"/>
    <s v="2024-11-17"/>
    <n v="17"/>
    <x v="2"/>
    <n v="2024"/>
    <m/>
    <x v="1"/>
    <n v="700006"/>
    <x v="2"/>
    <x v="2"/>
    <n v="132.142857142857"/>
    <n v="17.464285714285701"/>
    <x v="82"/>
    <n v="40.178571428571402"/>
    <x v="2"/>
  </r>
  <r>
    <x v="180"/>
    <s v="2024-11-03"/>
    <n v="3"/>
    <x v="2"/>
    <n v="2024"/>
    <m/>
    <x v="1"/>
    <n v="226016"/>
    <x v="0"/>
    <x v="0"/>
    <n v="123.300970873786"/>
    <n v="4.2233009708737903"/>
    <x v="101"/>
    <n v="41.747572815533999"/>
    <x v="0"/>
  </r>
  <r>
    <x v="181"/>
    <s v="2024-11-17"/>
    <n v="17"/>
    <x v="2"/>
    <n v="2024"/>
    <m/>
    <x v="1"/>
    <n v="440034"/>
    <x v="2"/>
    <x v="2"/>
    <n v="163.392857142857"/>
    <n v="19.607142857142801"/>
    <x v="102"/>
    <n v="66.964285714285694"/>
    <x v="13"/>
  </r>
  <r>
    <x v="182"/>
    <s v="2024-11-16"/>
    <n v="16"/>
    <x v="2"/>
    <n v="2024"/>
    <m/>
    <x v="3"/>
    <n v="845401"/>
    <x v="0"/>
    <x v="0"/>
    <n v="166.01941747572801"/>
    <n v="5.0388349514563098"/>
    <x v="103"/>
    <n v="59.223300970873801"/>
    <x v="5"/>
  </r>
  <r>
    <x v="183"/>
    <s v="2024-11-03"/>
    <n v="3"/>
    <x v="2"/>
    <n v="2024"/>
    <m/>
    <x v="1"/>
    <n v="121002"/>
    <x v="0"/>
    <x v="0"/>
    <n v="137.864077669902"/>
    <n v="4.8058252427184502"/>
    <x v="104"/>
    <n v="36.893203883495197"/>
    <x v="20"/>
  </r>
  <r>
    <x v="184"/>
    <s v="2024-11-09"/>
    <n v="9"/>
    <x v="2"/>
    <n v="2024"/>
    <m/>
    <x v="1"/>
    <n v="801109"/>
    <x v="0"/>
    <x v="0"/>
    <n v="155.339805825242"/>
    <n v="4.7475728155339798"/>
    <x v="105"/>
    <n v="55.339805825242699"/>
    <x v="5"/>
  </r>
  <r>
    <x v="185"/>
    <s v="2024-11-15"/>
    <n v="15"/>
    <x v="2"/>
    <n v="2024"/>
    <m/>
    <x v="3"/>
    <n v="274702"/>
    <x v="0"/>
    <x v="0"/>
    <n v="150.485436893203"/>
    <n v="4.8058252427184502"/>
    <x v="106"/>
    <n v="49.514563106796103"/>
    <x v="0"/>
  </r>
  <r>
    <x v="186"/>
    <s v="2024-11-15"/>
    <n v="15"/>
    <x v="2"/>
    <n v="2024"/>
    <m/>
    <x v="3"/>
    <n v="208021"/>
    <x v="0"/>
    <x v="0"/>
    <n v="148.54368932038801"/>
    <n v="4.7475728155339798"/>
    <x v="59"/>
    <n v="58.252427184466001"/>
    <x v="0"/>
  </r>
  <r>
    <x v="187"/>
    <s v="2024-11-24"/>
    <n v="24"/>
    <x v="2"/>
    <n v="2024"/>
    <m/>
    <x v="3"/>
    <n v="517501"/>
    <x v="0"/>
    <x v="0"/>
    <n v="124.27184466019401"/>
    <n v="4.1650485436893199"/>
    <x v="107"/>
    <n v="42.7184466019418"/>
    <x v="12"/>
  </r>
  <r>
    <x v="188"/>
    <s v="2024-11-20"/>
    <n v="20"/>
    <x v="2"/>
    <n v="2024"/>
    <m/>
    <x v="2"/>
    <n v="500011"/>
    <x v="0"/>
    <x v="0"/>
    <n v="161.16504854368901"/>
    <n v="4.8349514563106801"/>
    <x v="108"/>
    <n v="60.194174757281601"/>
    <x v="17"/>
  </r>
  <r>
    <x v="189"/>
    <s v="2024-11-15"/>
    <n v="15"/>
    <x v="2"/>
    <n v="2024"/>
    <m/>
    <x v="1"/>
    <n v="641654"/>
    <x v="0"/>
    <x v="0"/>
    <n v="161.16504854368901"/>
    <n v="4.8349514563106801"/>
    <x v="108"/>
    <n v="59.223300970873801"/>
    <x v="8"/>
  </r>
  <r>
    <x v="190"/>
    <s v="2024-11-09"/>
    <n v="9"/>
    <x v="2"/>
    <n v="2024"/>
    <m/>
    <x v="1"/>
    <n v="201009"/>
    <x v="0"/>
    <x v="0"/>
    <n v="159.223300970873"/>
    <n v="5.0679611650485397"/>
    <x v="109"/>
    <n v="48.543689320388303"/>
    <x v="0"/>
  </r>
  <r>
    <x v="191"/>
    <s v="2024-11-15"/>
    <n v="15"/>
    <x v="2"/>
    <n v="2024"/>
    <m/>
    <x v="3"/>
    <n v="143507"/>
    <x v="2"/>
    <x v="2"/>
    <n v="161.60714285714201"/>
    <n v="20.357142857142801"/>
    <x v="110"/>
    <n v="66.964285714285694"/>
    <x v="3"/>
  </r>
  <r>
    <x v="192"/>
    <s v="2024-11-09"/>
    <n v="9"/>
    <x v="2"/>
    <n v="2024"/>
    <m/>
    <x v="2"/>
    <n v="843313"/>
    <x v="0"/>
    <x v="0"/>
    <n v="158.252427184466"/>
    <n v="4.7475728155339798"/>
    <x v="51"/>
    <n v="58.252427184466001"/>
    <x v="5"/>
  </r>
  <r>
    <x v="193"/>
    <s v="2024-11-14"/>
    <n v="14"/>
    <x v="2"/>
    <n v="2024"/>
    <m/>
    <x v="1"/>
    <n v="302013"/>
    <x v="0"/>
    <x v="0"/>
    <n v="87.378640776699001"/>
    <n v="3.4077669902912602"/>
    <x v="111"/>
    <n v="38.834951456310698"/>
    <x v="15"/>
  </r>
  <r>
    <x v="194"/>
    <s v="2024-11-19"/>
    <n v="19"/>
    <x v="2"/>
    <n v="2024"/>
    <m/>
    <x v="1"/>
    <n v="421204"/>
    <x v="2"/>
    <x v="2"/>
    <n v="196.42857142857099"/>
    <n v="23.571428571428498"/>
    <x v="112"/>
    <n v="66.964285714285694"/>
    <x v="13"/>
  </r>
  <r>
    <x v="195"/>
    <s v="2024-11-15"/>
    <n v="15"/>
    <x v="2"/>
    <n v="2024"/>
    <m/>
    <x v="5"/>
    <n v="110092"/>
    <x v="2"/>
    <x v="2"/>
    <n v="127.678571428571"/>
    <n v="17.464285714285701"/>
    <x v="113"/>
    <n v="35.714285714285701"/>
    <x v="9"/>
  </r>
  <r>
    <x v="196"/>
    <s v="2024-11-13"/>
    <n v="13"/>
    <x v="2"/>
    <n v="2024"/>
    <m/>
    <x v="1"/>
    <n v="700066"/>
    <x v="0"/>
    <x v="0"/>
    <n v="156.31067961164999"/>
    <n v="4.6893203883495103"/>
    <x v="19"/>
    <n v="59.223300970873801"/>
    <x v="2"/>
  </r>
  <r>
    <x v="197"/>
    <s v="2024-11-19"/>
    <n v="19"/>
    <x v="2"/>
    <n v="2024"/>
    <m/>
    <x v="1"/>
    <n v="271123"/>
    <x v="0"/>
    <x v="0"/>
    <n v="139.80582524271799"/>
    <n v="4.4854368932038797"/>
    <x v="114"/>
    <n v="49.514563106796103"/>
    <x v="0"/>
  </r>
  <r>
    <x v="198"/>
    <s v="2024-11-09"/>
    <n v="9"/>
    <x v="2"/>
    <n v="2024"/>
    <m/>
    <x v="2"/>
    <n v="247129"/>
    <x v="0"/>
    <x v="0"/>
    <n v="150.485436893203"/>
    <n v="4.8058252427184502"/>
    <x v="106"/>
    <n v="49.514563106796103"/>
    <x v="0"/>
  </r>
  <r>
    <x v="199"/>
    <s v="2024-11-16"/>
    <n v="16"/>
    <x v="2"/>
    <n v="2024"/>
    <m/>
    <x v="1"/>
    <n v="211003"/>
    <x v="2"/>
    <x v="2"/>
    <n v="152.67857142857099"/>
    <n v="19.607142857142801"/>
    <x v="115"/>
    <n v="56.25"/>
    <x v="0"/>
  </r>
  <r>
    <x v="200"/>
    <s v="2024-11-20"/>
    <n v="20"/>
    <x v="2"/>
    <n v="2024"/>
    <m/>
    <x v="1"/>
    <n v="176092"/>
    <x v="0"/>
    <x v="0"/>
    <n v="148.54368932038801"/>
    <n v="4.7475728155339798"/>
    <x v="59"/>
    <n v="48.543689320388303"/>
    <x v="14"/>
  </r>
  <r>
    <x v="201"/>
    <s v="2024-11-09"/>
    <n v="9"/>
    <x v="2"/>
    <n v="2024"/>
    <m/>
    <x v="1"/>
    <n v="457222"/>
    <x v="0"/>
    <x v="0"/>
    <n v="160.19417475728099"/>
    <n v="4.8058252427184502"/>
    <x v="116"/>
    <n v="59.223300970873801"/>
    <x v="7"/>
  </r>
  <r>
    <x v="202"/>
    <s v="2024-11-22"/>
    <n v="22"/>
    <x v="2"/>
    <n v="2024"/>
    <m/>
    <x v="6"/>
    <n v="223226"/>
    <x v="0"/>
    <x v="0"/>
    <n v="125.242718446601"/>
    <n v="4.5145631067961203"/>
    <x v="40"/>
    <n v="33.009708737864102"/>
    <x v="0"/>
  </r>
  <r>
    <x v="203"/>
    <s v="2024-11-09"/>
    <n v="9"/>
    <x v="2"/>
    <n v="2024"/>
    <m/>
    <x v="1"/>
    <n v="400066"/>
    <x v="2"/>
    <x v="2"/>
    <n v="138.392857142857"/>
    <n v="18.535714285714199"/>
    <x v="96"/>
    <n v="50.892857142857103"/>
    <x v="13"/>
  </r>
  <r>
    <x v="204"/>
    <s v="2024-11-12"/>
    <n v="12"/>
    <x v="2"/>
    <n v="2024"/>
    <m/>
    <x v="1"/>
    <n v="800016"/>
    <x v="2"/>
    <x v="2"/>
    <n v="159.82142857142799"/>
    <n v="21.857142857142801"/>
    <x v="117"/>
    <n v="47.321428571428598"/>
    <x v="5"/>
  </r>
  <r>
    <x v="205"/>
    <s v="2024-11-10"/>
    <n v="10"/>
    <x v="2"/>
    <n v="2024"/>
    <m/>
    <x v="6"/>
    <n v="560087"/>
    <x v="2"/>
    <x v="2"/>
    <n v="147.32142857142799"/>
    <n v="19.607142857142801"/>
    <x v="118"/>
    <n v="50.892857142857103"/>
    <x v="4"/>
  </r>
  <r>
    <x v="206"/>
    <s v="2024-11-27"/>
    <n v="27"/>
    <x v="2"/>
    <n v="2024"/>
    <m/>
    <x v="0"/>
    <n v="400066"/>
    <x v="0"/>
    <x v="0"/>
    <n v="169.90291262135901"/>
    <n v="5.0970873786407802"/>
    <x v="44"/>
    <n v="58.252427184466001"/>
    <x v="13"/>
  </r>
  <r>
    <x v="207"/>
    <s v="2024-11-16"/>
    <n v="16"/>
    <x v="2"/>
    <n v="2024"/>
    <m/>
    <x v="2"/>
    <n v="585104"/>
    <x v="2"/>
    <x v="2"/>
    <n v="179.46428571428501"/>
    <n v="21.535714285714199"/>
    <x v="119"/>
    <n v="66.964285714285694"/>
    <x v="4"/>
  </r>
  <r>
    <x v="208"/>
    <s v="2024-11-19"/>
    <n v="19"/>
    <x v="2"/>
    <n v="2024"/>
    <m/>
    <x v="1"/>
    <n v="400053"/>
    <x v="0"/>
    <x v="0"/>
    <n v="142.718446601941"/>
    <n v="4.8058252427184502"/>
    <x v="120"/>
    <n v="41.747572815533999"/>
    <x v="13"/>
  </r>
  <r>
    <x v="209"/>
    <s v="2024-11-08"/>
    <n v="8"/>
    <x v="2"/>
    <n v="2024"/>
    <m/>
    <x v="1"/>
    <n v="781026"/>
    <x v="2"/>
    <x v="2"/>
    <n v="162.5"/>
    <n v="23.25"/>
    <x v="121"/>
    <n v="66.071428571428598"/>
    <x v="10"/>
  </r>
  <r>
    <x v="210"/>
    <s v="2024-11-19"/>
    <n v="19"/>
    <x v="2"/>
    <n v="2024"/>
    <m/>
    <x v="2"/>
    <n v="110030"/>
    <x v="0"/>
    <x v="0"/>
    <n v="150.485436893203"/>
    <n v="4.8058252427184502"/>
    <x v="106"/>
    <n v="49.514563106796103"/>
    <x v="9"/>
  </r>
  <r>
    <x v="211"/>
    <s v="2024-11-22"/>
    <n v="22"/>
    <x v="2"/>
    <n v="2024"/>
    <m/>
    <x v="1"/>
    <n v="274702"/>
    <x v="0"/>
    <x v="0"/>
    <n v="150.485436893203"/>
    <n v="4.8058252427184502"/>
    <x v="106"/>
    <n v="49.514563106796103"/>
    <x v="0"/>
  </r>
  <r>
    <x v="212"/>
    <s v="2024-11-09"/>
    <n v="9"/>
    <x v="2"/>
    <n v="2024"/>
    <m/>
    <x v="3"/>
    <n v="160101"/>
    <x v="0"/>
    <x v="0"/>
    <n v="130.09708737864"/>
    <n v="4.1941747572815498"/>
    <x v="122"/>
    <n v="58.252427184466001"/>
    <x v="22"/>
  </r>
  <r>
    <x v="213"/>
    <s v="2024-11-03"/>
    <n v="3"/>
    <x v="2"/>
    <n v="2024"/>
    <m/>
    <x v="2"/>
    <n v="302025"/>
    <x v="1"/>
    <x v="0"/>
    <n v="100.970873786407"/>
    <n v="3.7281553398058298"/>
    <x v="123"/>
    <n v="35.922330097087404"/>
    <x v="15"/>
  </r>
  <r>
    <x v="214"/>
    <s v="2024-11-09"/>
    <n v="9"/>
    <x v="2"/>
    <n v="2024"/>
    <m/>
    <x v="1"/>
    <n v="841402"/>
    <x v="0"/>
    <x v="0"/>
    <n v="155.339805825242"/>
    <n v="4.7475728155339798"/>
    <x v="105"/>
    <n v="55.339805825242699"/>
    <x v="5"/>
  </r>
  <r>
    <x v="215"/>
    <s v="2024-11-17"/>
    <n v="17"/>
    <x v="2"/>
    <n v="2024"/>
    <m/>
    <x v="1"/>
    <n v="562123"/>
    <x v="0"/>
    <x v="0"/>
    <n v="86.407766990291293"/>
    <n v="3.1456310679611699"/>
    <x v="124"/>
    <n v="41.747572815533999"/>
    <x v="4"/>
  </r>
  <r>
    <x v="216"/>
    <s v="2024-11-06"/>
    <n v="6"/>
    <x v="2"/>
    <n v="2024"/>
    <m/>
    <x v="1"/>
    <n v="121008"/>
    <x v="2"/>
    <x v="2"/>
    <n v="135.71428571428501"/>
    <n v="19.071428571428498"/>
    <x v="125"/>
    <n v="43.75"/>
    <x v="20"/>
  </r>
  <r>
    <x v="217"/>
    <s v="2024-11-28"/>
    <n v="28"/>
    <x v="2"/>
    <n v="2024"/>
    <m/>
    <x v="1"/>
    <n v="474010"/>
    <x v="0"/>
    <x v="0"/>
    <n v="162.135922330097"/>
    <n v="4.86407766990291"/>
    <x v="35"/>
    <n v="59.223300970873801"/>
    <x v="7"/>
  </r>
  <r>
    <x v="218"/>
    <s v="2024-11-17"/>
    <n v="17"/>
    <x v="2"/>
    <n v="2024"/>
    <m/>
    <x v="3"/>
    <n v="402103"/>
    <x v="0"/>
    <x v="0"/>
    <n v="158.252427184466"/>
    <n v="4.7475728155339798"/>
    <x v="51"/>
    <n v="58.252427184466001"/>
    <x v="13"/>
  </r>
  <r>
    <x v="219"/>
    <s v="2024-11-26"/>
    <n v="26"/>
    <x v="2"/>
    <n v="2024"/>
    <m/>
    <x v="1"/>
    <n v="575007"/>
    <x v="0"/>
    <x v="0"/>
    <n v="142.718446601941"/>
    <n v="4.8058252427184502"/>
    <x v="120"/>
    <n v="39.805825242718498"/>
    <x v="4"/>
  </r>
  <r>
    <x v="220"/>
    <s v="2024-11-05"/>
    <n v="5"/>
    <x v="2"/>
    <n v="2024"/>
    <m/>
    <x v="2"/>
    <n v="844112"/>
    <x v="0"/>
    <x v="0"/>
    <n v="174.757281553398"/>
    <n v="5.2427184466019403"/>
    <x v="126"/>
    <n v="59.223300970873801"/>
    <x v="5"/>
  </r>
  <r>
    <x v="221"/>
    <s v="2024-11-01"/>
    <n v="1"/>
    <x v="2"/>
    <n v="2024"/>
    <m/>
    <x v="3"/>
    <n v="402103"/>
    <x v="0"/>
    <x v="0"/>
    <n v="158.252427184466"/>
    <n v="4.7475728155339798"/>
    <x v="51"/>
    <n v="58.252427184466001"/>
    <x v="13"/>
  </r>
  <r>
    <x v="222"/>
    <s v="2024-11-01"/>
    <n v="1"/>
    <x v="2"/>
    <n v="2024"/>
    <m/>
    <x v="1"/>
    <n v="560032"/>
    <x v="0"/>
    <x v="0"/>
    <n v="160.19417475728099"/>
    <n v="4.8058252427184502"/>
    <x v="116"/>
    <n v="59.223300970873801"/>
    <x v="4"/>
  </r>
  <r>
    <x v="177"/>
    <s v="2024-11-06"/>
    <n v="6"/>
    <x v="2"/>
    <n v="2024"/>
    <m/>
    <x v="1"/>
    <n v="560037"/>
    <x v="2"/>
    <x v="2"/>
    <n v="156.25"/>
    <n v="20.678571428571399"/>
    <x v="127"/>
    <n v="50.892857142857103"/>
    <x v="4"/>
  </r>
  <r>
    <x v="223"/>
    <s v="2024-11-08"/>
    <n v="8"/>
    <x v="2"/>
    <n v="2024"/>
    <m/>
    <x v="1"/>
    <n v="151204"/>
    <x v="0"/>
    <x v="0"/>
    <n v="165.04854368932001"/>
    <n v="5.2427184466019403"/>
    <x v="128"/>
    <n v="49.514563106796103"/>
    <x v="3"/>
  </r>
  <r>
    <x v="224"/>
    <s v="2024-11-28"/>
    <n v="28"/>
    <x v="2"/>
    <n v="2024"/>
    <m/>
    <x v="0"/>
    <n v="227806"/>
    <x v="0"/>
    <x v="0"/>
    <n v="153.39805825242701"/>
    <n v="5.1262135922330101"/>
    <x v="129"/>
    <n v="41.747572815533999"/>
    <x v="0"/>
  </r>
  <r>
    <x v="225"/>
    <s v="2024-11-22"/>
    <n v="22"/>
    <x v="2"/>
    <n v="2024"/>
    <m/>
    <x v="1"/>
    <n v="396424"/>
    <x v="0"/>
    <x v="0"/>
    <n v="167.96116504854299"/>
    <n v="5.0388349514563098"/>
    <x v="83"/>
    <n v="59.223300970873801"/>
    <x v="1"/>
  </r>
  <r>
    <x v="226"/>
    <s v="2024-11-09"/>
    <n v="9"/>
    <x v="2"/>
    <n v="2024"/>
    <m/>
    <x v="3"/>
    <n v="402103"/>
    <x v="0"/>
    <x v="0"/>
    <n v="158.252427184466"/>
    <n v="4.7475728155339798"/>
    <x v="51"/>
    <n v="58.252427184466001"/>
    <x v="13"/>
  </r>
  <r>
    <x v="227"/>
    <s v="2024-11-29"/>
    <n v="29"/>
    <x v="2"/>
    <n v="2024"/>
    <m/>
    <x v="3"/>
    <n v="829117"/>
    <x v="0"/>
    <x v="0"/>
    <n v="161.16504854368901"/>
    <n v="4.8349514563106801"/>
    <x v="108"/>
    <n v="58.252427184466001"/>
    <x v="11"/>
  </r>
  <r>
    <x v="228"/>
    <s v="2024-11-16"/>
    <n v="16"/>
    <x v="2"/>
    <n v="2024"/>
    <m/>
    <x v="5"/>
    <n v="221010"/>
    <x v="0"/>
    <x v="0"/>
    <n v="150.485436893203"/>
    <n v="4.8058252427184502"/>
    <x v="106"/>
    <n v="49.514563106796103"/>
    <x v="0"/>
  </r>
  <r>
    <x v="229"/>
    <s v="2024-11-09"/>
    <n v="9"/>
    <x v="2"/>
    <n v="2024"/>
    <m/>
    <x v="3"/>
    <n v="431203"/>
    <x v="0"/>
    <x v="0"/>
    <n v="158.252427184466"/>
    <n v="4.7475728155339798"/>
    <x v="51"/>
    <n v="58.252427184466001"/>
    <x v="13"/>
  </r>
  <r>
    <x v="230"/>
    <s v="2024-11-04"/>
    <n v="4"/>
    <x v="2"/>
    <n v="2024"/>
    <m/>
    <x v="1"/>
    <n v="110091"/>
    <x v="0"/>
    <x v="0"/>
    <n v="128.15533980582501"/>
    <n v="4.13592233009709"/>
    <x v="54"/>
    <n v="49.514563106796103"/>
    <x v="9"/>
  </r>
  <r>
    <x v="231"/>
    <s v="2024-11-26"/>
    <n v="26"/>
    <x v="2"/>
    <n v="2024"/>
    <m/>
    <x v="2"/>
    <n v="221306"/>
    <x v="0"/>
    <x v="0"/>
    <n v="158.252427184466"/>
    <n v="5.0388349514563098"/>
    <x v="130"/>
    <n v="49.514563106796103"/>
    <x v="0"/>
  </r>
  <r>
    <x v="232"/>
    <s v="2024-11-28"/>
    <n v="28"/>
    <x v="2"/>
    <n v="2024"/>
    <m/>
    <x v="1"/>
    <n v="474010"/>
    <x v="0"/>
    <x v="0"/>
    <n v="162.135922330097"/>
    <n v="4.86407766990291"/>
    <x v="35"/>
    <n v="59.223300970873801"/>
    <x v="7"/>
  </r>
  <r>
    <x v="233"/>
    <s v="2024-11-11"/>
    <n v="11"/>
    <x v="2"/>
    <n v="2024"/>
    <m/>
    <x v="3"/>
    <n v="587101"/>
    <x v="2"/>
    <x v="2"/>
    <n v="179.46428571428501"/>
    <n v="21.535714285714199"/>
    <x v="119"/>
    <n v="66.964285714285694"/>
    <x v="4"/>
  </r>
  <r>
    <x v="234"/>
    <s v="2024-11-14"/>
    <n v="14"/>
    <x v="2"/>
    <n v="2024"/>
    <m/>
    <x v="1"/>
    <n v="143109"/>
    <x v="2"/>
    <x v="2"/>
    <n v="161.60714285714201"/>
    <n v="20.357142857142801"/>
    <x v="110"/>
    <n v="58.928571428571402"/>
    <x v="3"/>
  </r>
  <r>
    <x v="235"/>
    <s v="2024-11-03"/>
    <n v="3"/>
    <x v="2"/>
    <n v="2024"/>
    <m/>
    <x v="5"/>
    <n v="495557"/>
    <x v="0"/>
    <x v="0"/>
    <n v="240.77669902912601"/>
    <n v="8.2718446601941693"/>
    <x v="131"/>
    <n v="81.553398058252398"/>
    <x v="6"/>
  </r>
  <r>
    <x v="236"/>
    <s v="2024-11-25"/>
    <n v="25"/>
    <x v="2"/>
    <n v="2024"/>
    <m/>
    <x v="1"/>
    <n v="211019"/>
    <x v="0"/>
    <x v="0"/>
    <n v="160.19417475728099"/>
    <n v="5.0970873786407802"/>
    <x v="132"/>
    <n v="48.543689320388303"/>
    <x v="0"/>
  </r>
  <r>
    <x v="237"/>
    <s v="2024-11-13"/>
    <n v="13"/>
    <x v="2"/>
    <n v="2024"/>
    <m/>
    <x v="1"/>
    <n v="844503"/>
    <x v="0"/>
    <x v="0"/>
    <n v="139.80582524271799"/>
    <n v="4.1941747572815498"/>
    <x v="38"/>
    <n v="58.252427184466001"/>
    <x v="5"/>
  </r>
  <r>
    <x v="238"/>
    <s v="2024-11-20"/>
    <n v="20"/>
    <x v="2"/>
    <n v="2024"/>
    <m/>
    <x v="3"/>
    <n v="824102"/>
    <x v="0"/>
    <x v="0"/>
    <n v="141.747572815534"/>
    <n v="4.8058252427184502"/>
    <x v="133"/>
    <n v="40.776699029126199"/>
    <x v="5"/>
  </r>
  <r>
    <x v="239"/>
    <s v="2024-11-14"/>
    <n v="14"/>
    <x v="2"/>
    <n v="2024"/>
    <m/>
    <x v="1"/>
    <n v="243726"/>
    <x v="0"/>
    <x v="0"/>
    <n v="156.31067961164999"/>
    <n v="4.9805825242718402"/>
    <x v="84"/>
    <n v="49.514563106796103"/>
    <x v="0"/>
  </r>
  <r>
    <x v="240"/>
    <s v="2024-11-08"/>
    <n v="8"/>
    <x v="2"/>
    <n v="2024"/>
    <m/>
    <x v="1"/>
    <n v="210204"/>
    <x v="0"/>
    <x v="0"/>
    <n v="165.04854368932001"/>
    <n v="5.2427184466019403"/>
    <x v="128"/>
    <n v="49.514563106796103"/>
    <x v="0"/>
  </r>
  <r>
    <x v="241"/>
    <s v="2024-11-14"/>
    <n v="14"/>
    <x v="2"/>
    <n v="2024"/>
    <m/>
    <x v="3"/>
    <n v="185211"/>
    <x v="0"/>
    <x v="0"/>
    <n v="158.252427184466"/>
    <n v="4.7475728155339798"/>
    <x v="51"/>
    <n v="58.252427184466001"/>
    <x v="19"/>
  </r>
  <r>
    <x v="242"/>
    <s v="2024-11-01"/>
    <n v="1"/>
    <x v="2"/>
    <n v="2024"/>
    <m/>
    <x v="1"/>
    <n v="791109"/>
    <x v="2"/>
    <x v="2"/>
    <n v="219.642857142857"/>
    <n v="26.357142857142801"/>
    <x v="134"/>
    <n v="96.428571428571402"/>
    <x v="23"/>
  </r>
  <r>
    <x v="243"/>
    <s v="2024-11-27"/>
    <n v="27"/>
    <x v="2"/>
    <n v="2024"/>
    <m/>
    <x v="3"/>
    <n v="400068"/>
    <x v="0"/>
    <x v="0"/>
    <n v="136.893203883495"/>
    <n v="4.6310679611650496"/>
    <x v="135"/>
    <n v="57.2815533980583"/>
    <x v="13"/>
  </r>
  <r>
    <x v="244"/>
    <s v="2024-11-17"/>
    <n v="17"/>
    <x v="2"/>
    <n v="2024"/>
    <m/>
    <x v="1"/>
    <n v="122004"/>
    <x v="2"/>
    <x v="2"/>
    <n v="126.78571428571399"/>
    <n v="19.607142857142801"/>
    <x v="136"/>
    <n v="30.3571428571429"/>
    <x v="20"/>
  </r>
  <r>
    <x v="245"/>
    <s v="2024-11-08"/>
    <n v="8"/>
    <x v="2"/>
    <n v="2024"/>
    <m/>
    <x v="1"/>
    <n v="475671"/>
    <x v="0"/>
    <x v="0"/>
    <n v="155.339805825242"/>
    <n v="4.6601941747572804"/>
    <x v="137"/>
    <n v="58.252427184466001"/>
    <x v="7"/>
  </r>
  <r>
    <x v="246"/>
    <s v="2024-11-11"/>
    <n v="11"/>
    <x v="2"/>
    <n v="2024"/>
    <m/>
    <x v="1"/>
    <n v="688535"/>
    <x v="2"/>
    <x v="2"/>
    <n v="179.46428571428501"/>
    <n v="21.535714285714199"/>
    <x v="119"/>
    <n v="66.964285714285694"/>
    <x v="24"/>
  </r>
  <r>
    <x v="247"/>
    <s v="2024-11-18"/>
    <n v="18"/>
    <x v="2"/>
    <n v="2024"/>
    <m/>
    <x v="1"/>
    <n v="110091"/>
    <x v="0"/>
    <x v="1"/>
    <n v="94.067796610169495"/>
    <n v="20.593220338982999"/>
    <x v="138"/>
    <n v="33.0508474576271"/>
    <x v="9"/>
  </r>
  <r>
    <x v="248"/>
    <s v="2024-11-05"/>
    <n v="5"/>
    <x v="2"/>
    <n v="2024"/>
    <m/>
    <x v="1"/>
    <n v="335001"/>
    <x v="0"/>
    <x v="0"/>
    <n v="137.864077669902"/>
    <n v="4.8058252427184502"/>
    <x v="104"/>
    <n v="36.893203883495197"/>
    <x v="15"/>
  </r>
  <r>
    <x v="249"/>
    <s v="2024-11-10"/>
    <n v="10"/>
    <x v="2"/>
    <n v="2024"/>
    <m/>
    <x v="1"/>
    <n v="412115"/>
    <x v="0"/>
    <x v="0"/>
    <n v="166.01941747572801"/>
    <n v="4.9805825242718402"/>
    <x v="139"/>
    <n v="59.223300970873801"/>
    <x v="13"/>
  </r>
  <r>
    <x v="250"/>
    <s v="2024-11-13"/>
    <n v="13"/>
    <x v="2"/>
    <n v="2024"/>
    <m/>
    <x v="1"/>
    <n v="208011"/>
    <x v="2"/>
    <x v="2"/>
    <n v="154.46428571428501"/>
    <n v="21.535714285714199"/>
    <x v="140"/>
    <n v="41.964285714285701"/>
    <x v="0"/>
  </r>
  <r>
    <x v="251"/>
    <s v="2024-11-21"/>
    <n v="21"/>
    <x v="2"/>
    <n v="2024"/>
    <m/>
    <x v="1"/>
    <n v="803116"/>
    <x v="0"/>
    <x v="0"/>
    <n v="165.04854368932001"/>
    <n v="4.9514563106796103"/>
    <x v="141"/>
    <n v="58.252427184466001"/>
    <x v="5"/>
  </r>
  <r>
    <x v="252"/>
    <s v="2024-11-10"/>
    <n v="10"/>
    <x v="2"/>
    <n v="2024"/>
    <m/>
    <x v="2"/>
    <n v="486001"/>
    <x v="0"/>
    <x v="0"/>
    <n v="155.339805825242"/>
    <n v="4.7475728155339798"/>
    <x v="105"/>
    <n v="55.339805825242699"/>
    <x v="7"/>
  </r>
  <r>
    <x v="253"/>
    <s v="2024-11-30"/>
    <n v="30"/>
    <x v="2"/>
    <n v="2024"/>
    <m/>
    <x v="4"/>
    <n v="110042"/>
    <x v="0"/>
    <x v="0"/>
    <n v="128.15533980582501"/>
    <n v="4.13592233009709"/>
    <x v="54"/>
    <n v="48.543689320388303"/>
    <x v="9"/>
  </r>
  <r>
    <x v="254"/>
    <s v="2024-11-16"/>
    <n v="16"/>
    <x v="2"/>
    <n v="2024"/>
    <m/>
    <x v="3"/>
    <n v="522101"/>
    <x v="0"/>
    <x v="0"/>
    <n v="142.718446601941"/>
    <n v="4.8058252427184502"/>
    <x v="120"/>
    <n v="59.223300970873801"/>
    <x v="12"/>
  </r>
  <r>
    <x v="255"/>
    <s v="2024-11-16"/>
    <n v="16"/>
    <x v="2"/>
    <n v="2024"/>
    <m/>
    <x v="2"/>
    <n v="456664"/>
    <x v="0"/>
    <x v="0"/>
    <n v="158.252427184466"/>
    <n v="4.7475728155339798"/>
    <x v="51"/>
    <n v="58.252427184466001"/>
    <x v="7"/>
  </r>
  <r>
    <x v="256"/>
    <s v="2024-11-09"/>
    <n v="9"/>
    <x v="2"/>
    <n v="2024"/>
    <m/>
    <x v="1"/>
    <n v="276121"/>
    <x v="0"/>
    <x v="0"/>
    <n v="113.592233009708"/>
    <n v="4.13592233009709"/>
    <x v="93"/>
    <n v="34.951456310679603"/>
    <x v="0"/>
  </r>
  <r>
    <x v="257"/>
    <s v="2024-11-02"/>
    <n v="2"/>
    <x v="2"/>
    <n v="2024"/>
    <m/>
    <x v="1"/>
    <n v="110059"/>
    <x v="2"/>
    <x v="2"/>
    <n v="179.46428571428501"/>
    <n v="24.321428571428498"/>
    <x v="142"/>
    <n v="42.857142857142897"/>
    <x v="9"/>
  </r>
  <r>
    <x v="258"/>
    <s v="2024-11-18"/>
    <n v="18"/>
    <x v="2"/>
    <n v="2024"/>
    <m/>
    <x v="1"/>
    <n v="344031"/>
    <x v="0"/>
    <x v="0"/>
    <n v="149.514563106796"/>
    <n v="4.6893203883495103"/>
    <x v="143"/>
    <n v="52.427184466019398"/>
    <x v="15"/>
  </r>
  <r>
    <x v="259"/>
    <s v="2024-11-14"/>
    <n v="14"/>
    <x v="2"/>
    <n v="2024"/>
    <m/>
    <x v="1"/>
    <n v="848502"/>
    <x v="0"/>
    <x v="0"/>
    <n v="149.514563106796"/>
    <n v="4.4854368932038797"/>
    <x v="144"/>
    <n v="59.223300970873801"/>
    <x v="5"/>
  </r>
  <r>
    <x v="172"/>
    <s v="2024-11-14"/>
    <n v="14"/>
    <x v="2"/>
    <n v="2024"/>
    <m/>
    <x v="5"/>
    <n v="400055"/>
    <x v="2"/>
    <x v="2"/>
    <n v="145.53571428571399"/>
    <n v="19.071428571428498"/>
    <x v="145"/>
    <n v="40.178571428571402"/>
    <x v="13"/>
  </r>
  <r>
    <x v="260"/>
    <s v="2024-11-19"/>
    <n v="19"/>
    <x v="2"/>
    <n v="2024"/>
    <m/>
    <x v="5"/>
    <n v="184121"/>
    <x v="2"/>
    <x v="2"/>
    <n v="319.642857142857"/>
    <n v="44.142857142857103"/>
    <x v="146"/>
    <n v="105.35714285714199"/>
    <x v="19"/>
  </r>
  <r>
    <x v="261"/>
    <s v="2024-11-18"/>
    <n v="18"/>
    <x v="2"/>
    <n v="2024"/>
    <m/>
    <x v="1"/>
    <n v="410210"/>
    <x v="0"/>
    <x v="0"/>
    <n v="86.407766990291293"/>
    <n v="3.1456310679611699"/>
    <x v="124"/>
    <n v="41.747572815533999"/>
    <x v="13"/>
  </r>
  <r>
    <x v="262"/>
    <s v="2024-11-21"/>
    <n v="21"/>
    <x v="2"/>
    <n v="2024"/>
    <m/>
    <x v="3"/>
    <n v="803116"/>
    <x v="0"/>
    <x v="0"/>
    <n v="165.04854368932001"/>
    <n v="4.9514563106796103"/>
    <x v="141"/>
    <n v="58.252427184466001"/>
    <x v="5"/>
  </r>
  <r>
    <x v="263"/>
    <s v="2024-11-09"/>
    <n v="9"/>
    <x v="2"/>
    <n v="2024"/>
    <m/>
    <x v="2"/>
    <n v="791110"/>
    <x v="0"/>
    <x v="0"/>
    <n v="178.640776699029"/>
    <n v="5.3592233009708696"/>
    <x v="147"/>
    <n v="78.640776699029104"/>
    <x v="23"/>
  </r>
  <r>
    <x v="264"/>
    <s v="2024-11-15"/>
    <n v="15"/>
    <x v="2"/>
    <n v="2024"/>
    <m/>
    <x v="1"/>
    <n v="752055"/>
    <x v="0"/>
    <x v="0"/>
    <n v="148.54368932038801"/>
    <n v="4.9805825242718402"/>
    <x v="148"/>
    <n v="41.747572815533999"/>
    <x v="18"/>
  </r>
  <r>
    <x v="265"/>
    <s v="2024-11-10"/>
    <n v="10"/>
    <x v="2"/>
    <n v="2024"/>
    <m/>
    <x v="1"/>
    <n v="751024"/>
    <x v="2"/>
    <x v="2"/>
    <n v="179.46428571428501"/>
    <n v="21.535714285714199"/>
    <x v="119"/>
    <n v="66.964285714285694"/>
    <x v="18"/>
  </r>
  <r>
    <x v="266"/>
    <s v="2024-11-15"/>
    <n v="15"/>
    <x v="2"/>
    <n v="2024"/>
    <m/>
    <x v="3"/>
    <n v="140603"/>
    <x v="0"/>
    <x v="0"/>
    <n v="150.485436893203"/>
    <n v="4.8058252427184502"/>
    <x v="106"/>
    <n v="59.223300970873801"/>
    <x v="3"/>
  </r>
  <r>
    <x v="267"/>
    <s v="2024-11-16"/>
    <n v="16"/>
    <x v="2"/>
    <n v="2024"/>
    <m/>
    <x v="1"/>
    <n v="211006"/>
    <x v="2"/>
    <x v="2"/>
    <n v="138.392857142857"/>
    <n v="19.071428571428498"/>
    <x v="149"/>
    <n v="33.035714285714299"/>
    <x v="0"/>
  </r>
  <r>
    <x v="268"/>
    <s v="2024-11-20"/>
    <n v="20"/>
    <x v="2"/>
    <n v="2024"/>
    <m/>
    <x v="3"/>
    <n v="751009"/>
    <x v="2"/>
    <x v="2"/>
    <n v="187.5"/>
    <n v="22.5"/>
    <x v="150"/>
    <n v="66.964285714285694"/>
    <x v="18"/>
  </r>
  <r>
    <x v="269"/>
    <s v="2024-11-21"/>
    <n v="21"/>
    <x v="2"/>
    <n v="2024"/>
    <m/>
    <x v="1"/>
    <n v="560098"/>
    <x v="0"/>
    <x v="0"/>
    <n v="148.54368932038801"/>
    <n v="4.4563106796116498"/>
    <x v="151"/>
    <n v="58.252427184466001"/>
    <x v="4"/>
  </r>
  <r>
    <x v="270"/>
    <s v="2024-11-18"/>
    <n v="18"/>
    <x v="2"/>
    <n v="2024"/>
    <m/>
    <x v="1"/>
    <n v="261135"/>
    <x v="2"/>
    <x v="2"/>
    <n v="167.85714285714201"/>
    <n v="21.214285714285701"/>
    <x v="152"/>
    <n v="44.642857142857103"/>
    <x v="0"/>
  </r>
  <r>
    <x v="271"/>
    <s v="2024-11-11"/>
    <n v="11"/>
    <x v="2"/>
    <n v="2024"/>
    <m/>
    <x v="3"/>
    <n v="744101"/>
    <x v="2"/>
    <x v="2"/>
    <n v="162.5"/>
    <n v="23.25"/>
    <x v="121"/>
    <n v="66.071428571428598"/>
    <x v="25"/>
  </r>
  <r>
    <x v="272"/>
    <s v="2024-11-02"/>
    <n v="2"/>
    <x v="2"/>
    <n v="2024"/>
    <m/>
    <x v="2"/>
    <n v="509338"/>
    <x v="0"/>
    <x v="0"/>
    <n v="160.19417475728099"/>
    <n v="4.8058252427184502"/>
    <x v="116"/>
    <n v="59.223300970873801"/>
    <x v="17"/>
  </r>
  <r>
    <x v="273"/>
    <s v="2024-11-15"/>
    <n v="15"/>
    <x v="2"/>
    <n v="2024"/>
    <m/>
    <x v="1"/>
    <n v="221712"/>
    <x v="0"/>
    <x v="0"/>
    <n v="158.252427184466"/>
    <n v="5.0388349514563098"/>
    <x v="130"/>
    <n v="49.514563106796103"/>
    <x v="0"/>
  </r>
  <r>
    <x v="274"/>
    <s v="2024-11-14"/>
    <n v="14"/>
    <x v="2"/>
    <n v="2024"/>
    <m/>
    <x v="2"/>
    <n v="324008"/>
    <x v="2"/>
    <x v="2"/>
    <n v="150.892857142857"/>
    <n v="19.607142857142801"/>
    <x v="153"/>
    <n v="54.464285714285701"/>
    <x v="15"/>
  </r>
  <r>
    <x v="275"/>
    <s v="2024-11-23"/>
    <n v="23"/>
    <x v="2"/>
    <n v="2024"/>
    <m/>
    <x v="5"/>
    <n v="800010"/>
    <x v="0"/>
    <x v="0"/>
    <n v="163.106796116504"/>
    <n v="4.9514563106796103"/>
    <x v="154"/>
    <n v="56.3106796116505"/>
    <x v="5"/>
  </r>
  <r>
    <x v="276"/>
    <s v="2024-11-17"/>
    <n v="17"/>
    <x v="2"/>
    <n v="2024"/>
    <m/>
    <x v="3"/>
    <n v="412312"/>
    <x v="0"/>
    <x v="0"/>
    <n v="151.45631067961099"/>
    <n v="4.5436893203883502"/>
    <x v="79"/>
    <n v="59.223300970873801"/>
    <x v="13"/>
  </r>
  <r>
    <x v="277"/>
    <s v="2024-11-11"/>
    <n v="11"/>
    <x v="2"/>
    <n v="2024"/>
    <m/>
    <x v="1"/>
    <n v="500020"/>
    <x v="0"/>
    <x v="0"/>
    <n v="145.631067961165"/>
    <n v="4.86407766990291"/>
    <x v="155"/>
    <n v="42.7184466019418"/>
    <x v="17"/>
  </r>
  <r>
    <x v="278"/>
    <s v="2024-11-16"/>
    <n v="16"/>
    <x v="2"/>
    <n v="2024"/>
    <m/>
    <x v="3"/>
    <n v="225403"/>
    <x v="0"/>
    <x v="0"/>
    <n v="128.15533980582501"/>
    <n v="4.13592233009709"/>
    <x v="54"/>
    <n v="59.223300970873801"/>
    <x v="0"/>
  </r>
  <r>
    <x v="279"/>
    <s v="2024-11-01"/>
    <n v="1"/>
    <x v="2"/>
    <n v="2024"/>
    <m/>
    <x v="1"/>
    <n v="273212"/>
    <x v="0"/>
    <x v="0"/>
    <n v="150.485436893203"/>
    <n v="4.8058252427184502"/>
    <x v="106"/>
    <n v="49.514563106796103"/>
    <x v="0"/>
  </r>
  <r>
    <x v="280"/>
    <s v="2024-11-15"/>
    <n v="15"/>
    <x v="2"/>
    <n v="2024"/>
    <m/>
    <x v="3"/>
    <n v="110043"/>
    <x v="0"/>
    <x v="0"/>
    <n v="128.15533980582501"/>
    <n v="4.13592233009709"/>
    <x v="54"/>
    <n v="59.223300970873801"/>
    <x v="9"/>
  </r>
  <r>
    <x v="281"/>
    <s v="2024-11-07"/>
    <n v="7"/>
    <x v="2"/>
    <n v="2024"/>
    <m/>
    <x v="2"/>
    <n v="752038"/>
    <x v="0"/>
    <x v="0"/>
    <n v="158.252427184466"/>
    <n v="4.7475728155339798"/>
    <x v="51"/>
    <n v="58.252427184466001"/>
    <x v="18"/>
  </r>
  <r>
    <x v="282"/>
    <s v="2024-11-21"/>
    <n v="21"/>
    <x v="2"/>
    <n v="2024"/>
    <m/>
    <x v="1"/>
    <n v="845401"/>
    <x v="0"/>
    <x v="0"/>
    <n v="165.04854368932001"/>
    <n v="5.0097087378640799"/>
    <x v="156"/>
    <n v="56.3106796116505"/>
    <x v="5"/>
  </r>
  <r>
    <x v="283"/>
    <s v="2024-11-29"/>
    <n v="29"/>
    <x v="2"/>
    <n v="2024"/>
    <m/>
    <x v="0"/>
    <n v="110091"/>
    <x v="0"/>
    <x v="0"/>
    <n v="193.20388349514499"/>
    <n v="6.5825242718446599"/>
    <x v="157"/>
    <n v="37.864077669902898"/>
    <x v="9"/>
  </r>
  <r>
    <x v="274"/>
    <s v="2024-11-14"/>
    <n v="14"/>
    <x v="2"/>
    <n v="2024"/>
    <m/>
    <x v="2"/>
    <n v="324008"/>
    <x v="2"/>
    <x v="2"/>
    <n v="140.17857142857099"/>
    <n v="17.464285714285701"/>
    <x v="158"/>
    <n v="48.214285714285701"/>
    <x v="15"/>
  </r>
  <r>
    <x v="284"/>
    <s v="2024-11-10"/>
    <n v="10"/>
    <x v="2"/>
    <n v="2024"/>
    <m/>
    <x v="5"/>
    <n v="700040"/>
    <x v="2"/>
    <x v="2"/>
    <n v="172.32142857142799"/>
    <n v="20.678571428571399"/>
    <x v="159"/>
    <n v="66.964285714285694"/>
    <x v="2"/>
  </r>
  <r>
    <x v="285"/>
    <s v="2024-11-17"/>
    <n v="17"/>
    <x v="2"/>
    <n v="2024"/>
    <m/>
    <x v="1"/>
    <n v="798620"/>
    <x v="2"/>
    <x v="2"/>
    <n v="163.392857142857"/>
    <n v="19.607142857142801"/>
    <x v="102"/>
    <n v="66.964285714285694"/>
    <x v="26"/>
  </r>
  <r>
    <x v="286"/>
    <s v="2024-11-20"/>
    <n v="20"/>
    <x v="2"/>
    <n v="2024"/>
    <m/>
    <x v="1"/>
    <n v="824102"/>
    <x v="0"/>
    <x v="0"/>
    <n v="135.92233009708701"/>
    <n v="4.13592233009709"/>
    <x v="160"/>
    <n v="57.2815533980583"/>
    <x v="5"/>
  </r>
  <r>
    <x v="287"/>
    <s v="2024-11-27"/>
    <n v="27"/>
    <x v="2"/>
    <n v="2024"/>
    <m/>
    <x v="1"/>
    <n v="804407"/>
    <x v="0"/>
    <x v="0"/>
    <n v="169.90291262135901"/>
    <n v="5.0970873786407802"/>
    <x v="44"/>
    <n v="58.252427184466001"/>
    <x v="5"/>
  </r>
  <r>
    <x v="288"/>
    <s v="2024-11-11"/>
    <n v="11"/>
    <x v="2"/>
    <n v="2024"/>
    <m/>
    <x v="2"/>
    <n v="212601"/>
    <x v="0"/>
    <x v="0"/>
    <n v="165.04854368932001"/>
    <n v="5.2427184466019403"/>
    <x v="128"/>
    <n v="49.514563106796103"/>
    <x v="0"/>
  </r>
  <r>
    <x v="289"/>
    <s v="2024-11-09"/>
    <n v="9"/>
    <x v="2"/>
    <n v="2024"/>
    <m/>
    <x v="1"/>
    <n v="110040"/>
    <x v="0"/>
    <x v="0"/>
    <n v="150.485436893203"/>
    <n v="4.8058252427184502"/>
    <x v="106"/>
    <n v="49.514563106796103"/>
    <x v="9"/>
  </r>
  <r>
    <x v="290"/>
    <s v="2024-11-20"/>
    <n v="20"/>
    <x v="2"/>
    <n v="2024"/>
    <m/>
    <x v="1"/>
    <n v="223226"/>
    <x v="0"/>
    <x v="0"/>
    <n v="127.184466019417"/>
    <n v="4.5436893203883502"/>
    <x v="161"/>
    <n v="34.951456310679603"/>
    <x v="0"/>
  </r>
  <r>
    <x v="291"/>
    <s v="2024-11-14"/>
    <n v="14"/>
    <x v="2"/>
    <n v="2024"/>
    <m/>
    <x v="1"/>
    <n v="802312"/>
    <x v="0"/>
    <x v="0"/>
    <n v="155.339805825242"/>
    <n v="4.7475728155339798"/>
    <x v="105"/>
    <n v="55.339805825242699"/>
    <x v="5"/>
  </r>
  <r>
    <x v="292"/>
    <s v="2024-11-20"/>
    <n v="20"/>
    <x v="2"/>
    <n v="2024"/>
    <m/>
    <x v="6"/>
    <n v="711106"/>
    <x v="0"/>
    <x v="0"/>
    <n v="137.864077669902"/>
    <n v="4.13592233009709"/>
    <x v="162"/>
    <n v="59.223300970873801"/>
    <x v="2"/>
  </r>
  <r>
    <x v="293"/>
    <s v="2024-11-18"/>
    <n v="18"/>
    <x v="2"/>
    <n v="2024"/>
    <m/>
    <x v="1"/>
    <n v="313027"/>
    <x v="0"/>
    <x v="1"/>
    <n v="135.593220338983"/>
    <n v="28.220338983050802"/>
    <x v="163"/>
    <n v="32.203389830508499"/>
    <x v="15"/>
  </r>
  <r>
    <x v="294"/>
    <s v="2024-11-12"/>
    <n v="12"/>
    <x v="2"/>
    <n v="2024"/>
    <m/>
    <x v="1"/>
    <n v="683110"/>
    <x v="2"/>
    <x v="2"/>
    <n v="154.46428571428501"/>
    <n v="20.464285714285701"/>
    <x v="164"/>
    <n v="51.785714285714299"/>
    <x v="24"/>
  </r>
  <r>
    <x v="295"/>
    <s v="2024-11-16"/>
    <n v="16"/>
    <x v="2"/>
    <n v="2024"/>
    <m/>
    <x v="1"/>
    <n v="144601"/>
    <x v="0"/>
    <x v="0"/>
    <n v="112.621359223301"/>
    <n v="3.6699029126213598"/>
    <x v="165"/>
    <n v="50.485436893203897"/>
    <x v="3"/>
  </r>
  <r>
    <x v="296"/>
    <s v="2024-11-17"/>
    <n v="17"/>
    <x v="2"/>
    <n v="2024"/>
    <m/>
    <x v="1"/>
    <n v="600112"/>
    <x v="2"/>
    <x v="2"/>
    <n v="163.392857142857"/>
    <n v="19.607142857142801"/>
    <x v="102"/>
    <n v="66.964285714285694"/>
    <x v="8"/>
  </r>
  <r>
    <x v="297"/>
    <s v="2024-11-07"/>
    <n v="7"/>
    <x v="2"/>
    <n v="2024"/>
    <m/>
    <x v="3"/>
    <n v="522101"/>
    <x v="0"/>
    <x v="0"/>
    <n v="142.718446601941"/>
    <n v="4.8058252427184502"/>
    <x v="120"/>
    <n v="59.223300970873801"/>
    <x v="12"/>
  </r>
  <r>
    <x v="298"/>
    <s v="2024-11-09"/>
    <n v="9"/>
    <x v="2"/>
    <n v="2024"/>
    <m/>
    <x v="1"/>
    <n v="245304"/>
    <x v="0"/>
    <x v="0"/>
    <n v="151.45631067961099"/>
    <n v="4.7475728155339798"/>
    <x v="21"/>
    <n v="51.456310679611697"/>
    <x v="0"/>
  </r>
  <r>
    <x v="299"/>
    <s v="2024-11-29"/>
    <n v="29"/>
    <x v="2"/>
    <n v="2024"/>
    <m/>
    <x v="0"/>
    <n v="282007"/>
    <x v="0"/>
    <x v="0"/>
    <n v="146.601941747572"/>
    <n v="4.6893203883495103"/>
    <x v="70"/>
    <n v="49.514563106796103"/>
    <x v="0"/>
  </r>
  <r>
    <x v="300"/>
    <s v="2024-11-20"/>
    <n v="20"/>
    <x v="2"/>
    <n v="2024"/>
    <m/>
    <x v="1"/>
    <n v="425502"/>
    <x v="0"/>
    <x v="0"/>
    <n v="149.514563106796"/>
    <n v="4.4854368932038797"/>
    <x v="144"/>
    <n v="59.223300970873801"/>
    <x v="13"/>
  </r>
  <r>
    <x v="301"/>
    <s v="2024-11-14"/>
    <n v="14"/>
    <x v="2"/>
    <n v="2024"/>
    <m/>
    <x v="1"/>
    <n v="263148"/>
    <x v="2"/>
    <x v="2"/>
    <n v="299.99999999999898"/>
    <n v="38.142857142857103"/>
    <x v="166"/>
    <n v="89.285714285714306"/>
    <x v="16"/>
  </r>
  <r>
    <x v="302"/>
    <s v="2024-11-17"/>
    <n v="17"/>
    <x v="2"/>
    <n v="2024"/>
    <m/>
    <x v="1"/>
    <n v="500034"/>
    <x v="2"/>
    <x v="2"/>
    <n v="159.82142857142799"/>
    <n v="19.178571428571399"/>
    <x v="167"/>
    <n v="54.464285714285701"/>
    <x v="17"/>
  </r>
  <r>
    <x v="303"/>
    <s v="2024-11-10"/>
    <n v="10"/>
    <x v="2"/>
    <n v="2024"/>
    <m/>
    <x v="3"/>
    <n v="277213"/>
    <x v="0"/>
    <x v="0"/>
    <n v="150.485436893203"/>
    <n v="4.8058252427184502"/>
    <x v="106"/>
    <n v="49.514563106796103"/>
    <x v="0"/>
  </r>
  <r>
    <x v="304"/>
    <s v="2024-11-15"/>
    <n v="15"/>
    <x v="2"/>
    <n v="2024"/>
    <m/>
    <x v="1"/>
    <n v="202135"/>
    <x v="0"/>
    <x v="0"/>
    <n v="139.80582524271799"/>
    <n v="4.4854368932038797"/>
    <x v="114"/>
    <n v="49.514563106796103"/>
    <x v="0"/>
  </r>
  <r>
    <x v="305"/>
    <s v="2024-11-13"/>
    <n v="13"/>
    <x v="2"/>
    <n v="2024"/>
    <m/>
    <x v="1"/>
    <n v="803116"/>
    <x v="0"/>
    <x v="0"/>
    <n v="156.31067961164999"/>
    <n v="4.6893203883495103"/>
    <x v="19"/>
    <n v="59.223300970873801"/>
    <x v="5"/>
  </r>
  <r>
    <x v="306"/>
    <s v="2024-11-18"/>
    <n v="18"/>
    <x v="2"/>
    <n v="2024"/>
    <m/>
    <x v="5"/>
    <n v="224201"/>
    <x v="0"/>
    <x v="0"/>
    <n v="148.54368932038801"/>
    <n v="4.7475728155339798"/>
    <x v="59"/>
    <n v="48.543689320388303"/>
    <x v="0"/>
  </r>
  <r>
    <x v="307"/>
    <s v="2024-11-14"/>
    <n v="14"/>
    <x v="2"/>
    <n v="2024"/>
    <m/>
    <x v="5"/>
    <n v="585401"/>
    <x v="0"/>
    <x v="0"/>
    <n v="158.252427184466"/>
    <n v="4.7475728155339798"/>
    <x v="51"/>
    <n v="58.252427184466001"/>
    <x v="4"/>
  </r>
  <r>
    <x v="308"/>
    <s v="2024-11-08"/>
    <n v="8"/>
    <x v="2"/>
    <n v="2024"/>
    <m/>
    <x v="1"/>
    <n v="250004"/>
    <x v="2"/>
    <x v="2"/>
    <n v="150"/>
    <n v="20.678571428571399"/>
    <x v="168"/>
    <n v="44.642857142857103"/>
    <x v="0"/>
  </r>
  <r>
    <x v="309"/>
    <s v="2024-11-06"/>
    <n v="6"/>
    <x v="2"/>
    <n v="2024"/>
    <m/>
    <x v="1"/>
    <n v="788720"/>
    <x v="0"/>
    <x v="0"/>
    <n v="180.58252427184399"/>
    <n v="5.4174757281553401"/>
    <x v="169"/>
    <n v="80.582524271844704"/>
    <x v="10"/>
  </r>
  <r>
    <x v="310"/>
    <s v="2024-11-16"/>
    <n v="16"/>
    <x v="2"/>
    <n v="2024"/>
    <m/>
    <x v="1"/>
    <n v="673014"/>
    <x v="2"/>
    <x v="2"/>
    <n v="132.142857142857"/>
    <n v="17.464285714285701"/>
    <x v="82"/>
    <n v="40.178571428571402"/>
    <x v="24"/>
  </r>
  <r>
    <x v="302"/>
    <s v="2024-11-17"/>
    <n v="17"/>
    <x v="2"/>
    <n v="2024"/>
    <m/>
    <x v="1"/>
    <n v="500034"/>
    <x v="2"/>
    <x v="2"/>
    <n v="191.07142857142799"/>
    <n v="22.928571428571399"/>
    <x v="170"/>
    <n v="54.464285714285701"/>
    <x v="17"/>
  </r>
  <r>
    <x v="311"/>
    <s v="2024-11-25"/>
    <n v="25"/>
    <x v="2"/>
    <n v="2024"/>
    <m/>
    <x v="0"/>
    <n v="402103"/>
    <x v="0"/>
    <x v="0"/>
    <n v="157.28155339805801"/>
    <n v="4.7184466019417499"/>
    <x v="171"/>
    <n v="57.2815533980583"/>
    <x v="13"/>
  </r>
  <r>
    <x v="312"/>
    <s v="2024-11-19"/>
    <n v="19"/>
    <x v="2"/>
    <n v="2024"/>
    <m/>
    <x v="1"/>
    <n v="621701"/>
    <x v="0"/>
    <x v="0"/>
    <n v="158.252427184466"/>
    <n v="4.7475728155339798"/>
    <x v="51"/>
    <n v="58.252427184466001"/>
    <x v="8"/>
  </r>
  <r>
    <x v="313"/>
    <s v="2024-11-16"/>
    <n v="16"/>
    <x v="2"/>
    <n v="2024"/>
    <m/>
    <x v="5"/>
    <n v="244231"/>
    <x v="0"/>
    <x v="0"/>
    <n v="146.601941747572"/>
    <n v="4.6893203883495103"/>
    <x v="70"/>
    <n v="49.514563106796103"/>
    <x v="0"/>
  </r>
  <r>
    <x v="314"/>
    <s v="2024-11-09"/>
    <n v="9"/>
    <x v="2"/>
    <n v="2024"/>
    <m/>
    <x v="1"/>
    <n v="328001"/>
    <x v="0"/>
    <x v="0"/>
    <n v="125.242718446601"/>
    <n v="4.4854368932038797"/>
    <x v="172"/>
    <n v="34.951456310679603"/>
    <x v="15"/>
  </r>
  <r>
    <x v="315"/>
    <s v="2024-11-17"/>
    <n v="17"/>
    <x v="2"/>
    <n v="2024"/>
    <m/>
    <x v="1"/>
    <n v="412312"/>
    <x v="0"/>
    <x v="0"/>
    <n v="151.45631067961099"/>
    <n v="4.5436893203883502"/>
    <x v="79"/>
    <n v="59.223300970873801"/>
    <x v="13"/>
  </r>
  <r>
    <x v="316"/>
    <s v="2024-11-09"/>
    <n v="9"/>
    <x v="2"/>
    <n v="2024"/>
    <m/>
    <x v="5"/>
    <n v="735220"/>
    <x v="0"/>
    <x v="0"/>
    <n v="158.252427184466"/>
    <n v="4.7475728155339798"/>
    <x v="51"/>
    <n v="58.252427184466001"/>
    <x v="2"/>
  </r>
  <r>
    <x v="317"/>
    <s v="2024-11-16"/>
    <n v="16"/>
    <x v="2"/>
    <n v="2024"/>
    <m/>
    <x v="1"/>
    <n v="131001"/>
    <x v="0"/>
    <x v="0"/>
    <n v="109.70873786407699"/>
    <n v="3.5825242718446599"/>
    <x v="173"/>
    <n v="50.485436893203897"/>
    <x v="20"/>
  </r>
  <r>
    <x v="318"/>
    <s v="2024-11-22"/>
    <n v="22"/>
    <x v="2"/>
    <n v="2024"/>
    <m/>
    <x v="3"/>
    <n v="852214"/>
    <x v="0"/>
    <x v="0"/>
    <n v="160.19417475728099"/>
    <n v="4.8058252427184502"/>
    <x v="116"/>
    <n v="59.223300970873801"/>
    <x v="5"/>
  </r>
  <r>
    <x v="319"/>
    <s v="2024-11-25"/>
    <n v="25"/>
    <x v="2"/>
    <n v="2024"/>
    <m/>
    <x v="0"/>
    <n v="243201"/>
    <x v="0"/>
    <x v="0"/>
    <n v="144.66019417475701"/>
    <n v="4.6310679611650496"/>
    <x v="174"/>
    <n v="47.572815533980602"/>
    <x v="0"/>
  </r>
  <r>
    <x v="320"/>
    <s v="2024-11-11"/>
    <n v="11"/>
    <x v="2"/>
    <n v="2024"/>
    <m/>
    <x v="5"/>
    <n v="802132"/>
    <x v="0"/>
    <x v="0"/>
    <n v="157.28155339805801"/>
    <n v="5.2427184466019403"/>
    <x v="175"/>
    <n v="41.747572815533999"/>
    <x v="5"/>
  </r>
  <r>
    <x v="321"/>
    <s v="2024-11-19"/>
    <n v="19"/>
    <x v="2"/>
    <n v="2024"/>
    <m/>
    <x v="3"/>
    <n v="362266"/>
    <x v="2"/>
    <x v="2"/>
    <n v="169.642857142857"/>
    <n v="20.357142857142801"/>
    <x v="176"/>
    <n v="66.964285714285694"/>
    <x v="1"/>
  </r>
  <r>
    <x v="322"/>
    <s v="2024-11-09"/>
    <n v="9"/>
    <x v="2"/>
    <n v="2024"/>
    <m/>
    <x v="3"/>
    <n v="143001"/>
    <x v="0"/>
    <x v="0"/>
    <n v="156.31067961164999"/>
    <n v="4.9805825242718402"/>
    <x v="84"/>
    <n v="49.514563106796103"/>
    <x v="3"/>
  </r>
  <r>
    <x v="323"/>
    <s v="2024-11-11"/>
    <n v="11"/>
    <x v="2"/>
    <n v="2024"/>
    <m/>
    <x v="2"/>
    <n v="843313"/>
    <x v="0"/>
    <x v="0"/>
    <n v="139.80582524271799"/>
    <n v="4.1941747572815498"/>
    <x v="38"/>
    <n v="58.252427184466001"/>
    <x v="5"/>
  </r>
  <r>
    <x v="324"/>
    <s v="2024-11-14"/>
    <n v="14"/>
    <x v="2"/>
    <n v="2024"/>
    <m/>
    <x v="1"/>
    <n v="281004"/>
    <x v="0"/>
    <x v="0"/>
    <n v="148.54368932038801"/>
    <n v="4.7475728155339798"/>
    <x v="59"/>
    <n v="48.543689320388303"/>
    <x v="0"/>
  </r>
  <r>
    <x v="325"/>
    <s v="2024-11-17"/>
    <n v="17"/>
    <x v="2"/>
    <n v="2024"/>
    <m/>
    <x v="1"/>
    <n v="400037"/>
    <x v="2"/>
    <x v="2"/>
    <n v="190.17857142857099"/>
    <n v="22.821428571428498"/>
    <x v="177"/>
    <n v="53.571428571428598"/>
    <x v="13"/>
  </r>
  <r>
    <x v="326"/>
    <s v="2024-11-11"/>
    <n v="11"/>
    <x v="2"/>
    <n v="2024"/>
    <m/>
    <x v="1"/>
    <n v="560064"/>
    <x v="0"/>
    <x v="0"/>
    <n v="120.388349514563"/>
    <n v="4.13592233009709"/>
    <x v="178"/>
    <n v="40.776699029126199"/>
    <x v="4"/>
  </r>
  <r>
    <x v="327"/>
    <s v="2024-11-12"/>
    <n v="12"/>
    <x v="2"/>
    <n v="2024"/>
    <m/>
    <x v="1"/>
    <n v="403720"/>
    <x v="2"/>
    <x v="2"/>
    <n v="179.46428571428501"/>
    <n v="21.535714285714199"/>
    <x v="119"/>
    <n v="66.964285714285694"/>
    <x v="27"/>
  </r>
  <r>
    <x v="328"/>
    <s v="2024-11-15"/>
    <n v="15"/>
    <x v="2"/>
    <n v="2024"/>
    <m/>
    <x v="1"/>
    <n v="110029"/>
    <x v="0"/>
    <x v="0"/>
    <n v="198.05825242718399"/>
    <n v="6.6407766990291304"/>
    <x v="179"/>
    <n v="36.893203883495197"/>
    <x v="9"/>
  </r>
  <r>
    <x v="329"/>
    <s v="2024-11-21"/>
    <n v="21"/>
    <x v="2"/>
    <n v="2024"/>
    <m/>
    <x v="1"/>
    <n v="110019"/>
    <x v="0"/>
    <x v="0"/>
    <n v="150.485436893203"/>
    <n v="4.8058252427184502"/>
    <x v="106"/>
    <n v="47.572815533980602"/>
    <x v="9"/>
  </r>
  <r>
    <x v="330"/>
    <s v="2024-11-04"/>
    <n v="4"/>
    <x v="2"/>
    <n v="2024"/>
    <m/>
    <x v="2"/>
    <n v="140507"/>
    <x v="0"/>
    <x v="0"/>
    <n v="147.57281553397999"/>
    <n v="4.7184466019417499"/>
    <x v="89"/>
    <n v="49.514563106796103"/>
    <x v="3"/>
  </r>
  <r>
    <x v="331"/>
    <s v="2024-11-15"/>
    <n v="15"/>
    <x v="2"/>
    <n v="2024"/>
    <m/>
    <x v="1"/>
    <n v="110084"/>
    <x v="0"/>
    <x v="0"/>
    <n v="127.184466019417"/>
    <n v="4.4854368932038797"/>
    <x v="180"/>
    <n v="36.893203883495197"/>
    <x v="9"/>
  </r>
  <r>
    <x v="302"/>
    <s v="2024-11-17"/>
    <n v="17"/>
    <x v="2"/>
    <n v="2024"/>
    <m/>
    <x v="1"/>
    <n v="500034"/>
    <x v="2"/>
    <x v="2"/>
    <n v="181.25"/>
    <n v="21.75"/>
    <x v="181"/>
    <n v="68.75"/>
    <x v="17"/>
  </r>
  <r>
    <x v="332"/>
    <s v="2024-11-28"/>
    <n v="28"/>
    <x v="2"/>
    <n v="2024"/>
    <m/>
    <x v="0"/>
    <n v="497220"/>
    <x v="0"/>
    <x v="0"/>
    <n v="160.19417475728099"/>
    <n v="4.8058252427184502"/>
    <x v="116"/>
    <n v="57.2815533980583"/>
    <x v="6"/>
  </r>
  <r>
    <x v="333"/>
    <s v="2024-11-13"/>
    <n v="13"/>
    <x v="2"/>
    <n v="2024"/>
    <m/>
    <x v="2"/>
    <n v="122001"/>
    <x v="0"/>
    <x v="0"/>
    <n v="156.31067961164999"/>
    <n v="4.9805825242718402"/>
    <x v="84"/>
    <n v="49.514563106796103"/>
    <x v="20"/>
  </r>
  <r>
    <x v="334"/>
    <s v="2024-11-18"/>
    <n v="18"/>
    <x v="2"/>
    <n v="2024"/>
    <m/>
    <x v="1"/>
    <n v="244412"/>
    <x v="0"/>
    <x v="0"/>
    <n v="158.252427184466"/>
    <n v="5.0388349514563098"/>
    <x v="130"/>
    <n v="49.514563106796103"/>
    <x v="0"/>
  </r>
  <r>
    <x v="335"/>
    <s v="2024-11-22"/>
    <n v="22"/>
    <x v="2"/>
    <n v="2024"/>
    <m/>
    <x v="1"/>
    <n v="233303"/>
    <x v="0"/>
    <x v="0"/>
    <n v="147.57281553397999"/>
    <n v="4.7184466019417499"/>
    <x v="89"/>
    <n v="47.572815533980602"/>
    <x v="0"/>
  </r>
  <r>
    <x v="336"/>
    <s v="2024-11-08"/>
    <n v="8"/>
    <x v="2"/>
    <n v="2024"/>
    <m/>
    <x v="3"/>
    <n v="232102"/>
    <x v="0"/>
    <x v="0"/>
    <n v="156.31067961164999"/>
    <n v="4.9805825242718402"/>
    <x v="84"/>
    <n v="59.223300970873801"/>
    <x v="0"/>
  </r>
  <r>
    <x v="337"/>
    <s v="2024-12-29"/>
    <n v="29"/>
    <x v="3"/>
    <n v="2024"/>
    <m/>
    <x v="4"/>
    <n v="502110"/>
    <x v="0"/>
    <x v="0"/>
    <n v="210.67961165048499"/>
    <n v="6.5825242718446599"/>
    <x v="182"/>
    <n v="49.514563106796103"/>
    <x v="17"/>
  </r>
  <r>
    <x v="338"/>
    <s v="2024-12-10"/>
    <n v="10"/>
    <x v="3"/>
    <n v="2024"/>
    <m/>
    <x v="1"/>
    <n v="273402"/>
    <x v="0"/>
    <x v="0"/>
    <n v="151.45631067961099"/>
    <n v="4.8058252427184502"/>
    <x v="183"/>
    <n v="48.543689320388303"/>
    <x v="0"/>
  </r>
  <r>
    <x v="339"/>
    <s v="2024-12-16"/>
    <n v="16"/>
    <x v="3"/>
    <n v="2024"/>
    <m/>
    <x v="1"/>
    <n v="761009"/>
    <x v="0"/>
    <x v="0"/>
    <n v="147.57281553397999"/>
    <n v="4.42718446601942"/>
    <x v="36"/>
    <n v="59.223300970873801"/>
    <x v="18"/>
  </r>
  <r>
    <x v="340"/>
    <s v="2024-12-20"/>
    <n v="20"/>
    <x v="3"/>
    <n v="2024"/>
    <m/>
    <x v="1"/>
    <n v="500064"/>
    <x v="0"/>
    <x v="0"/>
    <n v="153.39805825242701"/>
    <n v="5.1262135922330101"/>
    <x v="129"/>
    <n v="42.7184466019418"/>
    <x v="17"/>
  </r>
  <r>
    <x v="341"/>
    <s v="2024-12-28"/>
    <n v="28"/>
    <x v="3"/>
    <n v="2024"/>
    <m/>
    <x v="1"/>
    <n v="222303"/>
    <x v="0"/>
    <x v="0"/>
    <n v="140.77669902912601"/>
    <n v="4.6601941747572804"/>
    <x v="184"/>
    <n v="42.7184466019418"/>
    <x v="0"/>
  </r>
  <r>
    <x v="342"/>
    <s v="2024-12-03"/>
    <n v="3"/>
    <x v="3"/>
    <n v="2024"/>
    <m/>
    <x v="2"/>
    <n v="752111"/>
    <x v="0"/>
    <x v="0"/>
    <n v="165.04854368932001"/>
    <n v="4.9514563106796103"/>
    <x v="141"/>
    <n v="59.223300970873801"/>
    <x v="18"/>
  </r>
  <r>
    <x v="343"/>
    <s v="2024-12-09"/>
    <n v="9"/>
    <x v="3"/>
    <n v="2024"/>
    <m/>
    <x v="1"/>
    <n v="854202"/>
    <x v="0"/>
    <x v="0"/>
    <n v="148.54368932038801"/>
    <n v="4.4563106796116498"/>
    <x v="151"/>
    <n v="58.252427184466001"/>
    <x v="5"/>
  </r>
  <r>
    <x v="344"/>
    <s v="2024-12-03"/>
    <n v="3"/>
    <x v="3"/>
    <n v="2024"/>
    <m/>
    <x v="3"/>
    <n v="829144"/>
    <x v="0"/>
    <x v="1"/>
    <n v="172.88135593220301"/>
    <n v="34.016949152542303"/>
    <x v="185"/>
    <n v="37.288135593220296"/>
    <x v="11"/>
  </r>
  <r>
    <x v="345"/>
    <s v="2024-12-02"/>
    <n v="2"/>
    <x v="3"/>
    <n v="2024"/>
    <m/>
    <x v="1"/>
    <n v="572101"/>
    <x v="0"/>
    <x v="0"/>
    <n v="179.611650485436"/>
    <n v="5.3883495145631102"/>
    <x v="186"/>
    <n v="59.223300970873801"/>
    <x v="4"/>
  </r>
  <r>
    <x v="346"/>
    <s v="2024-12-06"/>
    <n v="6"/>
    <x v="3"/>
    <n v="2024"/>
    <m/>
    <x v="3"/>
    <n v="229202"/>
    <x v="0"/>
    <x v="0"/>
    <n v="138.83495145630999"/>
    <n v="4.4563106796116498"/>
    <x v="187"/>
    <n v="48.543689320388303"/>
    <x v="0"/>
  </r>
  <r>
    <x v="347"/>
    <s v="2024-12-13"/>
    <n v="13"/>
    <x v="3"/>
    <n v="2024"/>
    <m/>
    <x v="5"/>
    <n v="581118"/>
    <x v="0"/>
    <x v="0"/>
    <n v="151.45631067961099"/>
    <n v="5.0679611650485397"/>
    <x v="188"/>
    <n v="39.805825242718498"/>
    <x v="4"/>
  </r>
  <r>
    <x v="348"/>
    <s v="2024-12-09"/>
    <n v="9"/>
    <x v="3"/>
    <n v="2024"/>
    <m/>
    <x v="3"/>
    <n v="413112"/>
    <x v="0"/>
    <x v="0"/>
    <n v="189.32038834951399"/>
    <n v="5.6796116504854401"/>
    <x v="189"/>
    <n v="59.223300970873801"/>
    <x v="13"/>
  </r>
  <r>
    <x v="349"/>
    <s v="2024-12-03"/>
    <n v="3"/>
    <x v="3"/>
    <n v="2024"/>
    <m/>
    <x v="1"/>
    <n v="828130"/>
    <x v="0"/>
    <x v="0"/>
    <n v="179.611650485436"/>
    <n v="5.3883495145631102"/>
    <x v="186"/>
    <n v="59.223300970873801"/>
    <x v="11"/>
  </r>
  <r>
    <x v="350"/>
    <s v="2024-12-19"/>
    <n v="19"/>
    <x v="3"/>
    <n v="2024"/>
    <m/>
    <x v="1"/>
    <n v="488333"/>
    <x v="0"/>
    <x v="0"/>
    <n v="156.31067961164999"/>
    <n v="4.8058252427184502"/>
    <x v="190"/>
    <n v="55.339805825242699"/>
    <x v="7"/>
  </r>
  <r>
    <x v="351"/>
    <s v="2024-12-17"/>
    <n v="17"/>
    <x v="3"/>
    <n v="2024"/>
    <m/>
    <x v="1"/>
    <n v="440022"/>
    <x v="0"/>
    <x v="0"/>
    <n v="129.126213592233"/>
    <n v="4.42718446601942"/>
    <x v="191"/>
    <n v="40.776699029126199"/>
    <x v="13"/>
  </r>
  <r>
    <x v="352"/>
    <s v="2024-12-06"/>
    <n v="6"/>
    <x v="3"/>
    <n v="2024"/>
    <m/>
    <x v="2"/>
    <n v="805107"/>
    <x v="0"/>
    <x v="0"/>
    <n v="181.55339805825199"/>
    <n v="5.44660194174757"/>
    <x v="192"/>
    <n v="59.223300970873801"/>
    <x v="5"/>
  </r>
  <r>
    <x v="353"/>
    <s v="2024-12-02"/>
    <n v="2"/>
    <x v="3"/>
    <n v="2024"/>
    <m/>
    <x v="1"/>
    <n v="305801"/>
    <x v="0"/>
    <x v="0"/>
    <n v="163.106796116504"/>
    <n v="5.0679611650485397"/>
    <x v="193"/>
    <n v="52.427184466019398"/>
    <x v="15"/>
  </r>
  <r>
    <x v="354"/>
    <s v="2024-12-15"/>
    <n v="15"/>
    <x v="3"/>
    <n v="2024"/>
    <m/>
    <x v="1"/>
    <n v="700018"/>
    <x v="0"/>
    <x v="0"/>
    <n v="159.223300970873"/>
    <n v="4.7766990291262097"/>
    <x v="22"/>
    <n v="57.2815533980583"/>
    <x v="2"/>
  </r>
  <r>
    <x v="355"/>
    <s v="2024-12-02"/>
    <n v="2"/>
    <x v="3"/>
    <n v="2024"/>
    <m/>
    <x v="2"/>
    <n v="302029"/>
    <x v="0"/>
    <x v="0"/>
    <n v="179.611650485436"/>
    <n v="5.6796116504854401"/>
    <x v="194"/>
    <n v="49.514563106796103"/>
    <x v="15"/>
  </r>
  <r>
    <x v="356"/>
    <s v="2024-12-03"/>
    <n v="3"/>
    <x v="3"/>
    <n v="2024"/>
    <m/>
    <x v="1"/>
    <n v="563127"/>
    <x v="0"/>
    <x v="0"/>
    <n v="181.55339805825199"/>
    <n v="5.44660194174757"/>
    <x v="192"/>
    <n v="59.223300970873801"/>
    <x v="4"/>
  </r>
  <r>
    <x v="357"/>
    <s v="2024-12-04"/>
    <n v="4"/>
    <x v="3"/>
    <n v="2024"/>
    <m/>
    <x v="1"/>
    <n v="444806"/>
    <x v="0"/>
    <x v="0"/>
    <n v="166.990291262135"/>
    <n v="5.0097087378640799"/>
    <x v="195"/>
    <n v="58.252427184466001"/>
    <x v="13"/>
  </r>
  <r>
    <x v="358"/>
    <s v="2024-12-09"/>
    <n v="9"/>
    <x v="3"/>
    <n v="2024"/>
    <m/>
    <x v="1"/>
    <n v="221304"/>
    <x v="0"/>
    <x v="0"/>
    <n v="171.844660194174"/>
    <n v="5.44660194174757"/>
    <x v="196"/>
    <n v="49.514563106796103"/>
    <x v="0"/>
  </r>
  <r>
    <x v="359"/>
    <s v="2024-12-08"/>
    <n v="8"/>
    <x v="3"/>
    <n v="2024"/>
    <m/>
    <x v="3"/>
    <n v="804432"/>
    <x v="0"/>
    <x v="0"/>
    <n v="157.28155339805801"/>
    <n v="4.7184466019417499"/>
    <x v="171"/>
    <n v="59.223300970873801"/>
    <x v="5"/>
  </r>
  <r>
    <x v="360"/>
    <s v="2024-12-14"/>
    <n v="14"/>
    <x v="3"/>
    <n v="2024"/>
    <m/>
    <x v="6"/>
    <n v="824211"/>
    <x v="0"/>
    <x v="0"/>
    <n v="142.718446601941"/>
    <n v="4.42718446601942"/>
    <x v="197"/>
    <n v="52.427184466019398"/>
    <x v="5"/>
  </r>
  <r>
    <x v="361"/>
    <s v="2024-12-06"/>
    <n v="6"/>
    <x v="3"/>
    <n v="2024"/>
    <m/>
    <x v="2"/>
    <n v="474006"/>
    <x v="0"/>
    <x v="0"/>
    <n v="168.93203883495099"/>
    <n v="5.1262135922330101"/>
    <x v="198"/>
    <n v="57.2815533980583"/>
    <x v="7"/>
  </r>
  <r>
    <x v="362"/>
    <s v="2024-12-07"/>
    <n v="7"/>
    <x v="3"/>
    <n v="2024"/>
    <m/>
    <x v="3"/>
    <n v="524322"/>
    <x v="0"/>
    <x v="0"/>
    <n v="151.45631067961099"/>
    <n v="4.5436893203883502"/>
    <x v="79"/>
    <n v="59.223300970873801"/>
    <x v="12"/>
  </r>
  <r>
    <x v="363"/>
    <s v="2024-12-08"/>
    <n v="8"/>
    <x v="3"/>
    <n v="2024"/>
    <m/>
    <x v="3"/>
    <n v="802218"/>
    <x v="0"/>
    <x v="0"/>
    <n v="155.339805825242"/>
    <n v="4.7184466019417499"/>
    <x v="199"/>
    <n v="57.2815533980583"/>
    <x v="5"/>
  </r>
  <r>
    <x v="364"/>
    <s v="2024-12-28"/>
    <n v="28"/>
    <x v="3"/>
    <n v="2024"/>
    <m/>
    <x v="0"/>
    <n v="766018"/>
    <x v="0"/>
    <x v="0"/>
    <n v="267.96116504854302"/>
    <n v="8.2718446601941693"/>
    <x v="200"/>
    <n v="49.514563106796103"/>
    <x v="18"/>
  </r>
  <r>
    <x v="365"/>
    <s v="2024-12-28"/>
    <n v="28"/>
    <x v="3"/>
    <n v="2024"/>
    <m/>
    <x v="0"/>
    <n v="232110"/>
    <x v="0"/>
    <x v="0"/>
    <n v="268.93203883495102"/>
    <n v="8.3300970873786397"/>
    <x v="201"/>
    <n v="50.485436893203897"/>
    <x v="0"/>
  </r>
  <r>
    <x v="366"/>
    <s v="2024-12-18"/>
    <n v="18"/>
    <x v="3"/>
    <n v="2024"/>
    <m/>
    <x v="5"/>
    <n v="700145"/>
    <x v="0"/>
    <x v="0"/>
    <n v="140.77669902912601"/>
    <n v="4.7766990291262097"/>
    <x v="73"/>
    <n v="39.805825242718498"/>
    <x v="2"/>
  </r>
  <r>
    <x v="367"/>
    <s v="2024-12-08"/>
    <n v="8"/>
    <x v="3"/>
    <n v="2024"/>
    <m/>
    <x v="3"/>
    <n v="825412"/>
    <x v="0"/>
    <x v="0"/>
    <n v="166.990291262135"/>
    <n v="5.0097087378640799"/>
    <x v="195"/>
    <n v="58.252427184466001"/>
    <x v="11"/>
  </r>
  <r>
    <x v="368"/>
    <s v="2024-12-10"/>
    <n v="10"/>
    <x v="3"/>
    <n v="2024"/>
    <m/>
    <x v="1"/>
    <n v="847115"/>
    <x v="0"/>
    <x v="0"/>
    <n v="179.611650485436"/>
    <n v="5.3883495145631102"/>
    <x v="186"/>
    <n v="59.223300970873801"/>
    <x v="5"/>
  </r>
  <r>
    <x v="369"/>
    <s v="2024-12-28"/>
    <n v="28"/>
    <x v="3"/>
    <n v="2024"/>
    <m/>
    <x v="0"/>
    <n v="560026"/>
    <x v="0"/>
    <x v="0"/>
    <n v="174.757281553398"/>
    <n v="5.2427184466019403"/>
    <x v="126"/>
    <n v="58.252427184466001"/>
    <x v="4"/>
  </r>
  <r>
    <x v="370"/>
    <s v="2024-12-16"/>
    <n v="16"/>
    <x v="3"/>
    <n v="2024"/>
    <m/>
    <x v="1"/>
    <n v="641654"/>
    <x v="0"/>
    <x v="0"/>
    <n v="166.01941747572801"/>
    <n v="4.9805825242718402"/>
    <x v="139"/>
    <n v="57.2815533980583"/>
    <x v="8"/>
  </r>
  <r>
    <x v="371"/>
    <s v="2024-12-06"/>
    <n v="6"/>
    <x v="3"/>
    <n v="2024"/>
    <m/>
    <x v="1"/>
    <n v="282007"/>
    <x v="0"/>
    <x v="0"/>
    <n v="169.90291262135901"/>
    <n v="5.3883495145631102"/>
    <x v="202"/>
    <n v="49.514563106796103"/>
    <x v="0"/>
  </r>
  <r>
    <x v="372"/>
    <s v="2024-12-21"/>
    <n v="21"/>
    <x v="3"/>
    <n v="2024"/>
    <m/>
    <x v="0"/>
    <n v="285122"/>
    <x v="0"/>
    <x v="0"/>
    <n v="151.45631067961099"/>
    <n v="4.8058252427184502"/>
    <x v="183"/>
    <n v="48.543689320388303"/>
    <x v="0"/>
  </r>
  <r>
    <x v="373"/>
    <s v="2024-12-03"/>
    <n v="3"/>
    <x v="3"/>
    <n v="2024"/>
    <m/>
    <x v="1"/>
    <n v="522257"/>
    <x v="0"/>
    <x v="0"/>
    <n v="165.04854368932001"/>
    <n v="4.9514563106796103"/>
    <x v="141"/>
    <n v="59.223300970873801"/>
    <x v="12"/>
  </r>
  <r>
    <x v="374"/>
    <s v="2024-12-10"/>
    <n v="10"/>
    <x v="3"/>
    <n v="2024"/>
    <m/>
    <x v="3"/>
    <n v="413112"/>
    <x v="0"/>
    <x v="0"/>
    <n v="179.611650485436"/>
    <n v="5.3883495145631102"/>
    <x v="186"/>
    <n v="59.223300970873801"/>
    <x v="13"/>
  </r>
  <r>
    <x v="375"/>
    <s v="2024-12-15"/>
    <n v="15"/>
    <x v="3"/>
    <n v="2024"/>
    <m/>
    <x v="1"/>
    <n v="841428"/>
    <x v="0"/>
    <x v="0"/>
    <n v="142.718446601941"/>
    <n v="4.3980582524271803"/>
    <x v="203"/>
    <n v="55.339805825242699"/>
    <x v="5"/>
  </r>
  <r>
    <x v="376"/>
    <s v="2024-12-03"/>
    <n v="3"/>
    <x v="3"/>
    <n v="2024"/>
    <m/>
    <x v="1"/>
    <n v="273304"/>
    <x v="0"/>
    <x v="0"/>
    <n v="169.90291262135901"/>
    <n v="5.3883495145631102"/>
    <x v="202"/>
    <n v="49.514563106796103"/>
    <x v="0"/>
  </r>
  <r>
    <x v="377"/>
    <s v="2024-12-06"/>
    <n v="6"/>
    <x v="3"/>
    <n v="2024"/>
    <m/>
    <x v="1"/>
    <n v="805111"/>
    <x v="0"/>
    <x v="0"/>
    <n v="168.93203883495099"/>
    <n v="5.0679611650485397"/>
    <x v="204"/>
    <n v="58.252427184466001"/>
    <x v="5"/>
  </r>
  <r>
    <x v="378"/>
    <s v="2024-12-03"/>
    <n v="3"/>
    <x v="3"/>
    <n v="2024"/>
    <m/>
    <x v="2"/>
    <n v="562138"/>
    <x v="0"/>
    <x v="0"/>
    <n v="151.45631067961099"/>
    <n v="4.5436893203883502"/>
    <x v="79"/>
    <n v="59.223300970873801"/>
    <x v="4"/>
  </r>
  <r>
    <x v="379"/>
    <s v="2024-12-28"/>
    <n v="28"/>
    <x v="3"/>
    <n v="2024"/>
    <m/>
    <x v="0"/>
    <n v="843334"/>
    <x v="0"/>
    <x v="0"/>
    <n v="174.757281553398"/>
    <n v="5.2427184466019403"/>
    <x v="126"/>
    <n v="58.252427184466001"/>
    <x v="5"/>
  </r>
  <r>
    <x v="380"/>
    <s v="2024-12-08"/>
    <n v="8"/>
    <x v="3"/>
    <n v="2024"/>
    <m/>
    <x v="6"/>
    <n v="222136"/>
    <x v="0"/>
    <x v="0"/>
    <n v="171.844660194174"/>
    <n v="5.44660194174757"/>
    <x v="196"/>
    <n v="49.514563106796103"/>
    <x v="0"/>
  </r>
  <r>
    <x v="381"/>
    <s v="2024-12-14"/>
    <n v="14"/>
    <x v="3"/>
    <n v="2024"/>
    <m/>
    <x v="6"/>
    <n v="581402"/>
    <x v="0"/>
    <x v="0"/>
    <n v="159.223300970873"/>
    <n v="4.7766990291262097"/>
    <x v="22"/>
    <n v="58.252427184466001"/>
    <x v="4"/>
  </r>
  <r>
    <x v="382"/>
    <s v="2024-12-04"/>
    <n v="4"/>
    <x v="3"/>
    <n v="2024"/>
    <m/>
    <x v="2"/>
    <n v="400607"/>
    <x v="0"/>
    <x v="0"/>
    <n v="181.55339805825199"/>
    <n v="5.44660194174757"/>
    <x v="192"/>
    <n v="59.223300970873801"/>
    <x v="13"/>
  </r>
  <r>
    <x v="383"/>
    <s v="2024-12-02"/>
    <n v="2"/>
    <x v="3"/>
    <n v="2024"/>
    <m/>
    <x v="1"/>
    <n v="522402"/>
    <x v="0"/>
    <x v="0"/>
    <n v="165.04854368932001"/>
    <n v="4.9514563106796103"/>
    <x v="141"/>
    <n v="59.223300970873801"/>
    <x v="12"/>
  </r>
  <r>
    <x v="384"/>
    <s v="2024-12-02"/>
    <n v="2"/>
    <x v="3"/>
    <n v="2024"/>
    <m/>
    <x v="1"/>
    <n v="516454"/>
    <x v="0"/>
    <x v="0"/>
    <n v="179.611650485436"/>
    <n v="5.3883495145631102"/>
    <x v="186"/>
    <n v="59.223300970873801"/>
    <x v="12"/>
  </r>
  <r>
    <x v="385"/>
    <s v="2024-12-09"/>
    <n v="9"/>
    <x v="3"/>
    <n v="2024"/>
    <m/>
    <x v="1"/>
    <n v="533105"/>
    <x v="0"/>
    <x v="0"/>
    <n v="158.252427184466"/>
    <n v="4.7475728155339798"/>
    <x v="51"/>
    <n v="58.252427184466001"/>
    <x v="12"/>
  </r>
  <r>
    <x v="386"/>
    <s v="2024-12-27"/>
    <n v="27"/>
    <x v="3"/>
    <n v="2024"/>
    <m/>
    <x v="0"/>
    <n v="496111"/>
    <x v="0"/>
    <x v="0"/>
    <n v="130.09708737864"/>
    <n v="4.42718446601942"/>
    <x v="205"/>
    <n v="39.805825242718498"/>
    <x v="6"/>
  </r>
  <r>
    <x v="387"/>
    <s v="2024-12-04"/>
    <n v="4"/>
    <x v="3"/>
    <n v="2024"/>
    <m/>
    <x v="1"/>
    <n v="845459"/>
    <x v="0"/>
    <x v="0"/>
    <n v="177.66990291262101"/>
    <n v="5.3883495145631102"/>
    <x v="206"/>
    <n v="57.2815533980583"/>
    <x v="5"/>
  </r>
  <r>
    <x v="388"/>
    <s v="2024-12-26"/>
    <n v="26"/>
    <x v="3"/>
    <n v="2024"/>
    <m/>
    <x v="1"/>
    <n v="852214"/>
    <x v="0"/>
    <x v="0"/>
    <n v="156.31067961164999"/>
    <n v="4.6893203883495103"/>
    <x v="19"/>
    <n v="58.252427184466001"/>
    <x v="5"/>
  </r>
  <r>
    <x v="389"/>
    <s v="2024-12-28"/>
    <n v="28"/>
    <x v="3"/>
    <n v="2024"/>
    <m/>
    <x v="0"/>
    <n v="600039"/>
    <x v="0"/>
    <x v="0"/>
    <n v="277.66990291262101"/>
    <n v="8.3300970873786397"/>
    <x v="207"/>
    <n v="59.223300970873801"/>
    <x v="8"/>
  </r>
  <r>
    <x v="390"/>
    <s v="2024-12-13"/>
    <n v="13"/>
    <x v="3"/>
    <n v="2024"/>
    <m/>
    <x v="3"/>
    <n v="841428"/>
    <x v="0"/>
    <x v="0"/>
    <n v="152.42718446601901"/>
    <n v="4.6893203883495103"/>
    <x v="208"/>
    <n v="54.368932038834998"/>
    <x v="5"/>
  </r>
  <r>
    <x v="391"/>
    <s v="2024-12-05"/>
    <n v="5"/>
    <x v="3"/>
    <n v="2024"/>
    <m/>
    <x v="1"/>
    <n v="502307"/>
    <x v="0"/>
    <x v="0"/>
    <n v="157.28155339805801"/>
    <n v="4.7184466019417499"/>
    <x v="171"/>
    <n v="59.223300970873801"/>
    <x v="17"/>
  </r>
  <r>
    <x v="392"/>
    <s v="2024-12-29"/>
    <n v="29"/>
    <x v="3"/>
    <n v="2024"/>
    <m/>
    <x v="0"/>
    <n v="700150"/>
    <x v="0"/>
    <x v="0"/>
    <n v="174.757281553398"/>
    <n v="5.2427184466019403"/>
    <x v="126"/>
    <n v="58.252427184466001"/>
    <x v="2"/>
  </r>
  <r>
    <x v="393"/>
    <s v="2024-12-05"/>
    <n v="5"/>
    <x v="3"/>
    <n v="2024"/>
    <m/>
    <x v="1"/>
    <n v="229127"/>
    <x v="0"/>
    <x v="0"/>
    <n v="141.747572815534"/>
    <n v="4.5436893203883502"/>
    <x v="209"/>
    <n v="49.514563106796103"/>
    <x v="0"/>
  </r>
  <r>
    <x v="394"/>
    <s v="2024-12-01"/>
    <n v="1"/>
    <x v="3"/>
    <n v="2024"/>
    <m/>
    <x v="1"/>
    <n v="276201"/>
    <x v="0"/>
    <x v="0"/>
    <n v="101.941747572815"/>
    <n v="3.4660194174757302"/>
    <x v="210"/>
    <n v="53.398058252427198"/>
    <x v="0"/>
  </r>
  <r>
    <x v="395"/>
    <s v="2024-12-30"/>
    <n v="30"/>
    <x v="3"/>
    <n v="2024"/>
    <m/>
    <x v="0"/>
    <n v="721305"/>
    <x v="0"/>
    <x v="0"/>
    <n v="233.009708737864"/>
    <n v="6.9902912621359201"/>
    <x v="211"/>
    <n v="57.2815533980583"/>
    <x v="2"/>
  </r>
  <r>
    <x v="396"/>
    <s v="2024-12-28"/>
    <n v="28"/>
    <x v="3"/>
    <n v="2024"/>
    <m/>
    <x v="0"/>
    <n v="560076"/>
    <x v="0"/>
    <x v="0"/>
    <n v="103.883495145631"/>
    <n v="3.6699029126213598"/>
    <x v="212"/>
    <n v="40.776699029126199"/>
    <x v="4"/>
  </r>
  <r>
    <x v="397"/>
    <s v="2024-12-12"/>
    <n v="12"/>
    <x v="3"/>
    <n v="2024"/>
    <m/>
    <x v="1"/>
    <n v="400011"/>
    <x v="0"/>
    <x v="0"/>
    <n v="185.43689320388299"/>
    <n v="5.5631067961165002"/>
    <x v="213"/>
    <n v="59.223300970873801"/>
    <x v="13"/>
  </r>
  <r>
    <x v="398"/>
    <s v="2024-12-15"/>
    <n v="15"/>
    <x v="3"/>
    <n v="2024"/>
    <m/>
    <x v="2"/>
    <n v="842002"/>
    <x v="0"/>
    <x v="0"/>
    <n v="170.873786407767"/>
    <n v="5.1262135922330101"/>
    <x v="214"/>
    <n v="59.223300970873801"/>
    <x v="5"/>
  </r>
  <r>
    <x v="399"/>
    <s v="2024-12-11"/>
    <n v="11"/>
    <x v="3"/>
    <n v="2024"/>
    <m/>
    <x v="3"/>
    <n v="413211"/>
    <x v="0"/>
    <x v="0"/>
    <n v="179.611650485436"/>
    <n v="5.3883495145631102"/>
    <x v="186"/>
    <n v="59.223300970873801"/>
    <x v="13"/>
  </r>
  <r>
    <x v="400"/>
    <s v="2024-12-02"/>
    <n v="2"/>
    <x v="3"/>
    <n v="2024"/>
    <m/>
    <x v="2"/>
    <n v="136026"/>
    <x v="0"/>
    <x v="0"/>
    <n v="155.339805825242"/>
    <n v="4.9514563106796103"/>
    <x v="215"/>
    <n v="49.514563106796103"/>
    <x v="20"/>
  </r>
  <r>
    <x v="401"/>
    <s v="2024-12-20"/>
    <n v="20"/>
    <x v="3"/>
    <n v="2024"/>
    <m/>
    <x v="1"/>
    <n v="210126"/>
    <x v="0"/>
    <x v="0"/>
    <n v="146.601941747572"/>
    <n v="4.6310679611650496"/>
    <x v="216"/>
    <n v="51.456310679611697"/>
    <x v="0"/>
  </r>
  <r>
    <x v="402"/>
    <s v="2024-12-08"/>
    <n v="8"/>
    <x v="3"/>
    <n v="2024"/>
    <m/>
    <x v="3"/>
    <n v="535593"/>
    <x v="0"/>
    <x v="0"/>
    <n v="157.28155339805801"/>
    <n v="4.7184466019417499"/>
    <x v="171"/>
    <n v="59.223300970873801"/>
    <x v="12"/>
  </r>
  <r>
    <x v="403"/>
    <s v="2024-12-28"/>
    <n v="28"/>
    <x v="3"/>
    <n v="2024"/>
    <m/>
    <x v="3"/>
    <n v="203396"/>
    <x v="0"/>
    <x v="0"/>
    <n v="243.68932038834899"/>
    <n v="7.57281553398058"/>
    <x v="217"/>
    <n v="49.514563106796103"/>
    <x v="0"/>
  </r>
  <r>
    <x v="404"/>
    <s v="2024-12-30"/>
    <n v="30"/>
    <x v="3"/>
    <n v="2024"/>
    <m/>
    <x v="3"/>
    <n v="855108"/>
    <x v="0"/>
    <x v="0"/>
    <n v="156.31067961164999"/>
    <n v="4.6893203883495103"/>
    <x v="19"/>
    <n v="58.252427184466001"/>
    <x v="5"/>
  </r>
  <r>
    <x v="405"/>
    <s v="2024-12-16"/>
    <n v="16"/>
    <x v="3"/>
    <n v="2024"/>
    <m/>
    <x v="2"/>
    <n v="271801"/>
    <x v="0"/>
    <x v="0"/>
    <n v="150.485436893203"/>
    <n v="4.7766990291262097"/>
    <x v="218"/>
    <n v="49.514563106796103"/>
    <x v="0"/>
  </r>
  <r>
    <x v="406"/>
    <s v="2024-12-29"/>
    <n v="29"/>
    <x v="3"/>
    <n v="2024"/>
    <m/>
    <x v="0"/>
    <n v="122508"/>
    <x v="0"/>
    <x v="0"/>
    <n v="249.514563106796"/>
    <n v="7.7475728155339798"/>
    <x v="219"/>
    <n v="50.485436893203897"/>
    <x v="20"/>
  </r>
  <r>
    <x v="407"/>
    <s v="2024-12-09"/>
    <n v="9"/>
    <x v="3"/>
    <n v="2024"/>
    <m/>
    <x v="3"/>
    <n v="444806"/>
    <x v="0"/>
    <x v="0"/>
    <n v="166.990291262135"/>
    <n v="5.0097087378640799"/>
    <x v="195"/>
    <n v="58.252427184466001"/>
    <x v="13"/>
  </r>
  <r>
    <x v="408"/>
    <s v="2024-12-28"/>
    <n v="28"/>
    <x v="3"/>
    <n v="2024"/>
    <m/>
    <x v="0"/>
    <n v="361315"/>
    <x v="0"/>
    <x v="0"/>
    <n v="239.80582524271799"/>
    <n v="7.7475728155339798"/>
    <x v="220"/>
    <n v="40.776699029126199"/>
    <x v="1"/>
  </r>
  <r>
    <x v="409"/>
    <s v="2024-12-01"/>
    <n v="1"/>
    <x v="3"/>
    <n v="2024"/>
    <m/>
    <x v="1"/>
    <n v="324001"/>
    <x v="1"/>
    <x v="0"/>
    <n v="135.92233009708701"/>
    <n v="4.3689320388349504"/>
    <x v="221"/>
    <n v="49.514563106796103"/>
    <x v="15"/>
  </r>
  <r>
    <x v="410"/>
    <s v="2024-12-16"/>
    <n v="16"/>
    <x v="3"/>
    <n v="2024"/>
    <m/>
    <x v="1"/>
    <n v="516127"/>
    <x v="0"/>
    <x v="0"/>
    <n v="169.90291262135901"/>
    <n v="5.0970873786407802"/>
    <x v="44"/>
    <n v="59.223300970873801"/>
    <x v="12"/>
  </r>
  <r>
    <x v="411"/>
    <s v="2024-12-28"/>
    <n v="28"/>
    <x v="3"/>
    <n v="2024"/>
    <m/>
    <x v="3"/>
    <n v="532001"/>
    <x v="0"/>
    <x v="0"/>
    <n v="174.757281553398"/>
    <n v="5.2427184466019403"/>
    <x v="126"/>
    <n v="58.252427184466001"/>
    <x v="12"/>
  </r>
  <r>
    <x v="412"/>
    <s v="2024-12-08"/>
    <n v="8"/>
    <x v="3"/>
    <n v="2024"/>
    <m/>
    <x v="1"/>
    <n v="209729"/>
    <x v="0"/>
    <x v="0"/>
    <n v="171.844660194174"/>
    <n v="5.44660194174757"/>
    <x v="196"/>
    <n v="49.514563106796103"/>
    <x v="0"/>
  </r>
  <r>
    <x v="413"/>
    <s v="2024-12-21"/>
    <n v="21"/>
    <x v="3"/>
    <n v="2024"/>
    <m/>
    <x v="1"/>
    <n v="400103"/>
    <x v="0"/>
    <x v="0"/>
    <n v="161.16504854368901"/>
    <n v="5.3883495145631102"/>
    <x v="222"/>
    <n v="40.776699029126199"/>
    <x v="13"/>
  </r>
  <r>
    <x v="414"/>
    <s v="2024-12-14"/>
    <n v="14"/>
    <x v="3"/>
    <n v="2024"/>
    <m/>
    <x v="2"/>
    <n v="852210"/>
    <x v="0"/>
    <x v="0"/>
    <n v="147.57281553397999"/>
    <n v="4.42718446601942"/>
    <x v="36"/>
    <n v="57.2815533980583"/>
    <x v="5"/>
  </r>
  <r>
    <x v="415"/>
    <s v="2024-12-02"/>
    <n v="2"/>
    <x v="3"/>
    <n v="2024"/>
    <m/>
    <x v="1"/>
    <n v="284002"/>
    <x v="0"/>
    <x v="0"/>
    <n v="124.27184466019401"/>
    <n v="4.4563106796116498"/>
    <x v="223"/>
    <n v="33.980582524271803"/>
    <x v="0"/>
  </r>
  <r>
    <x v="416"/>
    <s v="2024-12-13"/>
    <n v="13"/>
    <x v="3"/>
    <n v="2024"/>
    <m/>
    <x v="1"/>
    <n v="261001"/>
    <x v="0"/>
    <x v="0"/>
    <n v="151.45631067961099"/>
    <n v="4.8058252427184502"/>
    <x v="183"/>
    <n v="48.543689320388303"/>
    <x v="0"/>
  </r>
  <r>
    <x v="417"/>
    <s v="2024-12-03"/>
    <n v="3"/>
    <x v="3"/>
    <n v="2024"/>
    <m/>
    <x v="5"/>
    <n v="228001"/>
    <x v="0"/>
    <x v="0"/>
    <n v="179.611650485436"/>
    <n v="5.6796116504854401"/>
    <x v="194"/>
    <n v="49.514563106796103"/>
    <x v="0"/>
  </r>
  <r>
    <x v="418"/>
    <s v="2024-12-30"/>
    <n v="30"/>
    <x v="3"/>
    <n v="2024"/>
    <m/>
    <x v="4"/>
    <n v="560066"/>
    <x v="0"/>
    <x v="0"/>
    <n v="200.970873786407"/>
    <n v="6.5825242718446599"/>
    <x v="224"/>
    <n v="39.805825242718498"/>
    <x v="4"/>
  </r>
  <r>
    <x v="419"/>
    <s v="2024-12-12"/>
    <n v="12"/>
    <x v="3"/>
    <n v="2024"/>
    <m/>
    <x v="1"/>
    <n v="276403"/>
    <x v="0"/>
    <x v="0"/>
    <n v="170.873786407767"/>
    <n v="5.3883495145631102"/>
    <x v="225"/>
    <n v="50.485436893203897"/>
    <x v="0"/>
  </r>
  <r>
    <x v="420"/>
    <s v="2024-12-30"/>
    <n v="30"/>
    <x v="3"/>
    <n v="2024"/>
    <m/>
    <x v="0"/>
    <n v="845426"/>
    <x v="0"/>
    <x v="0"/>
    <n v="170.873786407767"/>
    <n v="5.2427184466019403"/>
    <x v="226"/>
    <n v="54.368932038834998"/>
    <x v="5"/>
  </r>
  <r>
    <x v="421"/>
    <s v="2024-12-28"/>
    <n v="28"/>
    <x v="3"/>
    <n v="2024"/>
    <m/>
    <x v="0"/>
    <n v="560058"/>
    <x v="0"/>
    <x v="0"/>
    <n v="156.31067961164999"/>
    <n v="5.2427184466019403"/>
    <x v="227"/>
    <n v="39.805825242718498"/>
    <x v="4"/>
  </r>
  <r>
    <x v="422"/>
    <s v="2024-12-07"/>
    <n v="7"/>
    <x v="3"/>
    <n v="2024"/>
    <m/>
    <x v="2"/>
    <n v="144004"/>
    <x v="0"/>
    <x v="0"/>
    <n v="159.223300970873"/>
    <n v="5.0679611650485397"/>
    <x v="109"/>
    <n v="48.543689320388303"/>
    <x v="3"/>
  </r>
  <r>
    <x v="423"/>
    <s v="2024-12-04"/>
    <n v="4"/>
    <x v="3"/>
    <n v="2024"/>
    <m/>
    <x v="1"/>
    <n v="284202"/>
    <x v="0"/>
    <x v="0"/>
    <n v="138.83495145630999"/>
    <n v="4.4563106796116498"/>
    <x v="187"/>
    <n v="48.543689320388303"/>
    <x v="0"/>
  </r>
  <r>
    <x v="424"/>
    <s v="2024-12-10"/>
    <n v="10"/>
    <x v="3"/>
    <n v="2024"/>
    <m/>
    <x v="1"/>
    <n v="222137"/>
    <x v="0"/>
    <x v="0"/>
    <n v="155.339805825242"/>
    <n v="5.3883495145631102"/>
    <x v="228"/>
    <n v="34.951456310679603"/>
    <x v="0"/>
  </r>
  <r>
    <x v="425"/>
    <s v="2024-12-10"/>
    <n v="10"/>
    <x v="3"/>
    <n v="2024"/>
    <m/>
    <x v="1"/>
    <n v="143001"/>
    <x v="0"/>
    <x v="0"/>
    <n v="170.873786407767"/>
    <n v="5.3883495145631102"/>
    <x v="225"/>
    <n v="50.485436893203897"/>
    <x v="3"/>
  </r>
  <r>
    <x v="426"/>
    <s v="2024-12-01"/>
    <n v="1"/>
    <x v="3"/>
    <n v="2024"/>
    <m/>
    <x v="1"/>
    <n v="455336"/>
    <x v="0"/>
    <x v="0"/>
    <n v="161.16504854368901"/>
    <n v="4.8349514563106801"/>
    <x v="108"/>
    <n v="58.252427184466001"/>
    <x v="7"/>
  </r>
  <r>
    <x v="427"/>
    <s v="2024-12-01"/>
    <n v="1"/>
    <x v="3"/>
    <n v="2024"/>
    <m/>
    <x v="1"/>
    <n v="276404"/>
    <x v="0"/>
    <x v="0"/>
    <n v="142.718446601941"/>
    <n v="5.0097087378640799"/>
    <x v="229"/>
    <n v="33.980582524271803"/>
    <x v="0"/>
  </r>
  <r>
    <x v="428"/>
    <s v="2024-12-25"/>
    <n v="25"/>
    <x v="3"/>
    <n v="2024"/>
    <m/>
    <x v="1"/>
    <n v="485666"/>
    <x v="0"/>
    <x v="0"/>
    <n v="155.339805825242"/>
    <n v="4.8058252427184502"/>
    <x v="230"/>
    <n v="52.427184466019398"/>
    <x v="7"/>
  </r>
  <r>
    <x v="429"/>
    <s v="2024-12-31"/>
    <n v="31"/>
    <x v="3"/>
    <n v="2024"/>
    <m/>
    <x v="0"/>
    <n v="221005"/>
    <x v="0"/>
    <x v="0"/>
    <n v="132.03883495145601"/>
    <n v="4.6893203883495103"/>
    <x v="231"/>
    <n v="33.980582524271803"/>
    <x v="0"/>
  </r>
  <r>
    <x v="430"/>
    <s v="2024-12-02"/>
    <n v="2"/>
    <x v="3"/>
    <n v="2024"/>
    <m/>
    <x v="5"/>
    <n v="743126"/>
    <x v="0"/>
    <x v="0"/>
    <n v="161.16504854368901"/>
    <n v="4.8349514563106801"/>
    <x v="108"/>
    <n v="58.252427184466001"/>
    <x v="2"/>
  </r>
  <r>
    <x v="431"/>
    <s v="2024-12-17"/>
    <n v="17"/>
    <x v="3"/>
    <n v="2024"/>
    <m/>
    <x v="1"/>
    <n v="246149"/>
    <x v="0"/>
    <x v="0"/>
    <n v="136.893203883495"/>
    <n v="4.7766990291262097"/>
    <x v="75"/>
    <n v="35.922330097087404"/>
    <x v="16"/>
  </r>
  <r>
    <x v="432"/>
    <s v="2024-12-29"/>
    <n v="29"/>
    <x v="3"/>
    <n v="2024"/>
    <m/>
    <x v="0"/>
    <n v="743234"/>
    <x v="0"/>
    <x v="0"/>
    <n v="155.339805825242"/>
    <n v="5.2135922330097104"/>
    <x v="232"/>
    <n v="38.834951456310698"/>
    <x v="2"/>
  </r>
  <r>
    <x v="433"/>
    <s v="2024-12-29"/>
    <n v="29"/>
    <x v="3"/>
    <n v="2024"/>
    <m/>
    <x v="0"/>
    <n v="276207"/>
    <x v="0"/>
    <x v="0"/>
    <n v="147.57281553397999"/>
    <n v="4.6893203883495103"/>
    <x v="233"/>
    <n v="50.485436893203897"/>
    <x v="0"/>
  </r>
  <r>
    <x v="434"/>
    <s v="2024-12-13"/>
    <n v="13"/>
    <x v="3"/>
    <n v="2024"/>
    <m/>
    <x v="1"/>
    <n v="743312"/>
    <x v="0"/>
    <x v="0"/>
    <n v="144.66019417475701"/>
    <n v="4.3398058252427196"/>
    <x v="234"/>
    <n v="57.2815533980583"/>
    <x v="2"/>
  </r>
  <r>
    <x v="435"/>
    <s v="2024-12-25"/>
    <n v="25"/>
    <x v="3"/>
    <n v="2024"/>
    <m/>
    <x v="5"/>
    <n v="121005"/>
    <x v="0"/>
    <x v="0"/>
    <n v="277.66990291262101"/>
    <n v="9.6116504854368898"/>
    <x v="235"/>
    <n v="71.844660194174807"/>
    <x v="20"/>
  </r>
  <r>
    <x v="436"/>
    <s v="2024-12-09"/>
    <n v="9"/>
    <x v="3"/>
    <n v="2024"/>
    <m/>
    <x v="2"/>
    <n v="801503"/>
    <x v="0"/>
    <x v="0"/>
    <n v="187.378640776699"/>
    <n v="5.6796116504854401"/>
    <x v="236"/>
    <n v="57.2815533980583"/>
    <x v="5"/>
  </r>
  <r>
    <x v="437"/>
    <s v="2024-12-27"/>
    <n v="27"/>
    <x v="3"/>
    <n v="2024"/>
    <m/>
    <x v="0"/>
    <n v="392001"/>
    <x v="0"/>
    <x v="0"/>
    <n v="137.864077669902"/>
    <n v="4.6893203883495103"/>
    <x v="237"/>
    <n v="39.805825242718498"/>
    <x v="1"/>
  </r>
  <r>
    <x v="438"/>
    <s v="2024-12-31"/>
    <n v="31"/>
    <x v="3"/>
    <n v="2024"/>
    <m/>
    <x v="0"/>
    <n v="123001"/>
    <x v="0"/>
    <x v="0"/>
    <n v="199.02912621359201"/>
    <n v="5.2135922330097104"/>
    <x v="238"/>
    <n v="82.524271844660205"/>
    <x v="20"/>
  </r>
  <r>
    <x v="439"/>
    <s v="2024-12-08"/>
    <n v="8"/>
    <x v="3"/>
    <n v="2024"/>
    <m/>
    <x v="1"/>
    <n v="180010"/>
    <x v="0"/>
    <x v="0"/>
    <n v="200.970873786407"/>
    <n v="6.0291262135922299"/>
    <x v="239"/>
    <n v="80.582524271844704"/>
    <x v="19"/>
  </r>
  <r>
    <x v="440"/>
    <s v="2024-12-03"/>
    <n v="3"/>
    <x v="3"/>
    <n v="2024"/>
    <m/>
    <x v="3"/>
    <n v="560027"/>
    <x v="0"/>
    <x v="0"/>
    <n v="151.45631067961099"/>
    <n v="4.5436893203883502"/>
    <x v="79"/>
    <n v="59.223300970873801"/>
    <x v="4"/>
  </r>
  <r>
    <x v="441"/>
    <s v="2024-12-05"/>
    <n v="5"/>
    <x v="3"/>
    <n v="2024"/>
    <m/>
    <x v="2"/>
    <n v="228001"/>
    <x v="0"/>
    <x v="0"/>
    <n v="141.747572815534"/>
    <n v="4.5436893203883502"/>
    <x v="209"/>
    <n v="49.514563106796103"/>
    <x v="0"/>
  </r>
  <r>
    <x v="442"/>
    <s v="2024-12-30"/>
    <n v="30"/>
    <x v="3"/>
    <n v="2024"/>
    <m/>
    <x v="0"/>
    <n v="423203"/>
    <x v="0"/>
    <x v="0"/>
    <n v="174.757281553398"/>
    <n v="5.2427184466019403"/>
    <x v="126"/>
    <n v="58.252427184466001"/>
    <x v="13"/>
  </r>
  <r>
    <x v="443"/>
    <s v="2024-12-07"/>
    <n v="7"/>
    <x v="3"/>
    <n v="2024"/>
    <m/>
    <x v="3"/>
    <n v="416122"/>
    <x v="0"/>
    <x v="0"/>
    <n v="181.55339805825199"/>
    <n v="5.44660194174757"/>
    <x v="192"/>
    <n v="59.223300970873801"/>
    <x v="13"/>
  </r>
  <r>
    <x v="444"/>
    <s v="2024-12-07"/>
    <n v="7"/>
    <x v="3"/>
    <n v="2024"/>
    <m/>
    <x v="1"/>
    <n v="788101"/>
    <x v="0"/>
    <x v="0"/>
    <n v="177.66990291262101"/>
    <n v="5.3300970873786397"/>
    <x v="240"/>
    <n v="80.582524271844704"/>
    <x v="10"/>
  </r>
  <r>
    <x v="445"/>
    <s v="2024-12-01"/>
    <n v="1"/>
    <x v="3"/>
    <n v="2024"/>
    <m/>
    <x v="1"/>
    <n v="600077"/>
    <x v="0"/>
    <x v="0"/>
    <n v="144.66019417475701"/>
    <n v="4.8932038834951497"/>
    <x v="241"/>
    <n v="42.7184466019418"/>
    <x v="8"/>
  </r>
  <r>
    <x v="446"/>
    <s v="2024-12-04"/>
    <n v="4"/>
    <x v="3"/>
    <n v="2024"/>
    <m/>
    <x v="1"/>
    <n v="176092"/>
    <x v="0"/>
    <x v="0"/>
    <n v="159.223300970873"/>
    <n v="5.0679611650485397"/>
    <x v="109"/>
    <n v="48.543689320388303"/>
    <x v="14"/>
  </r>
  <r>
    <x v="447"/>
    <s v="2024-12-03"/>
    <n v="3"/>
    <x v="3"/>
    <n v="2024"/>
    <m/>
    <x v="3"/>
    <n v="562138"/>
    <x v="0"/>
    <x v="0"/>
    <n v="151.45631067961099"/>
    <n v="4.5436893203883502"/>
    <x v="79"/>
    <n v="59.223300970873801"/>
    <x v="4"/>
  </r>
  <r>
    <x v="448"/>
    <s v="2024-12-04"/>
    <n v="4"/>
    <x v="3"/>
    <n v="2024"/>
    <m/>
    <x v="3"/>
    <n v="284202"/>
    <x v="0"/>
    <x v="0"/>
    <n v="138.83495145630999"/>
    <n v="4.4563106796116498"/>
    <x v="187"/>
    <n v="48.543689320388303"/>
    <x v="0"/>
  </r>
  <r>
    <x v="449"/>
    <s v="2024-12-07"/>
    <n v="7"/>
    <x v="3"/>
    <n v="2024"/>
    <m/>
    <x v="3"/>
    <n v="412306"/>
    <x v="0"/>
    <x v="0"/>
    <n v="148.54368932038801"/>
    <n v="4.4563106796116498"/>
    <x v="151"/>
    <n v="58.252427184466001"/>
    <x v="13"/>
  </r>
  <r>
    <x v="450"/>
    <s v="2024-12-07"/>
    <n v="7"/>
    <x v="3"/>
    <n v="2024"/>
    <m/>
    <x v="3"/>
    <n v="516127"/>
    <x v="0"/>
    <x v="0"/>
    <n v="169.90291262135901"/>
    <n v="5.0970873786407802"/>
    <x v="44"/>
    <n v="59.223300970873801"/>
    <x v="12"/>
  </r>
  <r>
    <x v="451"/>
    <s v="2024-12-01"/>
    <n v="1"/>
    <x v="3"/>
    <n v="2024"/>
    <m/>
    <x v="3"/>
    <n v="441210"/>
    <x v="0"/>
    <x v="0"/>
    <n v="146.601941747572"/>
    <n v="4.3980582524271803"/>
    <x v="242"/>
    <n v="59.223300970873801"/>
    <x v="13"/>
  </r>
  <r>
    <x v="452"/>
    <s v="2024-12-19"/>
    <n v="19"/>
    <x v="3"/>
    <n v="2024"/>
    <m/>
    <x v="5"/>
    <n v="206001"/>
    <x v="0"/>
    <x v="0"/>
    <n v="156.31067961164999"/>
    <n v="5.2135922330097104"/>
    <x v="243"/>
    <n v="39.805825242718498"/>
    <x v="0"/>
  </r>
  <r>
    <x v="453"/>
    <s v="2024-12-15"/>
    <n v="15"/>
    <x v="3"/>
    <n v="2024"/>
    <m/>
    <x v="1"/>
    <n v="131102"/>
    <x v="0"/>
    <x v="0"/>
    <n v="151.45631067961099"/>
    <n v="4.8058252427184502"/>
    <x v="183"/>
    <n v="50.485436893203897"/>
    <x v="20"/>
  </r>
  <r>
    <x v="454"/>
    <s v="2024-12-22"/>
    <n v="22"/>
    <x v="3"/>
    <n v="2024"/>
    <m/>
    <x v="1"/>
    <n v="835207"/>
    <x v="0"/>
    <x v="0"/>
    <n v="140.77669902912601"/>
    <n v="4.7766990291262097"/>
    <x v="73"/>
    <n v="39.805825242718498"/>
    <x v="11"/>
  </r>
  <r>
    <x v="455"/>
    <s v="2024-12-13"/>
    <n v="13"/>
    <x v="3"/>
    <n v="2024"/>
    <m/>
    <x v="1"/>
    <n v="361325"/>
    <x v="0"/>
    <x v="0"/>
    <n v="146.601941747572"/>
    <n v="4.9514563106796103"/>
    <x v="244"/>
    <n v="39.805825242718498"/>
    <x v="1"/>
  </r>
  <r>
    <x v="456"/>
    <s v="2024-12-02"/>
    <n v="2"/>
    <x v="3"/>
    <n v="2024"/>
    <m/>
    <x v="3"/>
    <n v="462041"/>
    <x v="0"/>
    <x v="0"/>
    <n v="181.55339805825199"/>
    <n v="5.44660194174757"/>
    <x v="192"/>
    <n v="59.223300970873801"/>
    <x v="7"/>
  </r>
  <r>
    <x v="457"/>
    <s v="2024-12-06"/>
    <n v="6"/>
    <x v="3"/>
    <n v="2024"/>
    <m/>
    <x v="3"/>
    <n v="614303"/>
    <x v="0"/>
    <x v="0"/>
    <n v="147.57281553397999"/>
    <n v="4.9514563106796103"/>
    <x v="245"/>
    <n v="41.747572815533999"/>
    <x v="8"/>
  </r>
  <r>
    <x v="458"/>
    <s v="2024-12-03"/>
    <n v="3"/>
    <x v="3"/>
    <n v="2024"/>
    <m/>
    <x v="1"/>
    <n v="841424"/>
    <x v="0"/>
    <x v="0"/>
    <n v="185.43689320388299"/>
    <n v="5.5631067961165002"/>
    <x v="213"/>
    <n v="59.223300970873801"/>
    <x v="5"/>
  </r>
  <r>
    <x v="459"/>
    <s v="2024-12-06"/>
    <n v="6"/>
    <x v="3"/>
    <n v="2024"/>
    <m/>
    <x v="1"/>
    <n v="752094"/>
    <x v="0"/>
    <x v="0"/>
    <n v="157.28155339805801"/>
    <n v="4.7184466019417499"/>
    <x v="171"/>
    <n v="59.223300970873801"/>
    <x v="18"/>
  </r>
  <r>
    <x v="460"/>
    <s v="2024-12-03"/>
    <n v="3"/>
    <x v="3"/>
    <n v="2024"/>
    <m/>
    <x v="3"/>
    <n v="440001"/>
    <x v="0"/>
    <x v="0"/>
    <n v="174.757281553398"/>
    <n v="5.2427184466019403"/>
    <x v="126"/>
    <n v="58.252427184466001"/>
    <x v="13"/>
  </r>
  <r>
    <x v="461"/>
    <s v="2024-12-29"/>
    <n v="29"/>
    <x v="3"/>
    <n v="2024"/>
    <m/>
    <x v="4"/>
    <n v="533468"/>
    <x v="0"/>
    <x v="0"/>
    <n v="148.54368932038801"/>
    <n v="4.9805825242718402"/>
    <x v="148"/>
    <n v="39.805825242718498"/>
    <x v="12"/>
  </r>
  <r>
    <x v="462"/>
    <s v="2024-12-18"/>
    <n v="18"/>
    <x v="3"/>
    <n v="2024"/>
    <m/>
    <x v="1"/>
    <n v="522101"/>
    <x v="0"/>
    <x v="0"/>
    <n v="179.611650485436"/>
    <n v="5.3883495145631102"/>
    <x v="186"/>
    <n v="59.223300970873801"/>
    <x v="12"/>
  </r>
  <r>
    <x v="463"/>
    <s v="2024-12-08"/>
    <n v="8"/>
    <x v="3"/>
    <n v="2024"/>
    <m/>
    <x v="6"/>
    <n v="535593"/>
    <x v="0"/>
    <x v="0"/>
    <n v="157.28155339805801"/>
    <n v="4.7184466019417499"/>
    <x v="171"/>
    <n v="59.223300970873801"/>
    <x v="12"/>
  </r>
  <r>
    <x v="464"/>
    <s v="2024-12-20"/>
    <n v="20"/>
    <x v="3"/>
    <n v="2024"/>
    <m/>
    <x v="1"/>
    <n v="201201"/>
    <x v="0"/>
    <x v="0"/>
    <n v="155.339805825242"/>
    <n v="4.8058252427184502"/>
    <x v="230"/>
    <n v="54.368932038834998"/>
    <x v="0"/>
  </r>
  <r>
    <x v="465"/>
    <s v="2024-12-08"/>
    <n v="8"/>
    <x v="3"/>
    <n v="2024"/>
    <m/>
    <x v="1"/>
    <n v="151001"/>
    <x v="0"/>
    <x v="0"/>
    <n v="158.252427184466"/>
    <n v="5.44660194174757"/>
    <x v="246"/>
    <n v="35.922330097087404"/>
    <x v="3"/>
  </r>
  <r>
    <x v="466"/>
    <s v="2024-12-10"/>
    <n v="10"/>
    <x v="3"/>
    <n v="2024"/>
    <m/>
    <x v="2"/>
    <n v="852214"/>
    <x v="0"/>
    <x v="0"/>
    <n v="164.07766990291199"/>
    <n v="4.9223300970873796"/>
    <x v="247"/>
    <n v="58.252427184466001"/>
    <x v="5"/>
  </r>
  <r>
    <x v="467"/>
    <s v="2024-12-16"/>
    <n v="16"/>
    <x v="3"/>
    <n v="2024"/>
    <m/>
    <x v="1"/>
    <n v="126115"/>
    <x v="0"/>
    <x v="0"/>
    <n v="166.01941747572801"/>
    <n v="5.2427184466019403"/>
    <x v="248"/>
    <n v="49.514563106796103"/>
    <x v="20"/>
  </r>
  <r>
    <x v="468"/>
    <s v="2024-12-09"/>
    <n v="9"/>
    <x v="3"/>
    <n v="2024"/>
    <m/>
    <x v="3"/>
    <n v="841426"/>
    <x v="0"/>
    <x v="0"/>
    <n v="155.339805825242"/>
    <n v="4.7184466019417499"/>
    <x v="199"/>
    <n v="57.2815533980583"/>
    <x v="5"/>
  </r>
  <r>
    <x v="469"/>
    <s v="2024-12-20"/>
    <n v="20"/>
    <x v="3"/>
    <n v="2024"/>
    <m/>
    <x v="2"/>
    <n v="184143"/>
    <x v="0"/>
    <x v="0"/>
    <n v="166.01941747572801"/>
    <n v="4.9805825242718402"/>
    <x v="139"/>
    <n v="78.640776699029104"/>
    <x v="19"/>
  </r>
  <r>
    <x v="470"/>
    <s v="2024-12-29"/>
    <n v="29"/>
    <x v="3"/>
    <n v="2024"/>
    <m/>
    <x v="4"/>
    <n v="532430"/>
    <x v="0"/>
    <x v="0"/>
    <n v="174.757281553398"/>
    <n v="5.2427184466019403"/>
    <x v="126"/>
    <n v="58.252427184466001"/>
    <x v="12"/>
  </r>
  <r>
    <x v="471"/>
    <s v="2024-12-07"/>
    <n v="7"/>
    <x v="3"/>
    <n v="2024"/>
    <m/>
    <x v="3"/>
    <n v="829119"/>
    <x v="0"/>
    <x v="0"/>
    <n v="156.31067961164999"/>
    <n v="4.6893203883495103"/>
    <x v="19"/>
    <n v="59.223300970873801"/>
    <x v="11"/>
  </r>
  <r>
    <x v="472"/>
    <s v="2024-12-06"/>
    <n v="6"/>
    <x v="3"/>
    <n v="2024"/>
    <m/>
    <x v="1"/>
    <n v="143001"/>
    <x v="0"/>
    <x v="0"/>
    <n v="141.747572815534"/>
    <n v="4.5436893203883502"/>
    <x v="209"/>
    <n v="49.514563106796103"/>
    <x v="3"/>
  </r>
  <r>
    <x v="473"/>
    <s v="2024-12-30"/>
    <n v="30"/>
    <x v="3"/>
    <n v="2024"/>
    <m/>
    <x v="0"/>
    <n v="803201"/>
    <x v="0"/>
    <x v="0"/>
    <n v="253.39805825242701"/>
    <n v="7.7184466019417499"/>
    <x v="249"/>
    <n v="55.339805825242699"/>
    <x v="5"/>
  </r>
  <r>
    <x v="474"/>
    <s v="2024-12-06"/>
    <n v="6"/>
    <x v="3"/>
    <n v="2024"/>
    <m/>
    <x v="3"/>
    <n v="533435"/>
    <x v="0"/>
    <x v="0"/>
    <n v="168.93203883495099"/>
    <n v="5.0679611650485397"/>
    <x v="204"/>
    <n v="58.252427184466001"/>
    <x v="12"/>
  </r>
  <r>
    <x v="475"/>
    <s v="2024-12-06"/>
    <n v="6"/>
    <x v="3"/>
    <n v="2024"/>
    <m/>
    <x v="1"/>
    <n v="132103"/>
    <x v="0"/>
    <x v="0"/>
    <n v="161.16504854368901"/>
    <n v="5.1262135922330101"/>
    <x v="250"/>
    <n v="49.514563106796103"/>
    <x v="20"/>
  </r>
  <r>
    <x v="476"/>
    <s v="2024-12-23"/>
    <n v="23"/>
    <x v="3"/>
    <n v="2024"/>
    <m/>
    <x v="6"/>
    <n v="711106"/>
    <x v="0"/>
    <x v="0"/>
    <n v="146.601941747572"/>
    <n v="4.3980582524271803"/>
    <x v="242"/>
    <n v="59.223300970873801"/>
    <x v="2"/>
  </r>
  <r>
    <x v="477"/>
    <s v="2024-12-02"/>
    <n v="2"/>
    <x v="3"/>
    <n v="2024"/>
    <m/>
    <x v="1"/>
    <n v="560067"/>
    <x v="0"/>
    <x v="0"/>
    <n v="179.611650485436"/>
    <n v="5.3883495145631102"/>
    <x v="186"/>
    <n v="59.223300970873801"/>
    <x v="4"/>
  </r>
  <r>
    <x v="478"/>
    <s v="2024-12-30"/>
    <n v="30"/>
    <x v="3"/>
    <n v="2024"/>
    <m/>
    <x v="0"/>
    <n v="390001"/>
    <x v="0"/>
    <x v="0"/>
    <n v="197.087378640776"/>
    <n v="5.2135922330097104"/>
    <x v="251"/>
    <n v="80.582524271844704"/>
    <x v="1"/>
  </r>
  <r>
    <x v="479"/>
    <s v="2024-12-12"/>
    <n v="12"/>
    <x v="3"/>
    <n v="2024"/>
    <m/>
    <x v="3"/>
    <n v="413112"/>
    <x v="0"/>
    <x v="0"/>
    <n v="179.611650485436"/>
    <n v="5.3883495145631102"/>
    <x v="186"/>
    <n v="59.223300970873801"/>
    <x v="13"/>
  </r>
  <r>
    <x v="480"/>
    <s v="2024-12-13"/>
    <n v="13"/>
    <x v="3"/>
    <n v="2024"/>
    <m/>
    <x v="1"/>
    <n v="413112"/>
    <x v="0"/>
    <x v="0"/>
    <n v="179.611650485436"/>
    <n v="5.3883495145631102"/>
    <x v="186"/>
    <n v="59.223300970873801"/>
    <x v="13"/>
  </r>
  <r>
    <x v="481"/>
    <s v="2024-12-03"/>
    <n v="3"/>
    <x v="3"/>
    <n v="2024"/>
    <m/>
    <x v="3"/>
    <n v="813106"/>
    <x v="0"/>
    <x v="0"/>
    <n v="151.45631067961099"/>
    <n v="4.5436893203883502"/>
    <x v="79"/>
    <n v="59.223300970873801"/>
    <x v="5"/>
  </r>
  <r>
    <x v="482"/>
    <s v="2024-12-03"/>
    <n v="3"/>
    <x v="3"/>
    <n v="2024"/>
    <m/>
    <x v="1"/>
    <n v="500008"/>
    <x v="0"/>
    <x v="0"/>
    <n v="180.58252427184399"/>
    <n v="5.4174757281553401"/>
    <x v="169"/>
    <n v="60.194174757281601"/>
    <x v="17"/>
  </r>
  <r>
    <x v="483"/>
    <s v="2024-12-18"/>
    <n v="18"/>
    <x v="3"/>
    <n v="2024"/>
    <m/>
    <x v="1"/>
    <n v="670611"/>
    <x v="0"/>
    <x v="0"/>
    <n v="154.368932038834"/>
    <n v="4.6310679611650496"/>
    <x v="252"/>
    <n v="66.990291262135898"/>
    <x v="24"/>
  </r>
  <r>
    <x v="484"/>
    <s v="2024-12-12"/>
    <n v="12"/>
    <x v="3"/>
    <n v="2024"/>
    <m/>
    <x v="1"/>
    <n v="152021"/>
    <x v="0"/>
    <x v="0"/>
    <n v="132.03883495145601"/>
    <n v="4.6893203883495103"/>
    <x v="231"/>
    <n v="33.980582524271803"/>
    <x v="3"/>
  </r>
  <r>
    <x v="485"/>
    <s v="2024-12-03"/>
    <n v="3"/>
    <x v="3"/>
    <n v="2024"/>
    <m/>
    <x v="1"/>
    <n v="813106"/>
    <x v="0"/>
    <x v="0"/>
    <n v="151.45631067961099"/>
    <n v="4.5436893203883502"/>
    <x v="79"/>
    <n v="59.223300970873801"/>
    <x v="5"/>
  </r>
  <r>
    <x v="486"/>
    <s v="2024-12-19"/>
    <n v="19"/>
    <x v="3"/>
    <n v="2024"/>
    <m/>
    <x v="2"/>
    <n v="284002"/>
    <x v="0"/>
    <x v="0"/>
    <n v="137.864077669902"/>
    <n v="4.3980582524271803"/>
    <x v="253"/>
    <n v="50.485436893203897"/>
    <x v="0"/>
  </r>
  <r>
    <x v="487"/>
    <s v="2024-12-14"/>
    <n v="14"/>
    <x v="3"/>
    <n v="2024"/>
    <m/>
    <x v="1"/>
    <n v="509210"/>
    <x v="0"/>
    <x v="0"/>
    <n v="167.96116504854299"/>
    <n v="5.0388349514563098"/>
    <x v="83"/>
    <n v="57.2815533980583"/>
    <x v="17"/>
  </r>
  <r>
    <x v="488"/>
    <s v="2024-12-04"/>
    <n v="4"/>
    <x v="3"/>
    <n v="2024"/>
    <m/>
    <x v="3"/>
    <n v="751024"/>
    <x v="2"/>
    <x v="2"/>
    <n v="200.892857142857"/>
    <n v="24.107142857142801"/>
    <x v="254"/>
    <n v="53.571428571428598"/>
    <x v="18"/>
  </r>
  <r>
    <x v="489"/>
    <s v="2024-12-30"/>
    <n v="30"/>
    <x v="3"/>
    <n v="2024"/>
    <m/>
    <x v="4"/>
    <n v="845451"/>
    <x v="0"/>
    <x v="0"/>
    <n v="185.43689320388299"/>
    <n v="5.2135922330097104"/>
    <x v="255"/>
    <n v="68.932038834951499"/>
    <x v="5"/>
  </r>
  <r>
    <x v="490"/>
    <s v="2024-12-06"/>
    <n v="6"/>
    <x v="3"/>
    <n v="2024"/>
    <m/>
    <x v="2"/>
    <n v="600055"/>
    <x v="0"/>
    <x v="0"/>
    <n v="161.16504854368901"/>
    <n v="4.8349514563106801"/>
    <x v="108"/>
    <n v="59.223300970873801"/>
    <x v="8"/>
  </r>
  <r>
    <x v="491"/>
    <s v="2024-12-04"/>
    <n v="4"/>
    <x v="3"/>
    <n v="2024"/>
    <m/>
    <x v="2"/>
    <n v="825336"/>
    <x v="0"/>
    <x v="0"/>
    <n v="179.611650485436"/>
    <n v="5.3883495145631102"/>
    <x v="186"/>
    <n v="59.223300970873801"/>
    <x v="11"/>
  </r>
  <r>
    <x v="492"/>
    <s v="2024-12-03"/>
    <n v="3"/>
    <x v="3"/>
    <n v="2024"/>
    <m/>
    <x v="3"/>
    <n v="813106"/>
    <x v="0"/>
    <x v="0"/>
    <n v="170.873786407767"/>
    <n v="5.1262135922330101"/>
    <x v="214"/>
    <n v="59.223300970873801"/>
    <x v="5"/>
  </r>
  <r>
    <x v="493"/>
    <s v="2024-12-26"/>
    <n v="26"/>
    <x v="3"/>
    <n v="2024"/>
    <m/>
    <x v="0"/>
    <n v="301020"/>
    <x v="0"/>
    <x v="0"/>
    <n v="149.514563106796"/>
    <n v="4.6601941747572804"/>
    <x v="256"/>
    <n v="51.456310679611697"/>
    <x v="15"/>
  </r>
  <r>
    <x v="494"/>
    <s v="2024-12-03"/>
    <n v="3"/>
    <x v="3"/>
    <n v="2024"/>
    <m/>
    <x v="1"/>
    <n v="534112"/>
    <x v="0"/>
    <x v="0"/>
    <n v="151.45631067961099"/>
    <n v="4.5436893203883502"/>
    <x v="79"/>
    <n v="59.223300970873801"/>
    <x v="12"/>
  </r>
  <r>
    <x v="495"/>
    <s v="2024-12-03"/>
    <n v="3"/>
    <x v="3"/>
    <n v="2024"/>
    <m/>
    <x v="1"/>
    <n v="110059"/>
    <x v="0"/>
    <x v="0"/>
    <n v="179.611650485436"/>
    <n v="5.6796116504854401"/>
    <x v="194"/>
    <n v="49.514563106796103"/>
    <x v="0"/>
  </r>
  <r>
    <x v="496"/>
    <s v="2024-12-07"/>
    <n v="7"/>
    <x v="3"/>
    <n v="2024"/>
    <m/>
    <x v="1"/>
    <n v="828112"/>
    <x v="0"/>
    <x v="0"/>
    <n v="181.55339805825199"/>
    <n v="5.44660194174757"/>
    <x v="192"/>
    <n v="59.223300970873801"/>
    <x v="11"/>
  </r>
  <r>
    <x v="497"/>
    <s v="2024-12-20"/>
    <n v="20"/>
    <x v="3"/>
    <n v="2024"/>
    <m/>
    <x v="1"/>
    <n v="500030"/>
    <x v="0"/>
    <x v="0"/>
    <n v="180.58252427184399"/>
    <n v="5.4174757281553401"/>
    <x v="169"/>
    <n v="60.194174757281601"/>
    <x v="17"/>
  </r>
  <r>
    <x v="498"/>
    <s v="2024-12-06"/>
    <n v="6"/>
    <x v="3"/>
    <n v="2024"/>
    <m/>
    <x v="3"/>
    <n v="486331"/>
    <x v="0"/>
    <x v="0"/>
    <n v="155.339805825242"/>
    <n v="4.7475728155339798"/>
    <x v="105"/>
    <n v="55.339805825242699"/>
    <x v="7"/>
  </r>
  <r>
    <x v="499"/>
    <s v="2024-12-07"/>
    <n v="7"/>
    <x v="3"/>
    <n v="2024"/>
    <m/>
    <x v="1"/>
    <n v="841226"/>
    <x v="0"/>
    <x v="0"/>
    <n v="144.66019417475701"/>
    <n v="4.3980582524271803"/>
    <x v="32"/>
    <n v="57.2815533980583"/>
    <x v="5"/>
  </r>
  <r>
    <x v="500"/>
    <s v="2024-12-03"/>
    <n v="3"/>
    <x v="3"/>
    <n v="2024"/>
    <m/>
    <x v="1"/>
    <n v="421002"/>
    <x v="0"/>
    <x v="0"/>
    <n v="166.01941747572801"/>
    <n v="4.9805825242718402"/>
    <x v="139"/>
    <n v="59.223300970873801"/>
    <x v="13"/>
  </r>
  <r>
    <x v="501"/>
    <s v="2024-12-07"/>
    <n v="7"/>
    <x v="3"/>
    <n v="2024"/>
    <m/>
    <x v="1"/>
    <n v="852109"/>
    <x v="0"/>
    <x v="0"/>
    <n v="166.990291262135"/>
    <n v="5.0097087378640799"/>
    <x v="195"/>
    <n v="58.252427184466001"/>
    <x v="5"/>
  </r>
  <r>
    <x v="502"/>
    <s v="2024-12-05"/>
    <n v="5"/>
    <x v="3"/>
    <n v="2024"/>
    <m/>
    <x v="3"/>
    <n v="403521"/>
    <x v="0"/>
    <x v="0"/>
    <n v="137.864077669902"/>
    <n v="4.13592233009709"/>
    <x v="162"/>
    <n v="58.252427184466001"/>
    <x v="27"/>
  </r>
  <r>
    <x v="503"/>
    <s v="2024-12-08"/>
    <n v="8"/>
    <x v="3"/>
    <n v="2024"/>
    <m/>
    <x v="1"/>
    <n v="804432"/>
    <x v="0"/>
    <x v="0"/>
    <n v="157.28155339805801"/>
    <n v="4.7184466019417499"/>
    <x v="171"/>
    <n v="59.223300970873801"/>
    <x v="5"/>
  </r>
  <r>
    <x v="504"/>
    <s v="2024-12-17"/>
    <n v="17"/>
    <x v="3"/>
    <n v="2024"/>
    <m/>
    <x v="5"/>
    <n v="495004"/>
    <x v="0"/>
    <x v="0"/>
    <n v="159.223300970873"/>
    <n v="4.7766990291262097"/>
    <x v="22"/>
    <n v="58.252427184466001"/>
    <x v="6"/>
  </r>
  <r>
    <x v="505"/>
    <s v="2024-12-07"/>
    <n v="7"/>
    <x v="3"/>
    <n v="2024"/>
    <m/>
    <x v="1"/>
    <n v="335501"/>
    <x v="0"/>
    <x v="0"/>
    <n v="179.611650485436"/>
    <n v="5.6796116504854401"/>
    <x v="194"/>
    <n v="49.514563106796103"/>
    <x v="15"/>
  </r>
  <r>
    <x v="506"/>
    <s v="2024-12-28"/>
    <n v="28"/>
    <x v="3"/>
    <n v="2024"/>
    <m/>
    <x v="0"/>
    <n v="829301"/>
    <x v="0"/>
    <x v="0"/>
    <n v="162.135922330097"/>
    <n v="4.9805825242718402"/>
    <x v="257"/>
    <n v="53.398058252427198"/>
    <x v="11"/>
  </r>
  <r>
    <x v="507"/>
    <s v="2024-12-09"/>
    <n v="9"/>
    <x v="3"/>
    <n v="2024"/>
    <m/>
    <x v="1"/>
    <n v="534437"/>
    <x v="0"/>
    <x v="0"/>
    <n v="170.873786407767"/>
    <n v="5.1262135922330101"/>
    <x v="214"/>
    <n v="59.223300970873801"/>
    <x v="12"/>
  </r>
  <r>
    <x v="508"/>
    <s v="2024-12-04"/>
    <n v="4"/>
    <x v="3"/>
    <n v="2024"/>
    <m/>
    <x v="1"/>
    <n v="811315"/>
    <x v="0"/>
    <x v="0"/>
    <n v="166.990291262135"/>
    <n v="5.0097087378640799"/>
    <x v="195"/>
    <n v="58.252427184466001"/>
    <x v="5"/>
  </r>
  <r>
    <x v="509"/>
    <s v="2024-12-29"/>
    <n v="29"/>
    <x v="3"/>
    <n v="2024"/>
    <m/>
    <x v="0"/>
    <n v="281501"/>
    <x v="0"/>
    <x v="0"/>
    <n v="157.28155339805801"/>
    <n v="4.9805825242718402"/>
    <x v="258"/>
    <n v="48.543689320388303"/>
    <x v="0"/>
  </r>
  <r>
    <x v="510"/>
    <s v="2025-01-27"/>
    <n v="27"/>
    <x v="4"/>
    <n v="2025"/>
    <m/>
    <x v="0"/>
    <n v="814152"/>
    <x v="0"/>
    <x v="0"/>
    <n v="154.368932038834"/>
    <n v="4.6310679611650496"/>
    <x v="252"/>
    <n v="56.3106796116505"/>
    <x v="11"/>
  </r>
  <r>
    <x v="511"/>
    <s v="2025-01-24"/>
    <n v="24"/>
    <x v="4"/>
    <n v="2025"/>
    <m/>
    <x v="0"/>
    <n v="531024"/>
    <x v="0"/>
    <x v="0"/>
    <n v="158.252427184466"/>
    <n v="5.1844660194174796"/>
    <x v="259"/>
    <n v="41.747572815533999"/>
    <x v="12"/>
  </r>
  <r>
    <x v="512"/>
    <s v="2025-01-05"/>
    <n v="5"/>
    <x v="4"/>
    <n v="2025"/>
    <m/>
    <x v="1"/>
    <n v="431501"/>
    <x v="0"/>
    <x v="0"/>
    <n v="144.66019417475701"/>
    <n v="4.8349514563106801"/>
    <x v="260"/>
    <n v="40.776699029126199"/>
    <x v="13"/>
  </r>
  <r>
    <x v="513"/>
    <s v="2025-01-05"/>
    <n v="5"/>
    <x v="4"/>
    <n v="2025"/>
    <m/>
    <x v="1"/>
    <n v="140402"/>
    <x v="0"/>
    <x v="0"/>
    <n v="155.339805825242"/>
    <n v="4.86407766990291"/>
    <x v="261"/>
    <n v="51.456310679611697"/>
    <x v="3"/>
  </r>
  <r>
    <x v="514"/>
    <s v="2025-01-12"/>
    <n v="12"/>
    <x v="4"/>
    <n v="2025"/>
    <m/>
    <x v="1"/>
    <n v="501218"/>
    <x v="0"/>
    <x v="0"/>
    <n v="195.14563106796101"/>
    <n v="6.4077669902912602"/>
    <x v="262"/>
    <n v="39.805825242718498"/>
    <x v="17"/>
  </r>
  <r>
    <x v="515"/>
    <s v="2025-01-31"/>
    <n v="31"/>
    <x v="4"/>
    <n v="2025"/>
    <m/>
    <x v="3"/>
    <n v="273006"/>
    <x v="0"/>
    <x v="0"/>
    <n v="164.07766990291199"/>
    <n v="5.1844660194174796"/>
    <x v="263"/>
    <n v="47.572815533980602"/>
    <x v="0"/>
  </r>
  <r>
    <x v="516"/>
    <s v="2025-01-27"/>
    <n v="27"/>
    <x v="4"/>
    <n v="2025"/>
    <m/>
    <x v="1"/>
    <n v="440034"/>
    <x v="0"/>
    <x v="0"/>
    <n v="160.19417475728099"/>
    <n v="4.8058252427184502"/>
    <x v="116"/>
    <n v="57.2815533980583"/>
    <x v="13"/>
  </r>
  <r>
    <x v="517"/>
    <s v="2025-01-05"/>
    <n v="5"/>
    <x v="4"/>
    <n v="2025"/>
    <m/>
    <x v="1"/>
    <n v="276205"/>
    <x v="0"/>
    <x v="0"/>
    <n v="149.514563106796"/>
    <n v="4.7475728155339798"/>
    <x v="264"/>
    <n v="50.485436893203897"/>
    <x v="0"/>
  </r>
  <r>
    <x v="518"/>
    <s v="2025-01-16"/>
    <n v="16"/>
    <x v="4"/>
    <n v="2025"/>
    <m/>
    <x v="1"/>
    <n v="303712"/>
    <x v="0"/>
    <x v="0"/>
    <n v="146.601941747572"/>
    <n v="5.0679611650485397"/>
    <x v="265"/>
    <n v="35.922330097087404"/>
    <x v="15"/>
  </r>
  <r>
    <x v="519"/>
    <s v="2025-01-23"/>
    <n v="23"/>
    <x v="4"/>
    <n v="2025"/>
    <m/>
    <x v="1"/>
    <n v="493118"/>
    <x v="0"/>
    <x v="0"/>
    <n v="132.03883495145601"/>
    <n v="4.42718446601942"/>
    <x v="266"/>
    <n v="41.747572815533999"/>
    <x v="6"/>
  </r>
  <r>
    <x v="520"/>
    <s v="2025-01-14"/>
    <n v="14"/>
    <x v="4"/>
    <n v="2025"/>
    <m/>
    <x v="2"/>
    <n v="145025"/>
    <x v="0"/>
    <x v="0"/>
    <n v="138.83495145630999"/>
    <n v="4.42718446601942"/>
    <x v="267"/>
    <n v="50.485436893203897"/>
    <x v="3"/>
  </r>
  <r>
    <x v="521"/>
    <s v="2025-01-24"/>
    <n v="24"/>
    <x v="4"/>
    <n v="2025"/>
    <m/>
    <x v="3"/>
    <n v="121003"/>
    <x v="0"/>
    <x v="0"/>
    <n v="185.43689320388299"/>
    <n v="5.8252427184466002"/>
    <x v="268"/>
    <n v="50.485436893203897"/>
    <x v="20"/>
  </r>
  <r>
    <x v="522"/>
    <s v="2025-01-26"/>
    <n v="26"/>
    <x v="4"/>
    <n v="2025"/>
    <m/>
    <x v="1"/>
    <n v="207242"/>
    <x v="0"/>
    <x v="0"/>
    <n v="151.45631067961099"/>
    <n v="4.8058252427184502"/>
    <x v="183"/>
    <n v="48.543689320388303"/>
    <x v="0"/>
  </r>
  <r>
    <x v="523"/>
    <s v="2025-01-08"/>
    <n v="8"/>
    <x v="4"/>
    <n v="2025"/>
    <m/>
    <x v="1"/>
    <n v="788001"/>
    <x v="0"/>
    <x v="0"/>
    <n v="178.640776699029"/>
    <n v="5.3592233009708696"/>
    <x v="147"/>
    <n v="75.728155339805795"/>
    <x v="10"/>
  </r>
  <r>
    <x v="524"/>
    <s v="2025-01-04"/>
    <n v="4"/>
    <x v="4"/>
    <n v="2025"/>
    <m/>
    <x v="1"/>
    <n v="501501"/>
    <x v="0"/>
    <x v="0"/>
    <n v="143.68932038834899"/>
    <n v="4.3106796116504897"/>
    <x v="269"/>
    <n v="56.3106796116505"/>
    <x v="17"/>
  </r>
  <r>
    <x v="525"/>
    <s v="2025-01-05"/>
    <n v="5"/>
    <x v="4"/>
    <n v="2025"/>
    <m/>
    <x v="3"/>
    <n v="847240"/>
    <x v="0"/>
    <x v="0"/>
    <n v="162.135922330097"/>
    <n v="4.86407766990291"/>
    <x v="35"/>
    <n v="58.252427184466001"/>
    <x v="5"/>
  </r>
  <r>
    <x v="526"/>
    <s v="2025-01-05"/>
    <n v="5"/>
    <x v="4"/>
    <n v="2025"/>
    <m/>
    <x v="1"/>
    <n v="844115"/>
    <x v="0"/>
    <x v="0"/>
    <n v="126.213592233009"/>
    <n v="4.3689320388349504"/>
    <x v="270"/>
    <n v="38.834951456310698"/>
    <x v="5"/>
  </r>
  <r>
    <x v="527"/>
    <s v="2025-01-05"/>
    <n v="5"/>
    <x v="4"/>
    <n v="2025"/>
    <m/>
    <x v="1"/>
    <n v="276123"/>
    <x v="0"/>
    <x v="0"/>
    <n v="129.126213592233"/>
    <n v="4.13592233009709"/>
    <x v="271"/>
    <n v="50.485436893203897"/>
    <x v="0"/>
  </r>
  <r>
    <x v="528"/>
    <s v="2025-01-04"/>
    <n v="4"/>
    <x v="4"/>
    <n v="2025"/>
    <m/>
    <x v="3"/>
    <n v="761105"/>
    <x v="0"/>
    <x v="0"/>
    <n v="160.19417475728099"/>
    <n v="4.8058252427184502"/>
    <x v="116"/>
    <n v="56.3106796116505"/>
    <x v="18"/>
  </r>
  <r>
    <x v="529"/>
    <s v="2025-01-30"/>
    <n v="30"/>
    <x v="4"/>
    <n v="2025"/>
    <m/>
    <x v="0"/>
    <n v="400053"/>
    <x v="0"/>
    <x v="0"/>
    <n v="154.368932038834"/>
    <n v="4.6310679611650496"/>
    <x v="252"/>
    <n v="56.3106796116505"/>
    <x v="13"/>
  </r>
  <r>
    <x v="530"/>
    <s v="2025-01-06"/>
    <n v="6"/>
    <x v="4"/>
    <n v="2025"/>
    <m/>
    <x v="2"/>
    <n v="845451"/>
    <x v="0"/>
    <x v="0"/>
    <n v="185.43689320388299"/>
    <n v="5.2135922330097104"/>
    <x v="255"/>
    <n v="68.932038834951499"/>
    <x v="5"/>
  </r>
  <r>
    <x v="531"/>
    <s v="2025-01-04"/>
    <n v="4"/>
    <x v="4"/>
    <n v="2025"/>
    <m/>
    <x v="1"/>
    <n v="332719"/>
    <x v="0"/>
    <x v="0"/>
    <n v="153.39805825242701"/>
    <n v="4.8058252427184502"/>
    <x v="272"/>
    <n v="49.514563106796103"/>
    <x v="15"/>
  </r>
  <r>
    <x v="532"/>
    <s v="2025-01-23"/>
    <n v="23"/>
    <x v="4"/>
    <n v="2025"/>
    <m/>
    <x v="2"/>
    <n v="281501"/>
    <x v="0"/>
    <x v="0"/>
    <n v="161.16504854368901"/>
    <n v="5.0970873786407802"/>
    <x v="273"/>
    <n v="50.485436893203897"/>
    <x v="0"/>
  </r>
  <r>
    <x v="533"/>
    <s v="2025-01-05"/>
    <n v="5"/>
    <x v="4"/>
    <n v="2025"/>
    <m/>
    <x v="0"/>
    <n v="263126"/>
    <x v="0"/>
    <x v="0"/>
    <n v="150.485436893203"/>
    <n v="4.7766990291262097"/>
    <x v="218"/>
    <n v="50.485436893203897"/>
    <x v="16"/>
  </r>
  <r>
    <x v="534"/>
    <s v="2025-01-23"/>
    <n v="23"/>
    <x v="4"/>
    <n v="2025"/>
    <m/>
    <x v="1"/>
    <n v="312601"/>
    <x v="0"/>
    <x v="0"/>
    <n v="147.57281553397999"/>
    <n v="4.6310679611650496"/>
    <x v="95"/>
    <n v="49.514563106796103"/>
    <x v="15"/>
  </r>
  <r>
    <x v="535"/>
    <s v="2025-01-05"/>
    <n v="5"/>
    <x v="4"/>
    <n v="2025"/>
    <m/>
    <x v="1"/>
    <n v="110053"/>
    <x v="0"/>
    <x v="0"/>
    <n v="205.82524271844599"/>
    <n v="6.4368932038834998"/>
    <x v="274"/>
    <n v="50.485436893203897"/>
    <x v="9"/>
  </r>
  <r>
    <x v="536"/>
    <s v="2025-01-19"/>
    <n v="19"/>
    <x v="4"/>
    <n v="2025"/>
    <m/>
    <x v="3"/>
    <n v="277123"/>
    <x v="0"/>
    <x v="0"/>
    <n v="138.83495145630999"/>
    <n v="4.42718446601942"/>
    <x v="267"/>
    <n v="50.485436893203897"/>
    <x v="0"/>
  </r>
  <r>
    <x v="537"/>
    <s v="2025-01-15"/>
    <n v="15"/>
    <x v="4"/>
    <n v="2025"/>
    <m/>
    <x v="1"/>
    <n v="700119"/>
    <x v="0"/>
    <x v="0"/>
    <n v="166.01941747572801"/>
    <n v="4.9805825242718402"/>
    <x v="139"/>
    <n v="57.2815533980583"/>
    <x v="2"/>
  </r>
  <r>
    <x v="538"/>
    <s v="2025-01-02"/>
    <n v="2"/>
    <x v="4"/>
    <n v="2025"/>
    <m/>
    <x v="1"/>
    <n v="440017"/>
    <x v="0"/>
    <x v="0"/>
    <n v="194.17475728155301"/>
    <n v="5.8252427184466002"/>
    <x v="275"/>
    <n v="58.252427184466001"/>
    <x v="13"/>
  </r>
  <r>
    <x v="539"/>
    <s v="2025-01-17"/>
    <n v="17"/>
    <x v="4"/>
    <n v="2025"/>
    <m/>
    <x v="3"/>
    <n v="232327"/>
    <x v="0"/>
    <x v="0"/>
    <n v="138.83495145630999"/>
    <n v="4.42718446601942"/>
    <x v="267"/>
    <n v="50.485436893203897"/>
    <x v="0"/>
  </r>
  <r>
    <x v="540"/>
    <s v="2025-01-14"/>
    <n v="14"/>
    <x v="4"/>
    <n v="2025"/>
    <m/>
    <x v="3"/>
    <n v="144001"/>
    <x v="0"/>
    <x v="0"/>
    <n v="161.16504854368901"/>
    <n v="5.0970873786407802"/>
    <x v="273"/>
    <n v="50.485436893203897"/>
    <x v="3"/>
  </r>
  <r>
    <x v="541"/>
    <s v="2025-01-30"/>
    <n v="30"/>
    <x v="4"/>
    <n v="2025"/>
    <m/>
    <x v="0"/>
    <n v="766100"/>
    <x v="0"/>
    <x v="0"/>
    <n v="136.893203883495"/>
    <n v="4.6310679611650496"/>
    <x v="135"/>
    <n v="38.834951456310698"/>
    <x v="18"/>
  </r>
  <r>
    <x v="542"/>
    <s v="2025-01-01"/>
    <n v="1"/>
    <x v="4"/>
    <n v="2025"/>
    <m/>
    <x v="3"/>
    <n v="276123"/>
    <x v="0"/>
    <x v="0"/>
    <n v="166.01941747572801"/>
    <n v="5.2427184466019403"/>
    <x v="248"/>
    <n v="49.514563106796103"/>
    <x v="28"/>
  </r>
  <r>
    <x v="543"/>
    <s v="2025-01-05"/>
    <n v="5"/>
    <x v="4"/>
    <n v="2025"/>
    <m/>
    <x v="3"/>
    <n v="591234"/>
    <x v="0"/>
    <x v="0"/>
    <n v="145.631067961165"/>
    <n v="4.3689320388349504"/>
    <x v="28"/>
    <n v="59.223300970873801"/>
    <x v="4"/>
  </r>
  <r>
    <x v="544"/>
    <s v="2025-01-18"/>
    <n v="18"/>
    <x v="4"/>
    <n v="2025"/>
    <m/>
    <x v="5"/>
    <n v="844102"/>
    <x v="0"/>
    <x v="0"/>
    <n v="166.01941747572801"/>
    <n v="5.0970873786407802"/>
    <x v="276"/>
    <n v="55.339805825242699"/>
    <x v="5"/>
  </r>
  <r>
    <x v="545"/>
    <s v="2025-01-20"/>
    <n v="20"/>
    <x v="4"/>
    <n v="2025"/>
    <m/>
    <x v="3"/>
    <n v="274702"/>
    <x v="0"/>
    <x v="0"/>
    <n v="157.28155339805801"/>
    <n v="4.9805825242718402"/>
    <x v="258"/>
    <n v="48.543689320388303"/>
    <x v="0"/>
  </r>
  <r>
    <x v="546"/>
    <s v="2025-01-27"/>
    <n v="27"/>
    <x v="4"/>
    <n v="2025"/>
    <m/>
    <x v="3"/>
    <n v="825408"/>
    <x v="0"/>
    <x v="0"/>
    <n v="169.90291262135901"/>
    <n v="5.0970873786407802"/>
    <x v="44"/>
    <n v="59.223300970873801"/>
    <x v="11"/>
  </r>
  <r>
    <x v="547"/>
    <s v="2025-01-25"/>
    <n v="25"/>
    <x v="4"/>
    <n v="2025"/>
    <m/>
    <x v="0"/>
    <n v="307024"/>
    <x v="0"/>
    <x v="0"/>
    <n v="168.93203883495099"/>
    <n v="5.0679611650485397"/>
    <x v="204"/>
    <n v="57.2815533980583"/>
    <x v="15"/>
  </r>
  <r>
    <x v="548"/>
    <s v="2025-01-09"/>
    <n v="9"/>
    <x v="4"/>
    <n v="2025"/>
    <m/>
    <x v="1"/>
    <n v="532430"/>
    <x v="0"/>
    <x v="0"/>
    <n v="172.81553398058199"/>
    <n v="5.1844660194174796"/>
    <x v="277"/>
    <n v="56.3106796116505"/>
    <x v="12"/>
  </r>
  <r>
    <x v="549"/>
    <s v="2025-01-23"/>
    <n v="23"/>
    <x v="4"/>
    <n v="2025"/>
    <m/>
    <x v="1"/>
    <n v="208021"/>
    <x v="0"/>
    <x v="0"/>
    <n v="151.45631067961099"/>
    <n v="5.2718446601941702"/>
    <x v="278"/>
    <n v="34.951456310679603"/>
    <x v="0"/>
  </r>
  <r>
    <x v="550"/>
    <s v="2025-01-15"/>
    <n v="15"/>
    <x v="4"/>
    <n v="2025"/>
    <m/>
    <x v="3"/>
    <n v="803114"/>
    <x v="0"/>
    <x v="0"/>
    <n v="147.57281553397999"/>
    <n v="4.42718446601942"/>
    <x v="36"/>
    <n v="59.223300970873801"/>
    <x v="5"/>
  </r>
  <r>
    <x v="551"/>
    <s v="2025-01-04"/>
    <n v="4"/>
    <x v="4"/>
    <n v="2025"/>
    <m/>
    <x v="3"/>
    <n v="825409"/>
    <x v="0"/>
    <x v="0"/>
    <n v="160.19417475728099"/>
    <n v="4.8058252427184502"/>
    <x v="116"/>
    <n v="56.3106796116505"/>
    <x v="11"/>
  </r>
  <r>
    <x v="552"/>
    <s v="2025-01-23"/>
    <n v="23"/>
    <x v="4"/>
    <n v="2025"/>
    <m/>
    <x v="2"/>
    <n v="481880"/>
    <x v="0"/>
    <x v="0"/>
    <n v="172.81553398058199"/>
    <n v="5.1844660194174796"/>
    <x v="277"/>
    <n v="56.3106796116505"/>
    <x v="6"/>
  </r>
  <r>
    <x v="553"/>
    <s v="2025-01-21"/>
    <n v="21"/>
    <x v="4"/>
    <n v="2025"/>
    <m/>
    <x v="1"/>
    <n v="638152"/>
    <x v="0"/>
    <x v="0"/>
    <n v="172.81553398058199"/>
    <n v="5.1844660194174796"/>
    <x v="277"/>
    <n v="56.3106796116505"/>
    <x v="8"/>
  </r>
  <r>
    <x v="554"/>
    <s v="2025-01-27"/>
    <n v="27"/>
    <x v="4"/>
    <n v="2025"/>
    <m/>
    <x v="0"/>
    <n v="141006"/>
    <x v="0"/>
    <x v="0"/>
    <n v="164.07766990291199"/>
    <n v="5.1844660194174796"/>
    <x v="263"/>
    <n v="47.572815533980602"/>
    <x v="3"/>
  </r>
  <r>
    <x v="555"/>
    <s v="2025-01-16"/>
    <n v="16"/>
    <x v="4"/>
    <n v="2025"/>
    <m/>
    <x v="1"/>
    <n v="841436"/>
    <x v="0"/>
    <x v="0"/>
    <n v="170.873786407767"/>
    <n v="5.2427184466019403"/>
    <x v="226"/>
    <n v="54.368932038834998"/>
    <x v="5"/>
  </r>
  <r>
    <x v="556"/>
    <s v="2025-01-05"/>
    <n v="5"/>
    <x v="4"/>
    <n v="2025"/>
    <m/>
    <x v="3"/>
    <n v="591234"/>
    <x v="0"/>
    <x v="0"/>
    <n v="145.631067961165"/>
    <n v="4.3689320388349504"/>
    <x v="28"/>
    <n v="59.223300970873801"/>
    <x v="4"/>
  </r>
  <r>
    <x v="557"/>
    <s v="2025-01-26"/>
    <n v="26"/>
    <x v="4"/>
    <n v="2025"/>
    <m/>
    <x v="0"/>
    <n v="601201"/>
    <x v="0"/>
    <x v="0"/>
    <n v="169.90291262135901"/>
    <n v="5.0970873786407802"/>
    <x v="44"/>
    <n v="59.223300970873801"/>
    <x v="8"/>
  </r>
  <r>
    <x v="558"/>
    <s v="2025-01-17"/>
    <n v="17"/>
    <x v="4"/>
    <n v="2025"/>
    <m/>
    <x v="3"/>
    <n v="822117"/>
    <x v="0"/>
    <x v="0"/>
    <n v="149.514563106796"/>
    <n v="5.0388349514563098"/>
    <x v="279"/>
    <n v="40.776699029126199"/>
    <x v="11"/>
  </r>
  <r>
    <x v="559"/>
    <s v="2025-01-02"/>
    <n v="2"/>
    <x v="4"/>
    <n v="2025"/>
    <m/>
    <x v="3"/>
    <n v="493445"/>
    <x v="0"/>
    <x v="0"/>
    <n v="156.31067961164999"/>
    <n v="4.6893203883495103"/>
    <x v="19"/>
    <n v="58.252427184466001"/>
    <x v="6"/>
  </r>
  <r>
    <x v="560"/>
    <s v="2025-01-20"/>
    <n v="20"/>
    <x v="4"/>
    <n v="2025"/>
    <m/>
    <x v="1"/>
    <n v="272194"/>
    <x v="0"/>
    <x v="0"/>
    <n v="148.54368932038801"/>
    <n v="4.9805825242718402"/>
    <x v="148"/>
    <n v="39.805825242718498"/>
    <x v="0"/>
  </r>
  <r>
    <x v="561"/>
    <s v="2025-01-24"/>
    <n v="24"/>
    <x v="4"/>
    <n v="2025"/>
    <m/>
    <x v="1"/>
    <n v="272191"/>
    <x v="0"/>
    <x v="0"/>
    <n v="145.631067961165"/>
    <n v="4.6310679611650496"/>
    <x v="280"/>
    <n v="47.572815533980602"/>
    <x v="0"/>
  </r>
  <r>
    <x v="562"/>
    <s v="2025-01-07"/>
    <n v="7"/>
    <x v="4"/>
    <n v="2025"/>
    <m/>
    <x v="1"/>
    <n v="455001"/>
    <x v="0"/>
    <x v="0"/>
    <n v="168.93203883495099"/>
    <n v="5.0679611650485397"/>
    <x v="204"/>
    <n v="57.2815533980583"/>
    <x v="7"/>
  </r>
  <r>
    <x v="563"/>
    <s v="2025-01-26"/>
    <n v="26"/>
    <x v="4"/>
    <n v="2025"/>
    <m/>
    <x v="2"/>
    <n v="212659"/>
    <x v="0"/>
    <x v="0"/>
    <n v="164.07766990291199"/>
    <n v="5.1844660194174796"/>
    <x v="263"/>
    <n v="47.572815533980602"/>
    <x v="0"/>
  </r>
  <r>
    <x v="564"/>
    <s v="2025-01-06"/>
    <n v="6"/>
    <x v="4"/>
    <n v="2025"/>
    <m/>
    <x v="6"/>
    <n v="442905"/>
    <x v="0"/>
    <x v="0"/>
    <n v="163.106796116504"/>
    <n v="5.0679611650485397"/>
    <x v="193"/>
    <n v="51.456310679611697"/>
    <x v="13"/>
  </r>
  <r>
    <x v="565"/>
    <s v="2025-01-10"/>
    <n v="10"/>
    <x v="4"/>
    <n v="2025"/>
    <m/>
    <x v="1"/>
    <n v="799264"/>
    <x v="0"/>
    <x v="0"/>
    <n v="166.990291262135"/>
    <n v="5.0097087378640799"/>
    <x v="195"/>
    <n v="78.640776699029104"/>
    <x v="29"/>
  </r>
  <r>
    <x v="566"/>
    <s v="2025-01-25"/>
    <n v="25"/>
    <x v="4"/>
    <n v="2025"/>
    <m/>
    <x v="3"/>
    <n v="284204"/>
    <x v="0"/>
    <x v="0"/>
    <n v="164.07766990291199"/>
    <n v="5.1844660194174796"/>
    <x v="263"/>
    <n v="47.572815533980602"/>
    <x v="0"/>
  </r>
  <r>
    <x v="567"/>
    <s v="2025-01-05"/>
    <n v="5"/>
    <x v="4"/>
    <n v="2025"/>
    <m/>
    <x v="1"/>
    <n v="243005"/>
    <x v="0"/>
    <x v="0"/>
    <n v="153.39805825242701"/>
    <n v="4.86407766990291"/>
    <x v="281"/>
    <n v="49.514563106796103"/>
    <x v="0"/>
  </r>
  <r>
    <x v="568"/>
    <s v="2025-01-28"/>
    <n v="28"/>
    <x v="4"/>
    <n v="2025"/>
    <m/>
    <x v="1"/>
    <n v="475675"/>
    <x v="0"/>
    <x v="0"/>
    <n v="132.03883495145601"/>
    <n v="4.1067961165048503"/>
    <x v="282"/>
    <n v="52.427184466019398"/>
    <x v="7"/>
  </r>
  <r>
    <x v="569"/>
    <s v="2025-01-20"/>
    <n v="20"/>
    <x v="4"/>
    <n v="2025"/>
    <m/>
    <x v="6"/>
    <n v="824211"/>
    <x v="0"/>
    <x v="0"/>
    <n v="139.80582524271799"/>
    <n v="4.3980582524271803"/>
    <x v="283"/>
    <n v="51.456310679611697"/>
    <x v="5"/>
  </r>
  <r>
    <x v="570"/>
    <s v="2025-01-12"/>
    <n v="12"/>
    <x v="4"/>
    <n v="2025"/>
    <m/>
    <x v="3"/>
    <n v="123029"/>
    <x v="0"/>
    <x v="0"/>
    <n v="100"/>
    <n v="3.1456310679611699"/>
    <x v="284"/>
    <n v="52.427184466019398"/>
    <x v="20"/>
  </r>
  <r>
    <x v="571"/>
    <s v="2025-01-25"/>
    <n v="25"/>
    <x v="4"/>
    <n v="2025"/>
    <m/>
    <x v="1"/>
    <n v="768110"/>
    <x v="0"/>
    <x v="0"/>
    <n v="172.81553398058199"/>
    <n v="5.1844660194174796"/>
    <x v="277"/>
    <n v="56.3106796116505"/>
    <x v="18"/>
  </r>
  <r>
    <x v="572"/>
    <s v="2025-01-02"/>
    <n v="2"/>
    <x v="4"/>
    <n v="2025"/>
    <m/>
    <x v="3"/>
    <n v="110074"/>
    <x v="0"/>
    <x v="0"/>
    <n v="166.01941747572801"/>
    <n v="5.2427184466019403"/>
    <x v="248"/>
    <n v="49.514563106796103"/>
    <x v="9"/>
  </r>
  <r>
    <x v="573"/>
    <s v="2025-01-25"/>
    <n v="25"/>
    <x v="4"/>
    <n v="2025"/>
    <m/>
    <x v="3"/>
    <n v="390010"/>
    <x v="0"/>
    <x v="0"/>
    <n v="147.57281553397999"/>
    <n v="4.42718446601942"/>
    <x v="36"/>
    <n v="59.223300970873801"/>
    <x v="1"/>
  </r>
  <r>
    <x v="574"/>
    <s v="2025-01-04"/>
    <n v="4"/>
    <x v="4"/>
    <n v="2025"/>
    <m/>
    <x v="2"/>
    <n v="445301"/>
    <x v="0"/>
    <x v="0"/>
    <n v="184.466019417475"/>
    <n v="4.4854368932038797"/>
    <x v="285"/>
    <n v="92.233009708737896"/>
    <x v="13"/>
  </r>
  <r>
    <x v="575"/>
    <s v="2025-01-30"/>
    <n v="30"/>
    <x v="4"/>
    <n v="2025"/>
    <m/>
    <x v="2"/>
    <n v="743504"/>
    <x v="0"/>
    <x v="0"/>
    <n v="136.893203883495"/>
    <n v="4.1067961165048503"/>
    <x v="31"/>
    <n v="57.2815533980583"/>
    <x v="2"/>
  </r>
  <r>
    <x v="576"/>
    <s v="2025-01-21"/>
    <n v="21"/>
    <x v="4"/>
    <n v="2025"/>
    <m/>
    <x v="1"/>
    <n v="500067"/>
    <x v="0"/>
    <x v="0"/>
    <n v="148.54368932038801"/>
    <n v="4.4563106796116498"/>
    <x v="151"/>
    <n v="60.194174757281601"/>
    <x v="17"/>
  </r>
  <r>
    <x v="577"/>
    <s v="2025-01-23"/>
    <n v="23"/>
    <x v="4"/>
    <n v="2025"/>
    <m/>
    <x v="5"/>
    <n v="517408"/>
    <x v="0"/>
    <x v="0"/>
    <n v="172.81553398058199"/>
    <n v="4.6310679611650496"/>
    <x v="286"/>
    <n v="74.757281553398101"/>
    <x v="12"/>
  </r>
  <r>
    <x v="578"/>
    <s v="2025-01-28"/>
    <n v="28"/>
    <x v="4"/>
    <n v="2025"/>
    <m/>
    <x v="1"/>
    <n v="281005"/>
    <x v="0"/>
    <x v="0"/>
    <n v="152.42718446601901"/>
    <n v="5.1844660194174796"/>
    <x v="287"/>
    <n v="35.922330097087404"/>
    <x v="0"/>
  </r>
  <r>
    <x v="579"/>
    <s v="2025-01-04"/>
    <n v="4"/>
    <x v="4"/>
    <n v="2025"/>
    <m/>
    <x v="1"/>
    <n v="624710"/>
    <x v="0"/>
    <x v="0"/>
    <n v="160.19417475728099"/>
    <n v="4.8058252427184502"/>
    <x v="116"/>
    <n v="56.3106796116505"/>
    <x v="8"/>
  </r>
  <r>
    <x v="580"/>
    <s v="2025-01-01"/>
    <n v="1"/>
    <x v="4"/>
    <n v="2025"/>
    <m/>
    <x v="1"/>
    <n v="828402"/>
    <x v="0"/>
    <x v="0"/>
    <n v="146.601941747572"/>
    <n v="4.9223300970873796"/>
    <x v="288"/>
    <n v="39.805825242718498"/>
    <x v="11"/>
  </r>
  <r>
    <x v="581"/>
    <s v="2025-01-25"/>
    <n v="25"/>
    <x v="4"/>
    <n v="2025"/>
    <m/>
    <x v="3"/>
    <n v="440016"/>
    <x v="0"/>
    <x v="0"/>
    <n v="170.873786407767"/>
    <n v="5.1262135922330101"/>
    <x v="214"/>
    <n v="59.223300970873801"/>
    <x v="13"/>
  </r>
  <r>
    <x v="582"/>
    <s v="2025-01-25"/>
    <n v="25"/>
    <x v="4"/>
    <n v="2025"/>
    <m/>
    <x v="1"/>
    <n v="782105"/>
    <x v="0"/>
    <x v="0"/>
    <n v="189.32038834951399"/>
    <n v="5.6796116504854401"/>
    <x v="189"/>
    <n v="78.640776699029104"/>
    <x v="10"/>
  </r>
  <r>
    <x v="583"/>
    <s v="2025-01-11"/>
    <n v="11"/>
    <x v="4"/>
    <n v="2025"/>
    <m/>
    <x v="1"/>
    <n v="621719"/>
    <x v="0"/>
    <x v="0"/>
    <n v="147.57281553397999"/>
    <n v="4.42718446601942"/>
    <x v="36"/>
    <n v="59.223300970873801"/>
    <x v="8"/>
  </r>
  <r>
    <x v="584"/>
    <s v="2025-01-27"/>
    <n v="27"/>
    <x v="4"/>
    <n v="2025"/>
    <m/>
    <x v="1"/>
    <n v="332025"/>
    <x v="0"/>
    <x v="0"/>
    <n v="147.57281553397999"/>
    <n v="4.6310679611650496"/>
    <x v="95"/>
    <n v="49.514563106796103"/>
    <x v="15"/>
  </r>
  <r>
    <x v="585"/>
    <s v="2025-01-23"/>
    <n v="23"/>
    <x v="4"/>
    <n v="2025"/>
    <m/>
    <x v="1"/>
    <n v="508222"/>
    <x v="0"/>
    <x v="0"/>
    <n v="172.81553398058199"/>
    <n v="5.1844660194174796"/>
    <x v="277"/>
    <n v="56.3106796116505"/>
    <x v="17"/>
  </r>
  <r>
    <x v="586"/>
    <s v="2025-01-05"/>
    <n v="5"/>
    <x v="4"/>
    <n v="2025"/>
    <m/>
    <x v="1"/>
    <n v="148023"/>
    <x v="0"/>
    <x v="0"/>
    <n v="155.339805825242"/>
    <n v="4.86407766990291"/>
    <x v="261"/>
    <n v="51.456310679611697"/>
    <x v="3"/>
  </r>
  <r>
    <x v="587"/>
    <s v="2025-01-05"/>
    <n v="5"/>
    <x v="4"/>
    <n v="2025"/>
    <m/>
    <x v="1"/>
    <n v="497225"/>
    <x v="0"/>
    <x v="0"/>
    <n v="167.96116504854299"/>
    <n v="4.7184466019417499"/>
    <x v="289"/>
    <n v="68.932038834951499"/>
    <x v="6"/>
  </r>
  <r>
    <x v="588"/>
    <s v="2025-01-04"/>
    <n v="4"/>
    <x v="4"/>
    <n v="2025"/>
    <m/>
    <x v="1"/>
    <n v="764073"/>
    <x v="0"/>
    <x v="0"/>
    <n v="142.718446601941"/>
    <n v="4.8058252427184502"/>
    <x v="120"/>
    <n v="38.834951456310698"/>
    <x v="18"/>
  </r>
  <r>
    <x v="589"/>
    <s v="2025-01-21"/>
    <n v="21"/>
    <x v="4"/>
    <n v="2025"/>
    <m/>
    <x v="5"/>
    <n v="382418"/>
    <x v="0"/>
    <x v="0"/>
    <n v="160.19417475728099"/>
    <n v="4.8058252427184502"/>
    <x v="116"/>
    <n v="57.2815533980583"/>
    <x v="1"/>
  </r>
  <r>
    <x v="590"/>
    <s v="2025-01-26"/>
    <n v="26"/>
    <x v="4"/>
    <n v="2025"/>
    <m/>
    <x v="3"/>
    <n v="243751"/>
    <x v="0"/>
    <x v="0"/>
    <n v="145.631067961165"/>
    <n v="4.6310679611650496"/>
    <x v="280"/>
    <n v="47.572815533980602"/>
    <x v="0"/>
  </r>
  <r>
    <x v="591"/>
    <s v="2025-01-04"/>
    <n v="4"/>
    <x v="4"/>
    <n v="2025"/>
    <m/>
    <x v="1"/>
    <n v="110081"/>
    <x v="0"/>
    <x v="0"/>
    <n v="122.33009708737799"/>
    <n v="4.3106796116504897"/>
    <x v="290"/>
    <n v="34.951456310679603"/>
    <x v="9"/>
  </r>
  <r>
    <x v="592"/>
    <s v="2025-01-31"/>
    <n v="31"/>
    <x v="4"/>
    <n v="2025"/>
    <m/>
    <x v="0"/>
    <n v="123501"/>
    <x v="0"/>
    <x v="0"/>
    <n v="155.339805825242"/>
    <n v="4.8058252427184502"/>
    <x v="230"/>
    <n v="52.427184466019398"/>
    <x v="20"/>
  </r>
  <r>
    <x v="593"/>
    <s v="2025-01-05"/>
    <n v="5"/>
    <x v="4"/>
    <n v="2025"/>
    <m/>
    <x v="1"/>
    <n v="532421"/>
    <x v="0"/>
    <x v="0"/>
    <n v="145.631067961165"/>
    <n v="4.3689320388349504"/>
    <x v="28"/>
    <n v="58.252427184466001"/>
    <x v="12"/>
  </r>
  <r>
    <x v="594"/>
    <s v="2025-01-18"/>
    <n v="18"/>
    <x v="4"/>
    <n v="2025"/>
    <m/>
    <x v="1"/>
    <n v="444107"/>
    <x v="0"/>
    <x v="0"/>
    <n v="170.873786407767"/>
    <n v="5.1262135922330101"/>
    <x v="214"/>
    <n v="59.223300970873801"/>
    <x v="13"/>
  </r>
  <r>
    <x v="595"/>
    <s v="2025-01-12"/>
    <n v="12"/>
    <x v="4"/>
    <n v="2025"/>
    <m/>
    <x v="1"/>
    <n v="121003"/>
    <x v="0"/>
    <x v="0"/>
    <n v="138.83495145630999"/>
    <n v="4.8058252427184502"/>
    <x v="291"/>
    <n v="35.922330097087404"/>
    <x v="20"/>
  </r>
  <r>
    <x v="596"/>
    <s v="2025-01-04"/>
    <n v="4"/>
    <x v="4"/>
    <n v="2025"/>
    <m/>
    <x v="1"/>
    <n v="209733"/>
    <x v="0"/>
    <x v="0"/>
    <n v="134.95145631067899"/>
    <n v="4.3106796116504897"/>
    <x v="292"/>
    <n v="47.572815533980602"/>
    <x v="0"/>
  </r>
  <r>
    <x v="597"/>
    <s v="2025-01-07"/>
    <n v="7"/>
    <x v="4"/>
    <n v="2025"/>
    <m/>
    <x v="3"/>
    <n v="517424"/>
    <x v="0"/>
    <x v="0"/>
    <n v="172.81553398058199"/>
    <n v="5.1844660194174796"/>
    <x v="277"/>
    <n v="56.3106796116505"/>
    <x v="12"/>
  </r>
  <r>
    <x v="598"/>
    <s v="2025-01-14"/>
    <n v="14"/>
    <x v="4"/>
    <n v="2025"/>
    <m/>
    <x v="1"/>
    <n v="226022"/>
    <x v="0"/>
    <x v="0"/>
    <n v="167.96116504854299"/>
    <n v="5.8252427184466002"/>
    <x v="293"/>
    <n v="33.009708737864102"/>
    <x v="0"/>
  </r>
  <r>
    <x v="599"/>
    <s v="2025-01-18"/>
    <n v="18"/>
    <x v="4"/>
    <n v="2025"/>
    <m/>
    <x v="3"/>
    <n v="753001"/>
    <x v="0"/>
    <x v="0"/>
    <n v="213.592233009708"/>
    <n v="6.4077669902912602"/>
    <x v="294"/>
    <n v="58.252427184466001"/>
    <x v="18"/>
  </r>
  <r>
    <x v="600"/>
    <s v="2025-01-01"/>
    <n v="1"/>
    <x v="4"/>
    <n v="2025"/>
    <m/>
    <x v="1"/>
    <n v="201102"/>
    <x v="0"/>
    <x v="0"/>
    <n v="170.873786407767"/>
    <n v="5.2135922330097104"/>
    <x v="295"/>
    <n v="54.368932038834998"/>
    <x v="0"/>
  </r>
  <r>
    <x v="601"/>
    <s v="2025-01-18"/>
    <n v="18"/>
    <x v="4"/>
    <n v="2025"/>
    <m/>
    <x v="2"/>
    <n v="847402"/>
    <x v="0"/>
    <x v="0"/>
    <n v="169.90291262135901"/>
    <n v="5.0970873786407802"/>
    <x v="44"/>
    <n v="59.223300970873801"/>
    <x v="5"/>
  </r>
  <r>
    <x v="602"/>
    <s v="2025-01-05"/>
    <n v="5"/>
    <x v="4"/>
    <n v="2025"/>
    <m/>
    <x v="2"/>
    <n v="759122"/>
    <x v="0"/>
    <x v="0"/>
    <n v="167.96116504854299"/>
    <n v="5.0388349514563098"/>
    <x v="83"/>
    <n v="58.252427184466001"/>
    <x v="18"/>
  </r>
  <r>
    <x v="603"/>
    <s v="2025-01-25"/>
    <n v="25"/>
    <x v="4"/>
    <n v="2025"/>
    <m/>
    <x v="3"/>
    <n v="411039"/>
    <x v="0"/>
    <x v="0"/>
    <n v="169.90291262135901"/>
    <n v="5.0970873786407802"/>
    <x v="44"/>
    <n v="59.223300970873801"/>
    <x v="13"/>
  </r>
  <r>
    <x v="604"/>
    <s v="2025-01-04"/>
    <n v="4"/>
    <x v="4"/>
    <n v="2025"/>
    <m/>
    <x v="1"/>
    <n v="274409"/>
    <x v="0"/>
    <x v="0"/>
    <n v="151.45631067961099"/>
    <n v="4.8058252427184502"/>
    <x v="183"/>
    <n v="47.572815533980602"/>
    <x v="0"/>
  </r>
  <r>
    <x v="605"/>
    <s v="2025-01-24"/>
    <n v="24"/>
    <x v="4"/>
    <n v="2025"/>
    <m/>
    <x v="2"/>
    <n v="636905"/>
    <x v="0"/>
    <x v="0"/>
    <n v="169.90291262135901"/>
    <n v="5.0970873786407802"/>
    <x v="44"/>
    <n v="59.223300970873801"/>
    <x v="8"/>
  </r>
  <r>
    <x v="606"/>
    <s v="2025-01-29"/>
    <n v="29"/>
    <x v="4"/>
    <n v="2025"/>
    <m/>
    <x v="0"/>
    <n v="560026"/>
    <x v="0"/>
    <x v="0"/>
    <n v="168.93203883495099"/>
    <n v="5.0679611650485397"/>
    <x v="204"/>
    <n v="57.2815533980583"/>
    <x v="4"/>
  </r>
  <r>
    <x v="607"/>
    <s v="2025-01-17"/>
    <n v="17"/>
    <x v="4"/>
    <n v="2025"/>
    <m/>
    <x v="6"/>
    <n v="225409"/>
    <x v="0"/>
    <x v="0"/>
    <n v="138.83495145630999"/>
    <n v="4.42718446601942"/>
    <x v="267"/>
    <n v="50.485436893203897"/>
    <x v="0"/>
  </r>
  <r>
    <x v="608"/>
    <s v="2025-01-11"/>
    <n v="11"/>
    <x v="4"/>
    <n v="2025"/>
    <m/>
    <x v="2"/>
    <n v="403516"/>
    <x v="0"/>
    <x v="0"/>
    <n v="166.01941747572801"/>
    <n v="4.9805825242718402"/>
    <x v="139"/>
    <n v="57.2815533980583"/>
    <x v="27"/>
  </r>
  <r>
    <x v="609"/>
    <s v="2025-01-30"/>
    <n v="30"/>
    <x v="4"/>
    <n v="2025"/>
    <m/>
    <x v="0"/>
    <n v="302016"/>
    <x v="0"/>
    <x v="0"/>
    <n v="166.990291262135"/>
    <n v="5.2718446601941702"/>
    <x v="296"/>
    <n v="50.485436893203897"/>
    <x v="15"/>
  </r>
  <r>
    <x v="610"/>
    <s v="2025-01-16"/>
    <n v="16"/>
    <x v="4"/>
    <n v="2025"/>
    <m/>
    <x v="1"/>
    <n v="122508"/>
    <x v="0"/>
    <x v="0"/>
    <n v="161.16504854368901"/>
    <n v="5.0970873786407802"/>
    <x v="273"/>
    <n v="50.485436893203897"/>
    <x v="20"/>
  </r>
  <r>
    <x v="611"/>
    <s v="2025-01-27"/>
    <n v="27"/>
    <x v="4"/>
    <n v="2025"/>
    <m/>
    <x v="0"/>
    <n v="425001"/>
    <x v="0"/>
    <x v="0"/>
    <n v="136.893203883495"/>
    <n v="4.1067961165048503"/>
    <x v="31"/>
    <n v="57.2815533980583"/>
    <x v="13"/>
  </r>
  <r>
    <x v="612"/>
    <s v="2025-01-16"/>
    <n v="16"/>
    <x v="4"/>
    <n v="2025"/>
    <m/>
    <x v="1"/>
    <n v="502103"/>
    <x v="0"/>
    <x v="0"/>
    <n v="147.57281553397999"/>
    <n v="4.42718446601942"/>
    <x v="36"/>
    <n v="59.223300970873801"/>
    <x v="17"/>
  </r>
  <r>
    <x v="613"/>
    <s v="2025-01-04"/>
    <n v="4"/>
    <x v="4"/>
    <n v="2025"/>
    <m/>
    <x v="1"/>
    <n v="276123"/>
    <x v="0"/>
    <x v="0"/>
    <n v="139.80582524271799"/>
    <n v="4.4563106796116498"/>
    <x v="297"/>
    <n v="47.572815533980602"/>
    <x v="0"/>
  </r>
  <r>
    <x v="614"/>
    <s v="2025-01-25"/>
    <n v="25"/>
    <x v="4"/>
    <n v="2025"/>
    <m/>
    <x v="1"/>
    <n v="360001"/>
    <x v="0"/>
    <x v="0"/>
    <n v="172.81553398058199"/>
    <n v="5.1844660194174796"/>
    <x v="277"/>
    <n v="56.3106796116505"/>
    <x v="1"/>
  </r>
  <r>
    <x v="615"/>
    <s v="2025-01-30"/>
    <n v="30"/>
    <x v="4"/>
    <n v="2025"/>
    <m/>
    <x v="0"/>
    <n v="490023"/>
    <x v="0"/>
    <x v="0"/>
    <n v="151.45631067961099"/>
    <n v="4.5436893203883502"/>
    <x v="79"/>
    <n v="59.223300970873801"/>
    <x v="6"/>
  </r>
  <r>
    <x v="616"/>
    <s v="2025-01-19"/>
    <n v="19"/>
    <x v="4"/>
    <n v="2025"/>
    <m/>
    <x v="3"/>
    <n v="390010"/>
    <x v="0"/>
    <x v="0"/>
    <n v="147.57281553397999"/>
    <n v="4.42718446601942"/>
    <x v="36"/>
    <n v="59.223300970873801"/>
    <x v="1"/>
  </r>
  <r>
    <x v="617"/>
    <s v="2025-01-16"/>
    <n v="16"/>
    <x v="4"/>
    <n v="2025"/>
    <m/>
    <x v="2"/>
    <n v="583236"/>
    <x v="0"/>
    <x v="0"/>
    <n v="153.39805825242701"/>
    <n v="5.0679611650485397"/>
    <x v="298"/>
    <n v="42.7184466019418"/>
    <x v="4"/>
  </r>
  <r>
    <x v="618"/>
    <s v="2025-01-18"/>
    <n v="18"/>
    <x v="4"/>
    <n v="2025"/>
    <m/>
    <x v="1"/>
    <n v="560091"/>
    <x v="0"/>
    <x v="0"/>
    <n v="151.45631067961099"/>
    <n v="5.0970873786407802"/>
    <x v="299"/>
    <n v="40.776699029126199"/>
    <x v="4"/>
  </r>
  <r>
    <x v="619"/>
    <s v="2025-01-04"/>
    <n v="4"/>
    <x v="4"/>
    <n v="2025"/>
    <m/>
    <x v="3"/>
    <n v="457339"/>
    <x v="0"/>
    <x v="0"/>
    <n v="143.68932038834899"/>
    <n v="4.3106796116504897"/>
    <x v="269"/>
    <n v="56.3106796116505"/>
    <x v="7"/>
  </r>
  <r>
    <x v="620"/>
    <s v="2025-01-04"/>
    <n v="4"/>
    <x v="4"/>
    <n v="2025"/>
    <m/>
    <x v="1"/>
    <n v="700018"/>
    <x v="0"/>
    <x v="0"/>
    <n v="137.864077669902"/>
    <n v="4.13592233009709"/>
    <x v="162"/>
    <n v="59.223300970873801"/>
    <x v="2"/>
  </r>
  <r>
    <x v="621"/>
    <s v="2025-01-14"/>
    <n v="14"/>
    <x v="4"/>
    <n v="2025"/>
    <m/>
    <x v="2"/>
    <n v="517619"/>
    <x v="0"/>
    <x v="0"/>
    <n v="159.223300970873"/>
    <n v="5.0679611650485397"/>
    <x v="109"/>
    <n v="48.543689320388303"/>
    <x v="12"/>
  </r>
  <r>
    <x v="622"/>
    <s v="2025-01-06"/>
    <n v="6"/>
    <x v="4"/>
    <n v="2025"/>
    <m/>
    <x v="1"/>
    <n v="396195"/>
    <x v="0"/>
    <x v="0"/>
    <n v="119.417475728155"/>
    <n v="3.5825242718446599"/>
    <x v="300"/>
    <n v="57.2815533980583"/>
    <x v="1"/>
  </r>
  <r>
    <x v="623"/>
    <s v="2025-01-04"/>
    <n v="4"/>
    <x v="4"/>
    <n v="2025"/>
    <m/>
    <x v="3"/>
    <n v="627106"/>
    <x v="0"/>
    <x v="0"/>
    <n v="143.68932038834899"/>
    <n v="4.3106796116504897"/>
    <x v="269"/>
    <n v="56.3106796116505"/>
    <x v="8"/>
  </r>
  <r>
    <x v="624"/>
    <s v="2025-01-20"/>
    <n v="20"/>
    <x v="4"/>
    <n v="2025"/>
    <m/>
    <x v="0"/>
    <n v="641050"/>
    <x v="0"/>
    <x v="0"/>
    <n v="136.893203883495"/>
    <n v="4.1067961165048503"/>
    <x v="31"/>
    <n v="57.2815533980583"/>
    <x v="8"/>
  </r>
  <r>
    <x v="625"/>
    <s v="2025-01-13"/>
    <n v="13"/>
    <x v="4"/>
    <n v="2025"/>
    <m/>
    <x v="1"/>
    <n v="140603"/>
    <x v="0"/>
    <x v="0"/>
    <n v="147.57281553397999"/>
    <n v="5.0970873786407802"/>
    <x v="301"/>
    <n v="36.893203883495197"/>
    <x v="3"/>
  </r>
  <r>
    <x v="626"/>
    <s v="2025-01-14"/>
    <n v="14"/>
    <x v="4"/>
    <n v="2025"/>
    <m/>
    <x v="3"/>
    <n v="788734"/>
    <x v="0"/>
    <x v="0"/>
    <n v="175.728155339805"/>
    <n v="5.2718446601941702"/>
    <x v="302"/>
    <n v="77.669902912621396"/>
    <x v="10"/>
  </r>
  <r>
    <x v="627"/>
    <s v="2025-01-09"/>
    <n v="9"/>
    <x v="4"/>
    <n v="2025"/>
    <m/>
    <x v="1"/>
    <n v="151001"/>
    <x v="0"/>
    <x v="0"/>
    <n v="151.45631067961099"/>
    <n v="5.1844660194174796"/>
    <x v="303"/>
    <n v="34.951456310679603"/>
    <x v="3"/>
  </r>
  <r>
    <x v="628"/>
    <s v="2025-01-03"/>
    <n v="3"/>
    <x v="4"/>
    <n v="2025"/>
    <m/>
    <x v="1"/>
    <n v="247129"/>
    <x v="0"/>
    <x v="0"/>
    <n v="166.01941747572801"/>
    <n v="5.2427184466019403"/>
    <x v="248"/>
    <n v="49.514563106796103"/>
    <x v="0"/>
  </r>
  <r>
    <x v="629"/>
    <s v="2025-01-11"/>
    <n v="11"/>
    <x v="4"/>
    <n v="2025"/>
    <m/>
    <x v="1"/>
    <n v="734001"/>
    <x v="0"/>
    <x v="0"/>
    <n v="141.747572815534"/>
    <n v="4.8058252427184502"/>
    <x v="133"/>
    <n v="38.834951456310698"/>
    <x v="2"/>
  </r>
  <r>
    <x v="630"/>
    <s v="2025-01-04"/>
    <n v="4"/>
    <x v="4"/>
    <n v="2025"/>
    <m/>
    <x v="2"/>
    <n v="843329"/>
    <x v="0"/>
    <x v="0"/>
    <n v="137.864077669902"/>
    <n v="4.13592233009709"/>
    <x v="162"/>
    <n v="59.223300970873801"/>
    <x v="5"/>
  </r>
  <r>
    <x v="631"/>
    <s v="2025-01-05"/>
    <n v="5"/>
    <x v="4"/>
    <n v="2025"/>
    <m/>
    <x v="1"/>
    <n v="562123"/>
    <x v="0"/>
    <x v="0"/>
    <n v="167.96116504854299"/>
    <n v="5.0388349514563098"/>
    <x v="83"/>
    <n v="58.252427184466001"/>
    <x v="4"/>
  </r>
  <r>
    <x v="632"/>
    <s v="2025-01-11"/>
    <n v="11"/>
    <x v="4"/>
    <n v="2025"/>
    <m/>
    <x v="1"/>
    <n v="276123"/>
    <x v="0"/>
    <x v="0"/>
    <n v="138.83495145630999"/>
    <n v="4.42718446601942"/>
    <x v="267"/>
    <n v="50.485436893203897"/>
    <x v="0"/>
  </r>
  <r>
    <x v="633"/>
    <s v="2025-01-24"/>
    <n v="24"/>
    <x v="4"/>
    <n v="2025"/>
    <m/>
    <x v="1"/>
    <n v="848213"/>
    <x v="0"/>
    <x v="0"/>
    <n v="172.81553398058199"/>
    <n v="5.1844660194174796"/>
    <x v="277"/>
    <n v="56.3106796116505"/>
    <x v="5"/>
  </r>
  <r>
    <x v="634"/>
    <s v="2025-01-03"/>
    <n v="3"/>
    <x v="4"/>
    <n v="2025"/>
    <m/>
    <x v="1"/>
    <n v="207001"/>
    <x v="0"/>
    <x v="0"/>
    <n v="155.339805825242"/>
    <n v="5.2135922330097104"/>
    <x v="232"/>
    <n v="38.834951456310698"/>
    <x v="0"/>
  </r>
  <r>
    <x v="635"/>
    <s v="2025-01-05"/>
    <n v="5"/>
    <x v="4"/>
    <n v="2025"/>
    <m/>
    <x v="1"/>
    <n v="304504"/>
    <x v="0"/>
    <x v="0"/>
    <n v="138.83495145630999"/>
    <n v="4.86407766990291"/>
    <x v="304"/>
    <n v="34.951456310679603"/>
    <x v="15"/>
  </r>
  <r>
    <x v="636"/>
    <s v="2025-01-16"/>
    <n v="16"/>
    <x v="4"/>
    <n v="2025"/>
    <m/>
    <x v="3"/>
    <n v="700016"/>
    <x v="0"/>
    <x v="0"/>
    <n v="175.728155339805"/>
    <n v="5.8252427184466002"/>
    <x v="305"/>
    <n v="40.776699029126199"/>
    <x v="2"/>
  </r>
  <r>
    <x v="637"/>
    <s v="2025-01-02"/>
    <n v="2"/>
    <x v="4"/>
    <n v="2025"/>
    <m/>
    <x v="1"/>
    <n v="110076"/>
    <x v="0"/>
    <x v="0"/>
    <n v="224.27184466019401"/>
    <n v="6.9902912621359201"/>
    <x v="306"/>
    <n v="50.485436893203897"/>
    <x v="9"/>
  </r>
  <r>
    <x v="638"/>
    <s v="2025-01-23"/>
    <n v="23"/>
    <x v="4"/>
    <n v="2025"/>
    <m/>
    <x v="1"/>
    <n v="453112"/>
    <x v="0"/>
    <x v="0"/>
    <n v="194.17475728155301"/>
    <n v="5.8252427184466002"/>
    <x v="275"/>
    <n v="59.223300970873801"/>
    <x v="7"/>
  </r>
  <r>
    <x v="639"/>
    <s v="2025-01-21"/>
    <n v="21"/>
    <x v="4"/>
    <n v="2025"/>
    <m/>
    <x v="1"/>
    <n v="605202"/>
    <x v="0"/>
    <x v="0"/>
    <n v="169.90291262135901"/>
    <n v="5.0970873786407802"/>
    <x v="44"/>
    <n v="59.223300970873801"/>
    <x v="8"/>
  </r>
  <r>
    <x v="640"/>
    <s v="2025-01-18"/>
    <n v="18"/>
    <x v="4"/>
    <n v="2025"/>
    <m/>
    <x v="1"/>
    <n v="835227"/>
    <x v="0"/>
    <x v="0"/>
    <n v="119.417475728155"/>
    <n v="4.1067961165048503"/>
    <x v="56"/>
    <n v="39.805825242718498"/>
    <x v="11"/>
  </r>
  <r>
    <x v="641"/>
    <s v="2025-01-31"/>
    <n v="31"/>
    <x v="4"/>
    <n v="2025"/>
    <m/>
    <x v="0"/>
    <n v="533341"/>
    <x v="0"/>
    <x v="0"/>
    <n v="172.81553398058199"/>
    <n v="5.1844660194174796"/>
    <x v="277"/>
    <n v="56.3106796116505"/>
    <x v="12"/>
  </r>
  <r>
    <x v="642"/>
    <s v="2025-01-09"/>
    <n v="9"/>
    <x v="4"/>
    <n v="2025"/>
    <m/>
    <x v="3"/>
    <n v="531133"/>
    <x v="0"/>
    <x v="0"/>
    <n v="173.78640776699001"/>
    <n v="5.2427184466019403"/>
    <x v="307"/>
    <n v="57.2815533980583"/>
    <x v="12"/>
  </r>
  <r>
    <x v="643"/>
    <s v="2025-01-15"/>
    <n v="15"/>
    <x v="4"/>
    <n v="2025"/>
    <m/>
    <x v="5"/>
    <n v="204101"/>
    <x v="0"/>
    <x v="0"/>
    <n v="150.485436893203"/>
    <n v="5.2427184466019403"/>
    <x v="308"/>
    <n v="33.980582524271803"/>
    <x v="0"/>
  </r>
  <r>
    <x v="644"/>
    <s v="2025-01-18"/>
    <n v="18"/>
    <x v="4"/>
    <n v="2025"/>
    <m/>
    <x v="3"/>
    <n v="576108"/>
    <x v="0"/>
    <x v="0"/>
    <n v="142.718446601941"/>
    <n v="4.8058252427184502"/>
    <x v="120"/>
    <n v="39.805825242718498"/>
    <x v="4"/>
  </r>
  <r>
    <x v="645"/>
    <s v="2025-01-25"/>
    <n v="25"/>
    <x v="4"/>
    <n v="2025"/>
    <m/>
    <x v="1"/>
    <n v="201304"/>
    <x v="0"/>
    <x v="0"/>
    <n v="164.07766990291199"/>
    <n v="5.1844660194174796"/>
    <x v="263"/>
    <n v="47.572815533980602"/>
    <x v="0"/>
  </r>
  <r>
    <x v="646"/>
    <s v="2025-01-18"/>
    <n v="18"/>
    <x v="4"/>
    <n v="2025"/>
    <m/>
    <x v="1"/>
    <n v="844123"/>
    <x v="0"/>
    <x v="0"/>
    <n v="169.90291262135901"/>
    <n v="5.0970873786407802"/>
    <x v="44"/>
    <n v="59.223300970873801"/>
    <x v="5"/>
  </r>
  <r>
    <x v="647"/>
    <s v="2025-01-17"/>
    <n v="17"/>
    <x v="4"/>
    <n v="2025"/>
    <m/>
    <x v="1"/>
    <n v="580024"/>
    <x v="0"/>
    <x v="0"/>
    <n v="194.17475728155301"/>
    <n v="5.8252427184466002"/>
    <x v="275"/>
    <n v="59.223300970873801"/>
    <x v="4"/>
  </r>
  <r>
    <x v="648"/>
    <s v="2025-01-17"/>
    <n v="17"/>
    <x v="4"/>
    <n v="2025"/>
    <m/>
    <x v="1"/>
    <n v="855102"/>
    <x v="0"/>
    <x v="0"/>
    <n v="169.90291262135901"/>
    <n v="5.0970873786407802"/>
    <x v="44"/>
    <n v="59.223300970873801"/>
    <x v="5"/>
  </r>
  <r>
    <x v="649"/>
    <s v="2025-01-28"/>
    <n v="28"/>
    <x v="4"/>
    <n v="2025"/>
    <m/>
    <x v="0"/>
    <n v="757037"/>
    <x v="0"/>
    <x v="0"/>
    <n v="155.339805825242"/>
    <n v="5.1844660194174796"/>
    <x v="309"/>
    <n v="38.834951456310698"/>
    <x v="18"/>
  </r>
  <r>
    <x v="650"/>
    <s v="2025-01-26"/>
    <n v="26"/>
    <x v="4"/>
    <n v="2025"/>
    <m/>
    <x v="1"/>
    <n v="457339"/>
    <x v="0"/>
    <x v="0"/>
    <n v="154.368932038834"/>
    <n v="4.6310679611650496"/>
    <x v="252"/>
    <n v="56.3106796116505"/>
    <x v="7"/>
  </r>
  <r>
    <x v="651"/>
    <s v="2025-01-25"/>
    <n v="25"/>
    <x v="4"/>
    <n v="2025"/>
    <m/>
    <x v="2"/>
    <n v="500019"/>
    <x v="0"/>
    <x v="0"/>
    <n v="149.514563106796"/>
    <n v="4.4854368932038797"/>
    <x v="144"/>
    <n v="57.2815533980583"/>
    <x v="17"/>
  </r>
  <r>
    <x v="652"/>
    <s v="2025-01-01"/>
    <n v="1"/>
    <x v="4"/>
    <n v="2025"/>
    <m/>
    <x v="2"/>
    <n v="124103"/>
    <x v="0"/>
    <x v="0"/>
    <n v="154.368932038834"/>
    <n v="4.6601941747572804"/>
    <x v="310"/>
    <n v="56.3106796116505"/>
    <x v="20"/>
  </r>
  <r>
    <x v="653"/>
    <s v="2025-01-16"/>
    <n v="16"/>
    <x v="4"/>
    <n v="2025"/>
    <m/>
    <x v="1"/>
    <n v="767032"/>
    <x v="0"/>
    <x v="0"/>
    <n v="133.980582524271"/>
    <n v="4.3980582524271803"/>
    <x v="311"/>
    <n v="45.631067961165002"/>
    <x v="18"/>
  </r>
  <r>
    <x v="654"/>
    <s v="2025-01-24"/>
    <n v="24"/>
    <x v="4"/>
    <n v="2025"/>
    <m/>
    <x v="5"/>
    <n v="752091"/>
    <x v="0"/>
    <x v="0"/>
    <n v="155.339805825242"/>
    <n v="5.1844660194174796"/>
    <x v="309"/>
    <n v="38.834951456310698"/>
    <x v="18"/>
  </r>
  <r>
    <x v="655"/>
    <s v="2025-01-25"/>
    <n v="25"/>
    <x v="4"/>
    <n v="2025"/>
    <m/>
    <x v="0"/>
    <n v="535183"/>
    <x v="0"/>
    <x v="0"/>
    <n v="172.81553398058199"/>
    <n v="5.1844660194174796"/>
    <x v="277"/>
    <n v="56.3106796116505"/>
    <x v="12"/>
  </r>
  <r>
    <x v="656"/>
    <s v="2025-01-01"/>
    <n v="1"/>
    <x v="4"/>
    <n v="2025"/>
    <m/>
    <x v="1"/>
    <n v="509001"/>
    <x v="0"/>
    <x v="0"/>
    <n v="212.621359223301"/>
    <n v="6.3786407766990303"/>
    <x v="312"/>
    <n v="57.2815533980583"/>
    <x v="17"/>
  </r>
  <r>
    <x v="657"/>
    <s v="2025-01-30"/>
    <n v="30"/>
    <x v="4"/>
    <n v="2025"/>
    <m/>
    <x v="0"/>
    <n v="384130"/>
    <x v="0"/>
    <x v="0"/>
    <n v="172.81553398058199"/>
    <n v="5.1844660194174796"/>
    <x v="277"/>
    <n v="56.3106796116505"/>
    <x v="1"/>
  </r>
  <r>
    <x v="658"/>
    <s v="2025-01-04"/>
    <n v="4"/>
    <x v="4"/>
    <n v="2025"/>
    <m/>
    <x v="3"/>
    <n v="743329"/>
    <x v="0"/>
    <x v="0"/>
    <n v="164.07766990291199"/>
    <n v="4.8058252427184502"/>
    <x v="313"/>
    <n v="60.194174757281601"/>
    <x v="2"/>
  </r>
  <r>
    <x v="659"/>
    <s v="2025-01-04"/>
    <n v="4"/>
    <x v="4"/>
    <n v="2025"/>
    <m/>
    <x v="3"/>
    <n v="493445"/>
    <x v="0"/>
    <x v="0"/>
    <n v="137.864077669902"/>
    <n v="4.13592233009709"/>
    <x v="162"/>
    <n v="59.223300970873801"/>
    <x v="6"/>
  </r>
  <r>
    <x v="660"/>
    <s v="2025-01-04"/>
    <n v="4"/>
    <x v="4"/>
    <n v="2025"/>
    <m/>
    <x v="3"/>
    <n v="482056"/>
    <x v="0"/>
    <x v="0"/>
    <n v="150.485436893203"/>
    <n v="4.5145631067961203"/>
    <x v="314"/>
    <n v="59.223300970873801"/>
    <x v="7"/>
  </r>
  <r>
    <x v="661"/>
    <s v="2025-01-12"/>
    <n v="12"/>
    <x v="4"/>
    <n v="2025"/>
    <m/>
    <x v="1"/>
    <n v="272153"/>
    <x v="0"/>
    <x v="0"/>
    <n v="138.83495145630999"/>
    <n v="4.42718446601942"/>
    <x v="267"/>
    <n v="50.485436893203897"/>
    <x v="0"/>
  </r>
  <r>
    <x v="662"/>
    <s v="2025-01-10"/>
    <n v="10"/>
    <x v="4"/>
    <n v="2025"/>
    <m/>
    <x v="1"/>
    <n v="248001"/>
    <x v="0"/>
    <x v="0"/>
    <n v="157.28155339805801"/>
    <n v="4.9805825242718402"/>
    <x v="258"/>
    <n v="48.543689320388303"/>
    <x v="16"/>
  </r>
  <r>
    <x v="663"/>
    <s v="2025-01-21"/>
    <n v="21"/>
    <x v="4"/>
    <n v="2025"/>
    <m/>
    <x v="1"/>
    <n v="226016"/>
    <x v="0"/>
    <x v="0"/>
    <n v="167.96116504854299"/>
    <n v="5.8252427184466002"/>
    <x v="293"/>
    <n v="32.038834951456302"/>
    <x v="0"/>
  </r>
  <r>
    <x v="664"/>
    <s v="2025-01-25"/>
    <n v="25"/>
    <x v="4"/>
    <n v="2025"/>
    <m/>
    <x v="1"/>
    <n v="144001"/>
    <x v="0"/>
    <x v="0"/>
    <n v="161.16504854368901"/>
    <n v="5.0970873786407802"/>
    <x v="273"/>
    <n v="50.485436893203897"/>
    <x v="3"/>
  </r>
  <r>
    <x v="665"/>
    <s v="2025-01-15"/>
    <n v="15"/>
    <x v="4"/>
    <n v="2025"/>
    <m/>
    <x v="3"/>
    <n v="332001"/>
    <x v="0"/>
    <x v="0"/>
    <n v="157.28155339805801"/>
    <n v="4.9805825242718402"/>
    <x v="258"/>
    <n v="48.543689320388303"/>
    <x v="15"/>
  </r>
  <r>
    <x v="666"/>
    <s v="2025-01-10"/>
    <n v="10"/>
    <x v="4"/>
    <n v="2025"/>
    <m/>
    <x v="3"/>
    <n v="788101"/>
    <x v="0"/>
    <x v="0"/>
    <n v="188.349514563106"/>
    <n v="5.5339805825242703"/>
    <x v="315"/>
    <n v="77.669902912621396"/>
    <x v="10"/>
  </r>
  <r>
    <x v="667"/>
    <s v="2025-01-23"/>
    <n v="23"/>
    <x v="4"/>
    <n v="2025"/>
    <m/>
    <x v="1"/>
    <n v="852202"/>
    <x v="0"/>
    <x v="0"/>
    <n v="153.39805825242701"/>
    <n v="4.6310679611650496"/>
    <x v="316"/>
    <n v="55.339805825242699"/>
    <x v="5"/>
  </r>
  <r>
    <x v="668"/>
    <s v="2025-01-29"/>
    <n v="29"/>
    <x v="4"/>
    <n v="2025"/>
    <m/>
    <x v="0"/>
    <n v="560026"/>
    <x v="0"/>
    <x v="0"/>
    <n v="168.93203883495099"/>
    <n v="5.0679611650485397"/>
    <x v="204"/>
    <n v="57.2815533980583"/>
    <x v="4"/>
  </r>
  <r>
    <x v="669"/>
    <s v="2025-01-17"/>
    <n v="17"/>
    <x v="4"/>
    <n v="2025"/>
    <m/>
    <x v="5"/>
    <n v="385340"/>
    <x v="0"/>
    <x v="0"/>
    <n v="155.339805825242"/>
    <n v="5.1844660194174796"/>
    <x v="309"/>
    <n v="38.834951456310698"/>
    <x v="1"/>
  </r>
  <r>
    <x v="670"/>
    <s v="2025-01-05"/>
    <n v="5"/>
    <x v="4"/>
    <n v="2025"/>
    <m/>
    <x v="1"/>
    <n v="736182"/>
    <x v="0"/>
    <x v="0"/>
    <n v="154.368932038834"/>
    <n v="4.6310679611650496"/>
    <x v="252"/>
    <n v="57.2815533980583"/>
    <x v="2"/>
  </r>
  <r>
    <x v="671"/>
    <s v="2025-01-04"/>
    <n v="4"/>
    <x v="4"/>
    <n v="2025"/>
    <m/>
    <x v="3"/>
    <n v="273006"/>
    <x v="0"/>
    <x v="0"/>
    <n v="135.92233009708701"/>
    <n v="4.8058252427184502"/>
    <x v="50"/>
    <n v="32.038834951456302"/>
    <x v="0"/>
  </r>
  <r>
    <x v="672"/>
    <s v="2025-01-18"/>
    <n v="18"/>
    <x v="4"/>
    <n v="2025"/>
    <m/>
    <x v="1"/>
    <n v="360510"/>
    <x v="0"/>
    <x v="0"/>
    <n v="147.57281553397999"/>
    <n v="4.42718446601942"/>
    <x v="36"/>
    <n v="59.223300970873801"/>
    <x v="1"/>
  </r>
  <r>
    <x v="673"/>
    <s v="2025-01-15"/>
    <n v="15"/>
    <x v="4"/>
    <n v="2025"/>
    <m/>
    <x v="1"/>
    <n v="442905"/>
    <x v="0"/>
    <x v="0"/>
    <n v="151.45631067961099"/>
    <n v="5.0679611650485397"/>
    <x v="188"/>
    <n v="39.805825242718498"/>
    <x v="13"/>
  </r>
  <r>
    <x v="674"/>
    <s v="2025-01-28"/>
    <n v="28"/>
    <x v="4"/>
    <n v="2025"/>
    <m/>
    <x v="4"/>
    <n v="122002"/>
    <x v="1"/>
    <x v="2"/>
    <n v="91.071428571428598"/>
    <n v="11.785714285714199"/>
    <x v="317"/>
    <n v="43.75"/>
    <x v="20"/>
  </r>
  <r>
    <x v="675"/>
    <s v="2025-01-28"/>
    <n v="28"/>
    <x v="4"/>
    <n v="2025"/>
    <m/>
    <x v="1"/>
    <n v="852201"/>
    <x v="0"/>
    <x v="0"/>
    <n v="119.417475728155"/>
    <n v="4.1067961165048503"/>
    <x v="56"/>
    <n v="39.805825242718498"/>
    <x v="5"/>
  </r>
  <r>
    <x v="676"/>
    <s v="2025-01-05"/>
    <n v="5"/>
    <x v="4"/>
    <n v="2025"/>
    <m/>
    <x v="3"/>
    <n v="516269"/>
    <x v="0"/>
    <x v="0"/>
    <n v="162.135922330097"/>
    <n v="4.86407766990291"/>
    <x v="35"/>
    <n v="58.252427184466001"/>
    <x v="12"/>
  </r>
  <r>
    <x v="677"/>
    <s v="2025-01-24"/>
    <n v="24"/>
    <x v="4"/>
    <n v="2025"/>
    <m/>
    <x v="1"/>
    <n v="743330"/>
    <x v="0"/>
    <x v="0"/>
    <n v="172.81553398058199"/>
    <n v="5.1844660194174796"/>
    <x v="277"/>
    <n v="56.3106796116505"/>
    <x v="2"/>
  </r>
  <r>
    <x v="678"/>
    <s v="2025-01-14"/>
    <n v="14"/>
    <x v="4"/>
    <n v="2025"/>
    <m/>
    <x v="1"/>
    <n v="212301"/>
    <x v="0"/>
    <x v="0"/>
    <n v="166.01941747572801"/>
    <n v="5.2427184466019403"/>
    <x v="248"/>
    <n v="49.514563106796103"/>
    <x v="0"/>
  </r>
  <r>
    <x v="679"/>
    <s v="2025-01-19"/>
    <n v="19"/>
    <x v="4"/>
    <n v="2025"/>
    <m/>
    <x v="5"/>
    <n v="202165"/>
    <x v="0"/>
    <x v="0"/>
    <n v="138.83495145630999"/>
    <n v="4.42718446601942"/>
    <x v="267"/>
    <n v="50.485436893203897"/>
    <x v="0"/>
  </r>
  <r>
    <x v="680"/>
    <s v="2025-01-27"/>
    <n v="27"/>
    <x v="4"/>
    <n v="2025"/>
    <m/>
    <x v="5"/>
    <n v="121005"/>
    <x v="0"/>
    <x v="0"/>
    <n v="115.53398058252399"/>
    <n v="4.1067961165048503"/>
    <x v="318"/>
    <n v="35.922330097087404"/>
    <x v="20"/>
  </r>
  <r>
    <x v="681"/>
    <s v="2025-01-31"/>
    <n v="31"/>
    <x v="4"/>
    <n v="2025"/>
    <m/>
    <x v="0"/>
    <n v="221308"/>
    <x v="0"/>
    <x v="0"/>
    <n v="164.07766990291199"/>
    <n v="5.1844660194174796"/>
    <x v="263"/>
    <n v="47.572815533980602"/>
    <x v="0"/>
  </r>
  <r>
    <x v="682"/>
    <s v="2025-01-24"/>
    <n v="24"/>
    <x v="4"/>
    <n v="2025"/>
    <m/>
    <x v="1"/>
    <n v="752089"/>
    <x v="0"/>
    <x v="0"/>
    <n v="165.04854368932001"/>
    <n v="5.1844660194174796"/>
    <x v="319"/>
    <n v="48.543689320388303"/>
    <x v="18"/>
  </r>
  <r>
    <x v="683"/>
    <s v="2025-01-28"/>
    <n v="28"/>
    <x v="4"/>
    <n v="2025"/>
    <m/>
    <x v="0"/>
    <n v="500037"/>
    <x v="0"/>
    <x v="0"/>
    <n v="160.19417475728099"/>
    <n v="4.8058252427184502"/>
    <x v="116"/>
    <n v="57.2815533980583"/>
    <x v="17"/>
  </r>
  <r>
    <x v="684"/>
    <s v="2025-01-04"/>
    <n v="4"/>
    <x v="4"/>
    <n v="2025"/>
    <m/>
    <x v="1"/>
    <n v="110077"/>
    <x v="0"/>
    <x v="0"/>
    <n v="148.54368932038801"/>
    <n v="4.8058252427184502"/>
    <x v="320"/>
    <n v="44.660194174757301"/>
    <x v="9"/>
  </r>
  <r>
    <x v="685"/>
    <s v="2025-01-18"/>
    <n v="18"/>
    <x v="4"/>
    <n v="2025"/>
    <m/>
    <x v="1"/>
    <n v="759123"/>
    <x v="0"/>
    <x v="0"/>
    <n v="164.07766990291199"/>
    <n v="4.9223300970873796"/>
    <x v="247"/>
    <n v="57.2815533980583"/>
    <x v="18"/>
  </r>
  <r>
    <x v="686"/>
    <s v="2025-01-04"/>
    <n v="4"/>
    <x v="4"/>
    <n v="2025"/>
    <m/>
    <x v="3"/>
    <n v="246446"/>
    <x v="0"/>
    <x v="0"/>
    <n v="153.39805825242701"/>
    <n v="4.8058252427184502"/>
    <x v="272"/>
    <n v="49.514563106796103"/>
    <x v="16"/>
  </r>
  <r>
    <x v="687"/>
    <s v="2025-01-04"/>
    <n v="4"/>
    <x v="4"/>
    <n v="2025"/>
    <m/>
    <x v="3"/>
    <n v="362630"/>
    <x v="0"/>
    <x v="0"/>
    <n v="142.718446601941"/>
    <n v="4.8058252427184502"/>
    <x v="120"/>
    <n v="38.834951456310698"/>
    <x v="1"/>
  </r>
  <r>
    <x v="688"/>
    <s v="2025-01-31"/>
    <n v="31"/>
    <x v="4"/>
    <n v="2025"/>
    <m/>
    <x v="0"/>
    <n v="276001"/>
    <x v="0"/>
    <x v="0"/>
    <n v="164.07766990291199"/>
    <n v="5.1844660194174796"/>
    <x v="263"/>
    <n v="47.572815533980602"/>
    <x v="0"/>
  </r>
  <r>
    <x v="689"/>
    <s v="2025-01-10"/>
    <n v="10"/>
    <x v="4"/>
    <n v="2025"/>
    <m/>
    <x v="2"/>
    <n v="795005"/>
    <x v="0"/>
    <x v="0"/>
    <n v="195.14563106796101"/>
    <n v="5.8543689320388301"/>
    <x v="321"/>
    <n v="78.640776699029104"/>
    <x v="30"/>
  </r>
  <r>
    <x v="690"/>
    <s v="2025-01-04"/>
    <n v="4"/>
    <x v="4"/>
    <n v="2025"/>
    <m/>
    <x v="1"/>
    <n v="396126"/>
    <x v="0"/>
    <x v="0"/>
    <n v="143.68932038834899"/>
    <n v="4.3106796116504897"/>
    <x v="269"/>
    <n v="56.3106796116505"/>
    <x v="1"/>
  </r>
  <r>
    <x v="691"/>
    <s v="2025-01-23"/>
    <n v="23"/>
    <x v="4"/>
    <n v="2025"/>
    <m/>
    <x v="1"/>
    <n v="560026"/>
    <x v="0"/>
    <x v="0"/>
    <n v="168.93203883495099"/>
    <n v="5.0679611650485397"/>
    <x v="204"/>
    <n v="57.2815533980583"/>
    <x v="4"/>
  </r>
  <r>
    <x v="692"/>
    <s v="2025-01-07"/>
    <n v="7"/>
    <x v="4"/>
    <n v="2025"/>
    <m/>
    <x v="2"/>
    <n v="110086"/>
    <x v="0"/>
    <x v="0"/>
    <n v="157.28155339805801"/>
    <n v="4.9805825242718402"/>
    <x v="258"/>
    <n v="48.543689320388303"/>
    <x v="9"/>
  </r>
  <r>
    <x v="693"/>
    <s v="2025-01-11"/>
    <n v="11"/>
    <x v="4"/>
    <n v="2025"/>
    <m/>
    <x v="2"/>
    <n v="799275"/>
    <x v="0"/>
    <x v="0"/>
    <n v="233.009708737864"/>
    <n v="6.9902912621359201"/>
    <x v="211"/>
    <n v="77.669902912621396"/>
    <x v="29"/>
  </r>
  <r>
    <x v="694"/>
    <s v="2025-01-04"/>
    <n v="4"/>
    <x v="4"/>
    <n v="2025"/>
    <m/>
    <x v="1"/>
    <n v="332302"/>
    <x v="0"/>
    <x v="0"/>
    <n v="121.35922330097"/>
    <n v="3.84466019417476"/>
    <x v="322"/>
    <n v="50.485436893203897"/>
    <x v="15"/>
  </r>
  <r>
    <x v="695"/>
    <s v="2025-01-22"/>
    <n v="22"/>
    <x v="4"/>
    <n v="2025"/>
    <m/>
    <x v="1"/>
    <n v="799131"/>
    <x v="0"/>
    <x v="0"/>
    <n v="189.32038834951399"/>
    <n v="5.6796116504854401"/>
    <x v="189"/>
    <n v="78.640776699029104"/>
    <x v="29"/>
  </r>
  <r>
    <x v="696"/>
    <s v="2025-01-15"/>
    <n v="15"/>
    <x v="4"/>
    <n v="2025"/>
    <m/>
    <x v="1"/>
    <n v="273212"/>
    <x v="0"/>
    <x v="0"/>
    <n v="157.28155339805801"/>
    <n v="4.9805825242718402"/>
    <x v="258"/>
    <n v="48.543689320388303"/>
    <x v="0"/>
  </r>
  <r>
    <x v="697"/>
    <s v="2025-01-24"/>
    <n v="24"/>
    <x v="4"/>
    <n v="2025"/>
    <m/>
    <x v="1"/>
    <n v="400053"/>
    <x v="0"/>
    <x v="0"/>
    <n v="155.339805825242"/>
    <n v="5.1844660194174796"/>
    <x v="309"/>
    <n v="38.834951456310698"/>
    <x v="13"/>
  </r>
  <r>
    <x v="698"/>
    <s v="2025-01-02"/>
    <n v="2"/>
    <x v="4"/>
    <n v="2025"/>
    <m/>
    <x v="3"/>
    <n v="532430"/>
    <x v="0"/>
    <x v="0"/>
    <n v="174.757281553398"/>
    <n v="5.2427184466019403"/>
    <x v="126"/>
    <n v="58.252427184466001"/>
    <x v="12"/>
  </r>
  <r>
    <x v="699"/>
    <s v="2025-01-12"/>
    <n v="12"/>
    <x v="4"/>
    <n v="2025"/>
    <m/>
    <x v="3"/>
    <n v="492001"/>
    <x v="0"/>
    <x v="0"/>
    <n v="166.01941747572801"/>
    <n v="4.9805825242718402"/>
    <x v="139"/>
    <n v="57.2815533980583"/>
    <x v="6"/>
  </r>
  <r>
    <x v="700"/>
    <s v="2025-01-23"/>
    <n v="23"/>
    <x v="4"/>
    <n v="2025"/>
    <m/>
    <x v="1"/>
    <n v="822117"/>
    <x v="0"/>
    <x v="0"/>
    <n v="148.54368932038801"/>
    <n v="4.9805825242718402"/>
    <x v="148"/>
    <n v="39.805825242718498"/>
    <x v="11"/>
  </r>
  <r>
    <x v="701"/>
    <s v="2025-01-20"/>
    <n v="20"/>
    <x v="4"/>
    <n v="2025"/>
    <m/>
    <x v="2"/>
    <n v="854108"/>
    <x v="0"/>
    <x v="0"/>
    <n v="169.90291262135901"/>
    <n v="5.0970873786407802"/>
    <x v="44"/>
    <n v="59.223300970873801"/>
    <x v="5"/>
  </r>
  <r>
    <x v="702"/>
    <s v="2025-01-26"/>
    <n v="26"/>
    <x v="4"/>
    <n v="2025"/>
    <m/>
    <x v="0"/>
    <n v="516227"/>
    <x v="0"/>
    <x v="0"/>
    <n v="172.81553398058199"/>
    <n v="5.1844660194174796"/>
    <x v="277"/>
    <n v="56.3106796116505"/>
    <x v="12"/>
  </r>
  <r>
    <x v="703"/>
    <s v="2025-01-11"/>
    <n v="11"/>
    <x v="4"/>
    <n v="2025"/>
    <m/>
    <x v="1"/>
    <n v="825106"/>
    <x v="0"/>
    <x v="0"/>
    <n v="172.81553398058199"/>
    <n v="5.1844660194174796"/>
    <x v="277"/>
    <n v="56.3106796116505"/>
    <x v="11"/>
  </r>
  <r>
    <x v="704"/>
    <s v="2025-01-03"/>
    <n v="3"/>
    <x v="4"/>
    <n v="2025"/>
    <m/>
    <x v="3"/>
    <n v="415639"/>
    <x v="0"/>
    <x v="0"/>
    <n v="137.864077669902"/>
    <n v="4.6893203883495103"/>
    <x v="237"/>
    <n v="40.776699029126199"/>
    <x v="13"/>
  </r>
  <r>
    <x v="705"/>
    <s v="2025-01-25"/>
    <n v="25"/>
    <x v="4"/>
    <n v="2025"/>
    <m/>
    <x v="2"/>
    <n v="712407"/>
    <x v="0"/>
    <x v="0"/>
    <n v="136.893203883495"/>
    <n v="4.6310679611650496"/>
    <x v="135"/>
    <n v="38.834951456310698"/>
    <x v="2"/>
  </r>
  <r>
    <x v="706"/>
    <s v="2025-01-07"/>
    <n v="7"/>
    <x v="4"/>
    <n v="2025"/>
    <m/>
    <x v="1"/>
    <n v="401208"/>
    <x v="0"/>
    <x v="0"/>
    <n v="142.718446601941"/>
    <n v="4.8058252427184502"/>
    <x v="120"/>
    <n v="39.805825242718498"/>
    <x v="13"/>
  </r>
  <r>
    <x v="707"/>
    <s v="2025-01-14"/>
    <n v="14"/>
    <x v="4"/>
    <n v="2025"/>
    <m/>
    <x v="3"/>
    <n v="223224"/>
    <x v="0"/>
    <x v="0"/>
    <n v="133.980582524271"/>
    <n v="4.6310679611650496"/>
    <x v="323"/>
    <n v="36.893203883495197"/>
    <x v="0"/>
  </r>
  <r>
    <x v="708"/>
    <s v="2025-01-17"/>
    <n v="17"/>
    <x v="4"/>
    <n v="2025"/>
    <m/>
    <x v="1"/>
    <n v="222203"/>
    <x v="0"/>
    <x v="0"/>
    <n v="169.90291262135901"/>
    <n v="5.0970873786407802"/>
    <x v="44"/>
    <n v="59.223300970873801"/>
    <x v="0"/>
  </r>
  <r>
    <x v="709"/>
    <s v="2025-01-31"/>
    <n v="31"/>
    <x v="4"/>
    <n v="2025"/>
    <m/>
    <x v="0"/>
    <n v="670309"/>
    <x v="0"/>
    <x v="0"/>
    <n v="155.339805825242"/>
    <n v="5.1844660194174796"/>
    <x v="309"/>
    <n v="38.834951456310698"/>
    <x v="24"/>
  </r>
  <r>
    <x v="710"/>
    <s v="2025-01-18"/>
    <n v="18"/>
    <x v="4"/>
    <n v="2025"/>
    <m/>
    <x v="3"/>
    <n v="591102"/>
    <x v="0"/>
    <x v="0"/>
    <n v="169.90291262135901"/>
    <n v="5.0970873786407802"/>
    <x v="44"/>
    <n v="59.223300970873801"/>
    <x v="4"/>
  </r>
  <r>
    <x v="711"/>
    <s v="2025-01-28"/>
    <n v="28"/>
    <x v="4"/>
    <n v="2025"/>
    <m/>
    <x v="2"/>
    <n v="486669"/>
    <x v="0"/>
    <x v="0"/>
    <n v="170.873786407767"/>
    <n v="5.1262135922330101"/>
    <x v="214"/>
    <n v="59.223300970873801"/>
    <x v="7"/>
  </r>
  <r>
    <x v="712"/>
    <s v="2025-01-01"/>
    <n v="1"/>
    <x v="4"/>
    <n v="2025"/>
    <m/>
    <x v="3"/>
    <n v="272155"/>
    <x v="0"/>
    <x v="0"/>
    <n v="147.57281553397999"/>
    <n v="4.6893203883495103"/>
    <x v="233"/>
    <n v="49.514563106796103"/>
    <x v="0"/>
  </r>
  <r>
    <x v="713"/>
    <s v="2025-01-02"/>
    <n v="2"/>
    <x v="4"/>
    <n v="2025"/>
    <m/>
    <x v="1"/>
    <n v="847122"/>
    <x v="0"/>
    <x v="0"/>
    <n v="147.57281553397999"/>
    <n v="4.42718446601942"/>
    <x v="36"/>
    <n v="59.223300970873801"/>
    <x v="5"/>
  </r>
  <r>
    <x v="714"/>
    <s v="2025-01-19"/>
    <n v="19"/>
    <x v="4"/>
    <n v="2025"/>
    <m/>
    <x v="3"/>
    <n v="461775"/>
    <x v="0"/>
    <x v="0"/>
    <n v="146.601941747572"/>
    <n v="4.3980582524271803"/>
    <x v="242"/>
    <n v="58.252427184466001"/>
    <x v="7"/>
  </r>
  <r>
    <x v="715"/>
    <s v="2025-01-05"/>
    <n v="5"/>
    <x v="4"/>
    <n v="2025"/>
    <m/>
    <x v="1"/>
    <n v="577229"/>
    <x v="0"/>
    <x v="0"/>
    <n v="162.135922330097"/>
    <n v="4.86407766990291"/>
    <x v="35"/>
    <n v="58.252427184466001"/>
    <x v="4"/>
  </r>
  <r>
    <x v="716"/>
    <s v="2025-01-22"/>
    <n v="22"/>
    <x v="4"/>
    <n v="2025"/>
    <m/>
    <x v="5"/>
    <n v="825301"/>
    <x v="0"/>
    <x v="0"/>
    <n v="164.07766990291199"/>
    <n v="4.9223300970873796"/>
    <x v="247"/>
    <n v="57.2815533980583"/>
    <x v="11"/>
  </r>
  <r>
    <x v="717"/>
    <s v="2025-01-19"/>
    <n v="19"/>
    <x v="4"/>
    <n v="2025"/>
    <m/>
    <x v="6"/>
    <n v="273202"/>
    <x v="0"/>
    <x v="0"/>
    <n v="162.135922330097"/>
    <n v="5.1262135922330101"/>
    <x v="324"/>
    <n v="50.485436893203897"/>
    <x v="0"/>
  </r>
  <r>
    <x v="718"/>
    <s v="2025-01-16"/>
    <n v="16"/>
    <x v="4"/>
    <n v="2025"/>
    <m/>
    <x v="1"/>
    <n v="770042"/>
    <x v="0"/>
    <x v="0"/>
    <n v="169.90291262135901"/>
    <n v="5.0970873786407802"/>
    <x v="44"/>
    <n v="59.223300970873801"/>
    <x v="18"/>
  </r>
  <r>
    <x v="719"/>
    <s v="2025-01-03"/>
    <n v="3"/>
    <x v="4"/>
    <n v="2025"/>
    <m/>
    <x v="1"/>
    <n v="121102"/>
    <x v="0"/>
    <x v="0"/>
    <n v="152.42718446601901"/>
    <n v="5.2427184466019403"/>
    <x v="325"/>
    <n v="35.922330097087404"/>
    <x v="20"/>
  </r>
  <r>
    <x v="720"/>
    <s v="2025-01-26"/>
    <n v="26"/>
    <x v="4"/>
    <n v="2025"/>
    <m/>
    <x v="1"/>
    <n v="497111"/>
    <x v="0"/>
    <x v="0"/>
    <n v="154.368932038834"/>
    <n v="4.6310679611650496"/>
    <x v="252"/>
    <n v="56.3106796116505"/>
    <x v="6"/>
  </r>
  <r>
    <x v="721"/>
    <s v="2025-01-14"/>
    <n v="14"/>
    <x v="4"/>
    <n v="2025"/>
    <m/>
    <x v="1"/>
    <n v="222161"/>
    <x v="0"/>
    <x v="0"/>
    <n v="131.06796116504799"/>
    <n v="4.6310679611650496"/>
    <x v="326"/>
    <n v="33.980582524271803"/>
    <x v="0"/>
  </r>
  <r>
    <x v="722"/>
    <s v="2025-01-04"/>
    <n v="4"/>
    <x v="4"/>
    <n v="2025"/>
    <m/>
    <x v="3"/>
    <n v="621716"/>
    <x v="0"/>
    <x v="0"/>
    <n v="119.417475728155"/>
    <n v="4.13592233009709"/>
    <x v="327"/>
    <n v="40.776699029126199"/>
    <x v="8"/>
  </r>
  <r>
    <x v="723"/>
    <s v="2025-01-04"/>
    <n v="4"/>
    <x v="4"/>
    <n v="2025"/>
    <m/>
    <x v="5"/>
    <n v="815353"/>
    <x v="0"/>
    <x v="0"/>
    <n v="142.718446601941"/>
    <n v="4.8058252427184502"/>
    <x v="120"/>
    <n v="38.834951456310698"/>
    <x v="11"/>
  </r>
  <r>
    <x v="724"/>
    <s v="2025-01-05"/>
    <n v="5"/>
    <x v="4"/>
    <n v="2025"/>
    <m/>
    <x v="3"/>
    <n v="276123"/>
    <x v="0"/>
    <x v="0"/>
    <n v="153.39805825242701"/>
    <n v="4.86407766990291"/>
    <x v="281"/>
    <n v="49.514563106796103"/>
    <x v="28"/>
  </r>
  <r>
    <x v="725"/>
    <s v="2025-01-24"/>
    <n v="24"/>
    <x v="4"/>
    <n v="2025"/>
    <m/>
    <x v="2"/>
    <n v="276139"/>
    <x v="0"/>
    <x v="0"/>
    <n v="185.43689320388299"/>
    <n v="5.8252427184466002"/>
    <x v="268"/>
    <n v="50.485436893203897"/>
    <x v="0"/>
  </r>
  <r>
    <x v="726"/>
    <s v="2025-01-23"/>
    <n v="23"/>
    <x v="4"/>
    <n v="2025"/>
    <m/>
    <x v="1"/>
    <n v="561203"/>
    <x v="0"/>
    <x v="0"/>
    <n v="167.96116504854299"/>
    <n v="5.1844660194174796"/>
    <x v="328"/>
    <n v="51.456310679611697"/>
    <x v="4"/>
  </r>
  <r>
    <x v="727"/>
    <s v="2025-01-19"/>
    <n v="19"/>
    <x v="4"/>
    <n v="2025"/>
    <m/>
    <x v="3"/>
    <n v="231221"/>
    <x v="0"/>
    <x v="0"/>
    <n v="161.16504854368901"/>
    <n v="5.0970873786407802"/>
    <x v="273"/>
    <n v="50.485436893203897"/>
    <x v="0"/>
  </r>
  <r>
    <x v="728"/>
    <s v="2025-02-02"/>
    <n v="2"/>
    <x v="5"/>
    <n v="2025"/>
    <m/>
    <x v="2"/>
    <n v="562159"/>
    <x v="0"/>
    <x v="0"/>
    <n v="150.485436893203"/>
    <n v="4.5145631067961203"/>
    <x v="314"/>
    <n v="57.2815533980583"/>
    <x v="4"/>
  </r>
  <r>
    <x v="168"/>
    <s v="2024-11-19"/>
    <n v="19"/>
    <x v="2"/>
    <n v="2024"/>
    <m/>
    <x v="3"/>
    <n v="208013"/>
    <x v="0"/>
    <x v="0"/>
    <n v="0"/>
    <n v="0"/>
    <x v="329"/>
    <n v="-24.271844660194201"/>
    <x v="0"/>
  </r>
  <r>
    <x v="729"/>
    <s v="2025-02-13"/>
    <n v="13"/>
    <x v="5"/>
    <n v="2025"/>
    <m/>
    <x v="1"/>
    <n v="626114"/>
    <x v="0"/>
    <x v="0"/>
    <n v="172.81553398058199"/>
    <n v="5.1844660194174796"/>
    <x v="277"/>
    <n v="56.3106796116505"/>
    <x v="8"/>
  </r>
  <r>
    <x v="730"/>
    <s v="2025-02-13"/>
    <n v="13"/>
    <x v="5"/>
    <n v="2025"/>
    <m/>
    <x v="1"/>
    <n v="626114"/>
    <x v="0"/>
    <x v="0"/>
    <n v="172.81553398058199"/>
    <n v="5.1844660194174796"/>
    <x v="277"/>
    <n v="56.3106796116505"/>
    <x v="8"/>
  </r>
  <r>
    <x v="731"/>
    <s v="2025-02-16"/>
    <n v="16"/>
    <x v="5"/>
    <n v="2025"/>
    <m/>
    <x v="1"/>
    <n v="486001"/>
    <x v="0"/>
    <x v="0"/>
    <n v="166.01941747572801"/>
    <n v="5.0970873786407802"/>
    <x v="276"/>
    <n v="55.339805825242699"/>
    <x v="7"/>
  </r>
  <r>
    <x v="732"/>
    <s v="2025-02-13"/>
    <n v="13"/>
    <x v="5"/>
    <n v="2025"/>
    <m/>
    <x v="1"/>
    <n v="845306"/>
    <x v="0"/>
    <x v="0"/>
    <n v="136.893203883495"/>
    <n v="4.6310679611650496"/>
    <x v="135"/>
    <n v="38.834951456310698"/>
    <x v="5"/>
  </r>
  <r>
    <x v="733"/>
    <s v="2025-02-08"/>
    <n v="8"/>
    <x v="5"/>
    <n v="2025"/>
    <m/>
    <x v="1"/>
    <n v="456010"/>
    <x v="0"/>
    <x v="0"/>
    <n v="155.339805825242"/>
    <n v="5.1844660194174796"/>
    <x v="309"/>
    <n v="38.834951456310698"/>
    <x v="7"/>
  </r>
  <r>
    <x v="734"/>
    <s v="2025-02-16"/>
    <n v="16"/>
    <x v="5"/>
    <n v="2025"/>
    <m/>
    <x v="5"/>
    <n v="284003"/>
    <x v="0"/>
    <x v="0"/>
    <n v="136.893203883495"/>
    <n v="4.8058252427184502"/>
    <x v="330"/>
    <n v="33.980582524271803"/>
    <x v="0"/>
  </r>
  <r>
    <x v="735"/>
    <s v="2025-02-17"/>
    <n v="17"/>
    <x v="5"/>
    <n v="2025"/>
    <m/>
    <x v="1"/>
    <n v="229301"/>
    <x v="0"/>
    <x v="0"/>
    <n v="131.06796116504799"/>
    <n v="4.6310679611650496"/>
    <x v="326"/>
    <n v="33.009708737864102"/>
    <x v="0"/>
  </r>
  <r>
    <x v="736"/>
    <s v="2025-02-09"/>
    <n v="9"/>
    <x v="5"/>
    <n v="2025"/>
    <m/>
    <x v="3"/>
    <n v="221003"/>
    <x v="0"/>
    <x v="0"/>
    <n v="151.45631067961099"/>
    <n v="4.8058252427184502"/>
    <x v="183"/>
    <n v="48.543689320388303"/>
    <x v="0"/>
  </r>
  <r>
    <x v="182"/>
    <s v="2024-11-16"/>
    <n v="16"/>
    <x v="2"/>
    <n v="2024"/>
    <m/>
    <x v="3"/>
    <n v="845401"/>
    <x v="0"/>
    <x v="0"/>
    <n v="0"/>
    <n v="0"/>
    <x v="329"/>
    <n v="-1.9417475728155"/>
    <x v="5"/>
  </r>
  <r>
    <x v="737"/>
    <s v="2025-02-16"/>
    <n v="16"/>
    <x v="5"/>
    <n v="2025"/>
    <m/>
    <x v="1"/>
    <n v="285001"/>
    <x v="0"/>
    <x v="0"/>
    <n v="145.631067961165"/>
    <n v="4.6310679611650496"/>
    <x v="280"/>
    <n v="47.572815533980602"/>
    <x v="0"/>
  </r>
  <r>
    <x v="738"/>
    <s v="2025-02-02"/>
    <n v="2"/>
    <x v="5"/>
    <n v="2025"/>
    <m/>
    <x v="2"/>
    <n v="176051"/>
    <x v="0"/>
    <x v="0"/>
    <n v="152.42718446601901"/>
    <n v="4.8349514563106801"/>
    <x v="331"/>
    <n v="47.572815533980602"/>
    <x v="14"/>
  </r>
  <r>
    <x v="739"/>
    <s v="2025-02-06"/>
    <n v="6"/>
    <x v="5"/>
    <n v="2025"/>
    <m/>
    <x v="1"/>
    <n v="121007"/>
    <x v="0"/>
    <x v="0"/>
    <n v="164.07766990291199"/>
    <n v="5.1844660194174796"/>
    <x v="263"/>
    <n v="47.572815533980602"/>
    <x v="20"/>
  </r>
  <r>
    <x v="740"/>
    <s v="2025-02-25"/>
    <n v="25"/>
    <x v="5"/>
    <n v="2025"/>
    <m/>
    <x v="0"/>
    <n v="272162"/>
    <x v="0"/>
    <x v="0"/>
    <n v="168.93203883495099"/>
    <n v="5.3300970873786397"/>
    <x v="332"/>
    <n v="47.572815533980602"/>
    <x v="0"/>
  </r>
  <r>
    <x v="741"/>
    <s v="2025-02-14"/>
    <n v="14"/>
    <x v="5"/>
    <n v="2025"/>
    <m/>
    <x v="1"/>
    <n v="122015"/>
    <x v="0"/>
    <x v="0"/>
    <n v="147.57281553397999"/>
    <n v="5.0970873786407802"/>
    <x v="301"/>
    <n v="36.893203883495197"/>
    <x v="20"/>
  </r>
  <r>
    <x v="742"/>
    <s v="2025-02-02"/>
    <n v="2"/>
    <x v="5"/>
    <n v="2025"/>
    <m/>
    <x v="2"/>
    <n v="152128"/>
    <x v="0"/>
    <x v="0"/>
    <n v="137.864077669902"/>
    <n v="4.3398058252427196"/>
    <x v="333"/>
    <n v="49.514563106796103"/>
    <x v="3"/>
  </r>
  <r>
    <x v="743"/>
    <s v="2025-02-26"/>
    <n v="26"/>
    <x v="5"/>
    <n v="2025"/>
    <m/>
    <x v="0"/>
    <n v="445001"/>
    <x v="0"/>
    <x v="0"/>
    <n v="156.31067961164999"/>
    <n v="4.6893203883495103"/>
    <x v="19"/>
    <n v="59.223300970873801"/>
    <x v="13"/>
  </r>
  <r>
    <x v="744"/>
    <s v="2025-02-13"/>
    <n v="13"/>
    <x v="5"/>
    <n v="2025"/>
    <m/>
    <x v="2"/>
    <n v="284404"/>
    <x v="0"/>
    <x v="0"/>
    <n v="138.83495145630999"/>
    <n v="4.42718446601942"/>
    <x v="267"/>
    <n v="50.485436893203897"/>
    <x v="0"/>
  </r>
  <r>
    <x v="745"/>
    <s v="2025-02-02"/>
    <n v="2"/>
    <x v="5"/>
    <n v="2025"/>
    <m/>
    <x v="1"/>
    <n v="333032"/>
    <x v="0"/>
    <x v="0"/>
    <n v="154.368932038834"/>
    <n v="4.8349514563106801"/>
    <x v="99"/>
    <n v="49.514563106796103"/>
    <x v="15"/>
  </r>
  <r>
    <x v="746"/>
    <s v="2025-02-02"/>
    <n v="2"/>
    <x v="5"/>
    <n v="2025"/>
    <m/>
    <x v="1"/>
    <n v="735222"/>
    <x v="0"/>
    <x v="0"/>
    <n v="144.66019417475701"/>
    <n v="4.3398058252427196"/>
    <x v="234"/>
    <n v="56.3106796116505"/>
    <x v="2"/>
  </r>
  <r>
    <x v="191"/>
    <s v="2024-11-15"/>
    <n v="15"/>
    <x v="2"/>
    <n v="2024"/>
    <m/>
    <x v="3"/>
    <n v="143507"/>
    <x v="2"/>
    <x v="2"/>
    <n v="0"/>
    <n v="0"/>
    <x v="329"/>
    <n v="-8.0357142857143007"/>
    <x v="3"/>
  </r>
  <r>
    <x v="747"/>
    <s v="2025-02-24"/>
    <n v="24"/>
    <x v="5"/>
    <n v="2025"/>
    <m/>
    <x v="0"/>
    <n v="133302"/>
    <x v="0"/>
    <x v="0"/>
    <n v="84.466019417475707"/>
    <n v="3.1747572815534002"/>
    <x v="334"/>
    <n v="36.893203883495197"/>
    <x v="20"/>
  </r>
  <r>
    <x v="748"/>
    <s v="2025-02-11"/>
    <n v="11"/>
    <x v="5"/>
    <n v="2025"/>
    <m/>
    <x v="1"/>
    <n v="222148"/>
    <x v="0"/>
    <x v="0"/>
    <n v="161.16504854368901"/>
    <n v="5.0970873786407802"/>
    <x v="273"/>
    <n v="50.485436893203897"/>
    <x v="0"/>
  </r>
  <r>
    <x v="749"/>
    <s v="2025-02-07"/>
    <n v="7"/>
    <x v="5"/>
    <n v="2025"/>
    <m/>
    <x v="1"/>
    <n v="533229"/>
    <x v="0"/>
    <x v="0"/>
    <n v="170.873786407767"/>
    <n v="5.1262135922330101"/>
    <x v="214"/>
    <n v="54.368932038834998"/>
    <x v="12"/>
  </r>
  <r>
    <x v="750"/>
    <s v="2025-02-16"/>
    <n v="16"/>
    <x v="5"/>
    <n v="2025"/>
    <m/>
    <x v="1"/>
    <n v="342603"/>
    <x v="0"/>
    <x v="0"/>
    <n v="172.81553398058199"/>
    <n v="5.1844660194174796"/>
    <x v="277"/>
    <n v="56.3106796116505"/>
    <x v="15"/>
  </r>
  <r>
    <x v="145"/>
    <s v="2024-10-31"/>
    <n v="31"/>
    <x v="1"/>
    <n v="2024"/>
    <m/>
    <x v="4"/>
    <n v="123401"/>
    <x v="0"/>
    <x v="0"/>
    <n v="0"/>
    <n v="0"/>
    <x v="329"/>
    <n v="-6.7961165048543997"/>
    <x v="20"/>
  </r>
  <r>
    <x v="751"/>
    <s v="2025-02-02"/>
    <n v="2"/>
    <x v="5"/>
    <n v="2025"/>
    <m/>
    <x v="1"/>
    <n v="821108"/>
    <x v="0"/>
    <x v="0"/>
    <n v="161.16504854368901"/>
    <n v="4.8349514563106801"/>
    <x v="108"/>
    <n v="56.3106796116505"/>
    <x v="5"/>
  </r>
  <r>
    <x v="752"/>
    <s v="2025-02-19"/>
    <n v="19"/>
    <x v="5"/>
    <n v="2025"/>
    <m/>
    <x v="3"/>
    <n v="410503"/>
    <x v="0"/>
    <x v="0"/>
    <n v="209.70873786407699"/>
    <n v="6.29126213592233"/>
    <x v="335"/>
    <n v="59.223300970873801"/>
    <x v="13"/>
  </r>
  <r>
    <x v="753"/>
    <s v="2025-02-08"/>
    <n v="8"/>
    <x v="5"/>
    <n v="2025"/>
    <m/>
    <x v="1"/>
    <n v="110044"/>
    <x v="0"/>
    <x v="0"/>
    <n v="151.45631067961099"/>
    <n v="4.8058252427184502"/>
    <x v="183"/>
    <n v="48.543689320388303"/>
    <x v="9"/>
  </r>
  <r>
    <x v="109"/>
    <s v="2024-10-23"/>
    <n v="23"/>
    <x v="1"/>
    <n v="2024"/>
    <m/>
    <x v="3"/>
    <n v="141016"/>
    <x v="0"/>
    <x v="0"/>
    <n v="0"/>
    <n v="0"/>
    <x v="329"/>
    <n v="-9.7087378640776993"/>
    <x v="3"/>
  </r>
  <r>
    <x v="754"/>
    <s v="2025-02-13"/>
    <n v="13"/>
    <x v="5"/>
    <n v="2025"/>
    <m/>
    <x v="5"/>
    <n v="212601"/>
    <x v="0"/>
    <x v="0"/>
    <n v="145.631067961165"/>
    <n v="5.0679611650485397"/>
    <x v="336"/>
    <n v="33.980582524271803"/>
    <x v="0"/>
  </r>
  <r>
    <x v="755"/>
    <s v="2025-02-23"/>
    <n v="23"/>
    <x v="5"/>
    <n v="2025"/>
    <m/>
    <x v="3"/>
    <n v="769001"/>
    <x v="0"/>
    <x v="0"/>
    <n v="177.66990291262101"/>
    <n v="5.3300970873786397"/>
    <x v="240"/>
    <n v="56.3106796116505"/>
    <x v="18"/>
  </r>
  <r>
    <x v="756"/>
    <s v="2025-02-03"/>
    <n v="3"/>
    <x v="5"/>
    <n v="2025"/>
    <m/>
    <x v="2"/>
    <n v="782445"/>
    <x v="0"/>
    <x v="0"/>
    <n v="172.81553398058199"/>
    <n v="5.1844660194174796"/>
    <x v="277"/>
    <n v="74.757281553398101"/>
    <x v="10"/>
  </r>
  <r>
    <x v="757"/>
    <s v="2025-02-07"/>
    <n v="7"/>
    <x v="5"/>
    <n v="2025"/>
    <m/>
    <x v="1"/>
    <n v="272302"/>
    <x v="0"/>
    <x v="0"/>
    <n v="155.339805825242"/>
    <n v="4.8932038834951497"/>
    <x v="337"/>
    <n v="46.601941747572802"/>
    <x v="0"/>
  </r>
  <r>
    <x v="758"/>
    <s v="2025-02-16"/>
    <n v="16"/>
    <x v="5"/>
    <n v="2025"/>
    <m/>
    <x v="1"/>
    <n v="813210"/>
    <x v="0"/>
    <x v="0"/>
    <n v="154.368932038834"/>
    <n v="4.6310679611650496"/>
    <x v="252"/>
    <n v="56.3106796116505"/>
    <x v="5"/>
  </r>
  <r>
    <x v="759"/>
    <s v="2025-02-02"/>
    <n v="2"/>
    <x v="5"/>
    <n v="2025"/>
    <m/>
    <x v="2"/>
    <n v="123001"/>
    <x v="0"/>
    <x v="0"/>
    <n v="154.368932038834"/>
    <n v="4.8349514563106801"/>
    <x v="99"/>
    <n v="49.514563106796103"/>
    <x v="20"/>
  </r>
  <r>
    <x v="760"/>
    <s v="2025-02-08"/>
    <n v="8"/>
    <x v="5"/>
    <n v="2025"/>
    <m/>
    <x v="1"/>
    <n v="814112"/>
    <x v="0"/>
    <x v="0"/>
    <n v="170.873786407767"/>
    <n v="5.1262135922330101"/>
    <x v="214"/>
    <n v="54.368932038834998"/>
    <x v="11"/>
  </r>
  <r>
    <x v="761"/>
    <s v="2025-02-06"/>
    <n v="6"/>
    <x v="5"/>
    <n v="2025"/>
    <m/>
    <x v="3"/>
    <n v="389120"/>
    <x v="0"/>
    <x v="0"/>
    <n v="154.368932038834"/>
    <n v="4.6310679611650496"/>
    <x v="252"/>
    <n v="56.3106796116505"/>
    <x v="1"/>
  </r>
  <r>
    <x v="88"/>
    <s v="2024-10-24"/>
    <n v="24"/>
    <x v="1"/>
    <n v="2024"/>
    <m/>
    <x v="3"/>
    <n v="144211"/>
    <x v="0"/>
    <x v="0"/>
    <n v="0"/>
    <n v="0"/>
    <x v="329"/>
    <n v="-6.7961165048543997"/>
    <x v="3"/>
  </r>
  <r>
    <x v="762"/>
    <s v="2025-02-17"/>
    <n v="17"/>
    <x v="5"/>
    <n v="2025"/>
    <m/>
    <x v="1"/>
    <n v="457001"/>
    <x v="0"/>
    <x v="0"/>
    <n v="155.339805825242"/>
    <n v="5.1844660194174796"/>
    <x v="309"/>
    <n v="38.834951456310698"/>
    <x v="7"/>
  </r>
  <r>
    <x v="53"/>
    <s v="2024-10-21"/>
    <n v="21"/>
    <x v="1"/>
    <n v="2024"/>
    <m/>
    <x v="3"/>
    <n v="572137"/>
    <x v="0"/>
    <x v="0"/>
    <n v="0"/>
    <n v="0"/>
    <x v="329"/>
    <n v="-5.8252427184466002"/>
    <x v="4"/>
  </r>
  <r>
    <x v="120"/>
    <s v="2024-10-30"/>
    <n v="30"/>
    <x v="1"/>
    <n v="2024"/>
    <m/>
    <x v="3"/>
    <n v="271855"/>
    <x v="0"/>
    <x v="0"/>
    <n v="0"/>
    <n v="0"/>
    <x v="329"/>
    <n v="-9.7087378640776993"/>
    <x v="0"/>
  </r>
  <r>
    <x v="763"/>
    <s v="2025-02-10"/>
    <n v="10"/>
    <x v="5"/>
    <n v="2025"/>
    <m/>
    <x v="1"/>
    <n v="734003"/>
    <x v="0"/>
    <x v="0"/>
    <n v="169.90291262135901"/>
    <n v="5.0970873786407802"/>
    <x v="44"/>
    <n v="59.223300970873801"/>
    <x v="2"/>
  </r>
  <r>
    <x v="764"/>
    <s v="2025-02-14"/>
    <n v="14"/>
    <x v="5"/>
    <n v="2025"/>
    <m/>
    <x v="1"/>
    <n v="261001"/>
    <x v="0"/>
    <x v="0"/>
    <n v="164.07766990291199"/>
    <n v="5.1844660194174796"/>
    <x v="263"/>
    <n v="47.572815533980602"/>
    <x v="0"/>
  </r>
  <r>
    <x v="765"/>
    <s v="2025-02-15"/>
    <n v="15"/>
    <x v="5"/>
    <n v="2025"/>
    <m/>
    <x v="1"/>
    <n v="462044"/>
    <x v="0"/>
    <x v="0"/>
    <n v="172.81553398058199"/>
    <n v="5.1844660194174796"/>
    <x v="277"/>
    <n v="56.3106796116505"/>
    <x v="7"/>
  </r>
  <r>
    <x v="766"/>
    <s v="2025-02-13"/>
    <n v="13"/>
    <x v="5"/>
    <n v="2025"/>
    <m/>
    <x v="1"/>
    <n v="394210"/>
    <x v="0"/>
    <x v="0"/>
    <n v="107.766990291262"/>
    <n v="3.78640776699029"/>
    <x v="338"/>
    <n v="40.776699029126199"/>
    <x v="1"/>
  </r>
  <r>
    <x v="16"/>
    <s v="2024-10-24"/>
    <n v="24"/>
    <x v="1"/>
    <n v="2024"/>
    <m/>
    <x v="3"/>
    <n v="201102"/>
    <x v="0"/>
    <x v="0"/>
    <n v="0"/>
    <n v="0"/>
    <x v="329"/>
    <n v="-9.7087378640776993"/>
    <x v="0"/>
  </r>
  <r>
    <x v="767"/>
    <s v="2025-02-01"/>
    <n v="1"/>
    <x v="5"/>
    <n v="2025"/>
    <m/>
    <x v="1"/>
    <n v="390010"/>
    <x v="0"/>
    <x v="0"/>
    <n v="147.57281553397999"/>
    <n v="4.42718446601942"/>
    <x v="36"/>
    <n v="59.223300970873801"/>
    <x v="1"/>
  </r>
  <r>
    <x v="212"/>
    <s v="2024-11-09"/>
    <n v="9"/>
    <x v="2"/>
    <n v="2024"/>
    <m/>
    <x v="3"/>
    <n v="160101"/>
    <x v="0"/>
    <x v="0"/>
    <n v="0"/>
    <n v="0"/>
    <x v="329"/>
    <n v="-9.7087378640776993"/>
    <x v="22"/>
  </r>
  <r>
    <x v="768"/>
    <s v="2025-02-01"/>
    <n v="1"/>
    <x v="5"/>
    <n v="2025"/>
    <m/>
    <x v="1"/>
    <n v="301019"/>
    <x v="0"/>
    <x v="0"/>
    <n v="167.96116504854299"/>
    <n v="5.1844660194174796"/>
    <x v="328"/>
    <n v="51.456310679611697"/>
    <x v="15"/>
  </r>
  <r>
    <x v="769"/>
    <s v="2025-02-06"/>
    <n v="6"/>
    <x v="5"/>
    <n v="2025"/>
    <m/>
    <x v="3"/>
    <n v="143501"/>
    <x v="0"/>
    <x v="0"/>
    <n v="164.07766990291199"/>
    <n v="5.1844660194174796"/>
    <x v="263"/>
    <n v="47.572815533980602"/>
    <x v="3"/>
  </r>
  <r>
    <x v="770"/>
    <s v="2025-02-02"/>
    <n v="2"/>
    <x v="5"/>
    <n v="2025"/>
    <m/>
    <x v="1"/>
    <n v="829210"/>
    <x v="0"/>
    <x v="0"/>
    <n v="143.68932038834899"/>
    <n v="4.8349514563106801"/>
    <x v="339"/>
    <n v="38.834951456310698"/>
    <x v="11"/>
  </r>
  <r>
    <x v="771"/>
    <s v="2025-02-01"/>
    <n v="1"/>
    <x v="5"/>
    <n v="2025"/>
    <m/>
    <x v="1"/>
    <n v="110084"/>
    <x v="0"/>
    <x v="0"/>
    <n v="145.631067961165"/>
    <n v="4.6310679611650496"/>
    <x v="280"/>
    <n v="47.572815533980602"/>
    <x v="9"/>
  </r>
  <r>
    <x v="772"/>
    <s v="2025-02-09"/>
    <n v="9"/>
    <x v="5"/>
    <n v="2025"/>
    <m/>
    <x v="3"/>
    <n v="518502"/>
    <x v="0"/>
    <x v="0"/>
    <n v="170.873786407767"/>
    <n v="5.1262135922330101"/>
    <x v="214"/>
    <n v="59.223300970873801"/>
    <x v="12"/>
  </r>
  <r>
    <x v="773"/>
    <s v="2025-02-08"/>
    <n v="8"/>
    <x v="5"/>
    <n v="2025"/>
    <m/>
    <x v="2"/>
    <n v="843129"/>
    <x v="0"/>
    <x v="0"/>
    <n v="169.90291262135901"/>
    <n v="5.0970873786407802"/>
    <x v="44"/>
    <n v="59.223300970873801"/>
    <x v="5"/>
  </r>
  <r>
    <x v="774"/>
    <s v="2025-02-02"/>
    <n v="2"/>
    <x v="5"/>
    <n v="2025"/>
    <m/>
    <x v="2"/>
    <n v="761035"/>
    <x v="0"/>
    <x v="0"/>
    <n v="161.16504854368901"/>
    <n v="4.8349514563106801"/>
    <x v="108"/>
    <n v="56.3106796116505"/>
    <x v="18"/>
  </r>
  <r>
    <x v="775"/>
    <s v="2025-02-07"/>
    <n v="7"/>
    <x v="5"/>
    <n v="2025"/>
    <m/>
    <x v="3"/>
    <n v="786614"/>
    <x v="3"/>
    <x v="2"/>
    <n v="161.60714285714201"/>
    <n v="19.3928571428571"/>
    <x v="340"/>
    <n v="67.857142857142904"/>
    <x v="10"/>
  </r>
  <r>
    <x v="776"/>
    <s v="2025-02-16"/>
    <n v="16"/>
    <x v="5"/>
    <n v="2025"/>
    <m/>
    <x v="3"/>
    <n v="486001"/>
    <x v="0"/>
    <x v="0"/>
    <n v="166.01941747572801"/>
    <n v="5.0970873786407802"/>
    <x v="276"/>
    <n v="55.339805825242699"/>
    <x v="7"/>
  </r>
  <r>
    <x v="777"/>
    <s v="2025-02-02"/>
    <n v="2"/>
    <x v="5"/>
    <n v="2025"/>
    <m/>
    <x v="1"/>
    <n v="484771"/>
    <x v="0"/>
    <x v="0"/>
    <n v="156.31067961164999"/>
    <n v="4.8349514563106801"/>
    <x v="341"/>
    <n v="51.456310679611697"/>
    <x v="7"/>
  </r>
  <r>
    <x v="778"/>
    <s v="2025-02-23"/>
    <n v="23"/>
    <x v="5"/>
    <n v="2025"/>
    <m/>
    <x v="4"/>
    <n v="140201"/>
    <x v="0"/>
    <x v="0"/>
    <n v="146.601941747572"/>
    <n v="4.6601941747572804"/>
    <x v="342"/>
    <n v="52.427184466019398"/>
    <x v="3"/>
  </r>
  <r>
    <x v="779"/>
    <s v="2025-02-12"/>
    <n v="12"/>
    <x v="5"/>
    <n v="2025"/>
    <m/>
    <x v="1"/>
    <n v="209861"/>
    <x v="0"/>
    <x v="0"/>
    <n v="164.07766990291199"/>
    <n v="5.1844660194174796"/>
    <x v="263"/>
    <n v="47.572815533980602"/>
    <x v="0"/>
  </r>
  <r>
    <x v="15"/>
    <s v="2024-10-13"/>
    <n v="13"/>
    <x v="1"/>
    <n v="2024"/>
    <m/>
    <x v="3"/>
    <n v="700041"/>
    <x v="0"/>
    <x v="0"/>
    <n v="0"/>
    <n v="0"/>
    <x v="329"/>
    <n v="-18.446601941747598"/>
    <x v="2"/>
  </r>
  <r>
    <x v="780"/>
    <s v="2025-02-02"/>
    <n v="2"/>
    <x v="5"/>
    <n v="2025"/>
    <m/>
    <x v="1"/>
    <n v="828202"/>
    <x v="0"/>
    <x v="0"/>
    <n v="127.184466019417"/>
    <n v="4.3398058252427196"/>
    <x v="343"/>
    <n v="38.834951456310698"/>
    <x v="11"/>
  </r>
  <r>
    <x v="781"/>
    <s v="2025-02-14"/>
    <n v="14"/>
    <x v="5"/>
    <n v="2025"/>
    <m/>
    <x v="3"/>
    <n v="676101"/>
    <x v="0"/>
    <x v="0"/>
    <n v="134.95145631067899"/>
    <n v="4.0485436893203897"/>
    <x v="344"/>
    <n v="67.961165048543705"/>
    <x v="24"/>
  </r>
  <r>
    <x v="782"/>
    <s v="2025-02-02"/>
    <n v="2"/>
    <x v="5"/>
    <n v="2025"/>
    <m/>
    <x v="2"/>
    <n v="395013"/>
    <x v="0"/>
    <x v="0"/>
    <n v="161.16504854368901"/>
    <n v="4.8349514563106801"/>
    <x v="108"/>
    <n v="56.3106796116505"/>
    <x v="1"/>
  </r>
  <r>
    <x v="783"/>
    <s v="2025-02-25"/>
    <n v="25"/>
    <x v="5"/>
    <n v="2025"/>
    <m/>
    <x v="0"/>
    <n v="682010"/>
    <x v="0"/>
    <x v="0"/>
    <n v="143.68932038834899"/>
    <n v="4.9514563106796103"/>
    <x v="345"/>
    <n v="48.543689320388303"/>
    <x v="24"/>
  </r>
  <r>
    <x v="784"/>
    <s v="2025-02-11"/>
    <n v="11"/>
    <x v="5"/>
    <n v="2025"/>
    <m/>
    <x v="1"/>
    <n v="812006"/>
    <x v="0"/>
    <x v="0"/>
    <n v="147.57281553397999"/>
    <n v="4.42718446601942"/>
    <x v="36"/>
    <n v="59.223300970873801"/>
    <x v="5"/>
  </r>
  <r>
    <x v="785"/>
    <s v="2025-02-08"/>
    <n v="8"/>
    <x v="5"/>
    <n v="2025"/>
    <m/>
    <x v="3"/>
    <n v="274501"/>
    <x v="0"/>
    <x v="0"/>
    <n v="163.106796116504"/>
    <n v="5.1262135922330101"/>
    <x v="346"/>
    <n v="46.601941747572802"/>
    <x v="0"/>
  </r>
  <r>
    <x v="786"/>
    <s v="2025-02-13"/>
    <n v="13"/>
    <x v="5"/>
    <n v="2025"/>
    <m/>
    <x v="1"/>
    <n v="734003"/>
    <x v="0"/>
    <x v="0"/>
    <n v="194.17475728155301"/>
    <n v="5.8252427184466002"/>
    <x v="275"/>
    <n v="59.223300970873801"/>
    <x v="2"/>
  </r>
  <r>
    <x v="787"/>
    <s v="2025-02-12"/>
    <n v="12"/>
    <x v="5"/>
    <n v="2025"/>
    <m/>
    <x v="1"/>
    <n v="281501"/>
    <x v="0"/>
    <x v="0"/>
    <n v="164.07766990291199"/>
    <n v="5.1844660194174796"/>
    <x v="263"/>
    <n v="47.572815533980602"/>
    <x v="0"/>
  </r>
  <r>
    <x v="788"/>
    <s v="2025-02-11"/>
    <n v="11"/>
    <x v="5"/>
    <n v="2025"/>
    <m/>
    <x v="1"/>
    <n v="221603"/>
    <x v="0"/>
    <x v="0"/>
    <n v="157.28155339805801"/>
    <n v="4.9805825242718402"/>
    <x v="258"/>
    <n v="48.543689320388303"/>
    <x v="0"/>
  </r>
  <r>
    <x v="789"/>
    <s v="2025-02-09"/>
    <n v="9"/>
    <x v="5"/>
    <n v="2025"/>
    <m/>
    <x v="1"/>
    <n v="695002"/>
    <x v="0"/>
    <x v="0"/>
    <n v="149.514563106796"/>
    <n v="5.0679611650485397"/>
    <x v="347"/>
    <n v="46.601941747572802"/>
    <x v="24"/>
  </r>
  <r>
    <x v="790"/>
    <s v="2025-02-17"/>
    <n v="17"/>
    <x v="5"/>
    <n v="2025"/>
    <m/>
    <x v="1"/>
    <n v="413216"/>
    <x v="0"/>
    <x v="0"/>
    <n v="172.81553398058199"/>
    <n v="5.1844660194174796"/>
    <x v="277"/>
    <n v="56.3106796116505"/>
    <x v="13"/>
  </r>
  <r>
    <x v="65"/>
    <s v="2024-10-24"/>
    <n v="24"/>
    <x v="1"/>
    <n v="2024"/>
    <m/>
    <x v="3"/>
    <n v="301701"/>
    <x v="0"/>
    <x v="0"/>
    <n v="0"/>
    <n v="0"/>
    <x v="329"/>
    <n v="-6.7961165048543997"/>
    <x v="15"/>
  </r>
  <r>
    <x v="791"/>
    <s v="2025-02-08"/>
    <n v="8"/>
    <x v="5"/>
    <n v="2025"/>
    <m/>
    <x v="5"/>
    <n v="324002"/>
    <x v="0"/>
    <x v="0"/>
    <n v="164.07766990291199"/>
    <n v="5.1844660194174796"/>
    <x v="263"/>
    <n v="47.572815533980602"/>
    <x v="15"/>
  </r>
  <r>
    <x v="792"/>
    <s v="2025-02-11"/>
    <n v="11"/>
    <x v="5"/>
    <n v="2025"/>
    <m/>
    <x v="2"/>
    <n v="803101"/>
    <x v="0"/>
    <x v="0"/>
    <n v="147.57281553397999"/>
    <n v="4.42718446601942"/>
    <x v="36"/>
    <n v="59.223300970873801"/>
    <x v="5"/>
  </r>
  <r>
    <x v="793"/>
    <s v="2025-02-10"/>
    <n v="10"/>
    <x v="5"/>
    <n v="2025"/>
    <m/>
    <x v="1"/>
    <n v="852139"/>
    <x v="0"/>
    <x v="0"/>
    <n v="172.81553398058199"/>
    <n v="5.1844660194174796"/>
    <x v="277"/>
    <n v="56.3106796116505"/>
    <x v="5"/>
  </r>
  <r>
    <x v="794"/>
    <s v="2025-02-17"/>
    <n v="17"/>
    <x v="5"/>
    <n v="2025"/>
    <m/>
    <x v="1"/>
    <n v="110085"/>
    <x v="0"/>
    <x v="0"/>
    <n v="200"/>
    <n v="6.6407766990291304"/>
    <x v="348"/>
    <n v="34.951456310679603"/>
    <x v="9"/>
  </r>
  <r>
    <x v="795"/>
    <s v="2025-02-16"/>
    <n v="16"/>
    <x v="5"/>
    <n v="2025"/>
    <m/>
    <x v="1"/>
    <n v="600118"/>
    <x v="0"/>
    <x v="0"/>
    <n v="160.19417475728099"/>
    <n v="4.8058252427184502"/>
    <x v="116"/>
    <n v="57.2815533980583"/>
    <x v="8"/>
  </r>
  <r>
    <x v="796"/>
    <s v="2025-02-15"/>
    <n v="15"/>
    <x v="5"/>
    <n v="2025"/>
    <m/>
    <x v="1"/>
    <n v="497111"/>
    <x v="0"/>
    <x v="0"/>
    <n v="154.368932038834"/>
    <n v="4.6310679611650496"/>
    <x v="252"/>
    <n v="56.3106796116505"/>
    <x v="6"/>
  </r>
  <r>
    <x v="797"/>
    <s v="2025-02-06"/>
    <n v="6"/>
    <x v="5"/>
    <n v="2025"/>
    <m/>
    <x v="1"/>
    <n v="222170"/>
    <x v="0"/>
    <x v="0"/>
    <n v="145.631067961165"/>
    <n v="4.6310679611650496"/>
    <x v="280"/>
    <n v="47.572815533980602"/>
    <x v="0"/>
  </r>
  <r>
    <x v="798"/>
    <s v="2025-02-13"/>
    <n v="13"/>
    <x v="5"/>
    <n v="2025"/>
    <m/>
    <x v="1"/>
    <n v="123029"/>
    <x v="0"/>
    <x v="0"/>
    <n v="150.485436893203"/>
    <n v="5.1844660194174796"/>
    <x v="349"/>
    <n v="33.980582524271803"/>
    <x v="20"/>
  </r>
  <r>
    <x v="799"/>
    <s v="2025-02-15"/>
    <n v="15"/>
    <x v="5"/>
    <n v="2025"/>
    <m/>
    <x v="1"/>
    <n v="224001"/>
    <x v="0"/>
    <x v="0"/>
    <n v="164.07766990291199"/>
    <n v="5.1844660194174796"/>
    <x v="263"/>
    <n v="47.572815533980602"/>
    <x v="0"/>
  </r>
  <r>
    <x v="800"/>
    <s v="2025-02-16"/>
    <n v="16"/>
    <x v="5"/>
    <n v="2025"/>
    <m/>
    <x v="1"/>
    <n v="609108"/>
    <x v="0"/>
    <x v="0"/>
    <n v="154.368932038834"/>
    <n v="4.6310679611650496"/>
    <x v="252"/>
    <n v="56.3106796116505"/>
    <x v="8"/>
  </r>
  <r>
    <x v="801"/>
    <s v="2025-02-05"/>
    <n v="5"/>
    <x v="5"/>
    <n v="2025"/>
    <m/>
    <x v="1"/>
    <n v="232331"/>
    <x v="0"/>
    <x v="0"/>
    <n v="164.07766990291199"/>
    <n v="5.1844660194174796"/>
    <x v="263"/>
    <n v="47.572815533980602"/>
    <x v="0"/>
  </r>
  <r>
    <x v="802"/>
    <s v="2025-02-15"/>
    <n v="15"/>
    <x v="5"/>
    <n v="2025"/>
    <m/>
    <x v="1"/>
    <n v="110032"/>
    <x v="0"/>
    <x v="0"/>
    <n v="164.07766990291199"/>
    <n v="5.1844660194174796"/>
    <x v="263"/>
    <n v="47.572815533980602"/>
    <x v="9"/>
  </r>
  <r>
    <x v="803"/>
    <s v="2025-02-01"/>
    <n v="1"/>
    <x v="5"/>
    <n v="2025"/>
    <m/>
    <x v="1"/>
    <n v="816104"/>
    <x v="0"/>
    <x v="0"/>
    <n v="172.81553398058199"/>
    <n v="5.1844660194174796"/>
    <x v="277"/>
    <n v="56.3106796116505"/>
    <x v="11"/>
  </r>
  <r>
    <x v="804"/>
    <s v="2025-02-13"/>
    <n v="13"/>
    <x v="5"/>
    <n v="2025"/>
    <m/>
    <x v="1"/>
    <n v="413716"/>
    <x v="0"/>
    <x v="0"/>
    <n v="169.90291262135901"/>
    <n v="5.0970873786407802"/>
    <x v="44"/>
    <n v="59.223300970873801"/>
    <x v="13"/>
  </r>
  <r>
    <x v="805"/>
    <s v="2025-02-02"/>
    <n v="2"/>
    <x v="5"/>
    <n v="2025"/>
    <m/>
    <x v="5"/>
    <n v="695002"/>
    <x v="0"/>
    <x v="0"/>
    <n v="139.80582524271799"/>
    <n v="4.7766990291262097"/>
    <x v="350"/>
    <n v="46.601941747572802"/>
    <x v="24"/>
  </r>
  <r>
    <x v="806"/>
    <s v="2025-02-12"/>
    <n v="12"/>
    <x v="5"/>
    <n v="2025"/>
    <m/>
    <x v="1"/>
    <n v="226014"/>
    <x v="0"/>
    <x v="0"/>
    <n v="160.19417475728099"/>
    <n v="5.1844660194174796"/>
    <x v="351"/>
    <n v="43.6893203883495"/>
    <x v="0"/>
  </r>
  <r>
    <x v="807"/>
    <s v="2025-02-14"/>
    <n v="14"/>
    <x v="5"/>
    <n v="2025"/>
    <m/>
    <x v="1"/>
    <n v="273015"/>
    <x v="0"/>
    <x v="0"/>
    <n v="149.514563106796"/>
    <n v="5.1844660194174796"/>
    <x v="352"/>
    <n v="33.009708737864102"/>
    <x v="0"/>
  </r>
  <r>
    <x v="808"/>
    <s v="2025-02-04"/>
    <n v="4"/>
    <x v="5"/>
    <n v="2025"/>
    <m/>
    <x v="2"/>
    <n v="208013"/>
    <x v="0"/>
    <x v="0"/>
    <n v="164.07766990291199"/>
    <n v="5.1844660194174796"/>
    <x v="263"/>
    <n v="47.572815533980602"/>
    <x v="0"/>
  </r>
  <r>
    <x v="809"/>
    <s v="2025-02-02"/>
    <n v="2"/>
    <x v="5"/>
    <n v="2025"/>
    <m/>
    <x v="1"/>
    <n v="821108"/>
    <x v="0"/>
    <x v="0"/>
    <n v="161.16504854368901"/>
    <n v="4.8349514563106801"/>
    <x v="108"/>
    <n v="56.3106796116505"/>
    <x v="5"/>
  </r>
  <r>
    <x v="810"/>
    <s v="2025-02-08"/>
    <n v="8"/>
    <x v="5"/>
    <n v="2025"/>
    <m/>
    <x v="1"/>
    <n v="843326"/>
    <x v="0"/>
    <x v="0"/>
    <n v="170.873786407767"/>
    <n v="5.1262135922330101"/>
    <x v="214"/>
    <n v="54.368932038834998"/>
    <x v="5"/>
  </r>
  <r>
    <x v="811"/>
    <s v="2025-02-19"/>
    <n v="19"/>
    <x v="5"/>
    <n v="2025"/>
    <m/>
    <x v="3"/>
    <n v="244223"/>
    <x v="0"/>
    <x v="0"/>
    <n v="151.45631067961099"/>
    <n v="4.8058252427184502"/>
    <x v="183"/>
    <n v="48.543689320388303"/>
    <x v="0"/>
  </r>
  <r>
    <x v="812"/>
    <s v="2025-02-05"/>
    <n v="5"/>
    <x v="5"/>
    <n v="2025"/>
    <m/>
    <x v="1"/>
    <n v="852215"/>
    <x v="0"/>
    <x v="0"/>
    <n v="154.368932038834"/>
    <n v="4.6310679611650496"/>
    <x v="252"/>
    <n v="56.3106796116505"/>
    <x v="5"/>
  </r>
  <r>
    <x v="813"/>
    <s v="2025-02-24"/>
    <n v="24"/>
    <x v="5"/>
    <n v="2025"/>
    <m/>
    <x v="6"/>
    <n v="227808"/>
    <x v="0"/>
    <x v="0"/>
    <n v="207.766990291262"/>
    <n v="6.6699029126213603"/>
    <x v="353"/>
    <n v="42.7184466019418"/>
    <x v="0"/>
  </r>
  <r>
    <x v="814"/>
    <s v="2025-02-09"/>
    <n v="9"/>
    <x v="5"/>
    <n v="2025"/>
    <m/>
    <x v="1"/>
    <n v="160019"/>
    <x v="0"/>
    <x v="0"/>
    <n v="145.631067961165"/>
    <n v="4.6310679611650496"/>
    <x v="280"/>
    <n v="47.572815533980602"/>
    <x v="22"/>
  </r>
  <r>
    <x v="29"/>
    <s v="2024-10-24"/>
    <n v="24"/>
    <x v="1"/>
    <n v="2024"/>
    <m/>
    <x v="3"/>
    <n v="221010"/>
    <x v="0"/>
    <x v="0"/>
    <n v="0"/>
    <n v="0"/>
    <x v="329"/>
    <n v="-9.7087378640776993"/>
    <x v="0"/>
  </r>
  <r>
    <x v="815"/>
    <s v="2025-02-15"/>
    <n v="15"/>
    <x v="5"/>
    <n v="2025"/>
    <m/>
    <x v="1"/>
    <n v="421306"/>
    <x v="0"/>
    <x v="0"/>
    <n v="172.81553398058199"/>
    <n v="5.1844660194174796"/>
    <x v="277"/>
    <n v="56.3106796116505"/>
    <x v="13"/>
  </r>
  <r>
    <x v="816"/>
    <s v="2025-02-02"/>
    <n v="2"/>
    <x v="5"/>
    <n v="2025"/>
    <m/>
    <x v="3"/>
    <n v="246763"/>
    <x v="0"/>
    <x v="0"/>
    <n v="133.980582524271"/>
    <n v="4.1650485436893199"/>
    <x v="354"/>
    <n v="54.368932038834998"/>
    <x v="0"/>
  </r>
  <r>
    <x v="817"/>
    <s v="2025-02-14"/>
    <n v="14"/>
    <x v="5"/>
    <n v="2025"/>
    <m/>
    <x v="1"/>
    <n v="250404"/>
    <x v="0"/>
    <x v="0"/>
    <n v="138.83495145630999"/>
    <n v="4.42718446601942"/>
    <x v="267"/>
    <n v="50.485436893203897"/>
    <x v="0"/>
  </r>
  <r>
    <x v="818"/>
    <s v="2025-02-04"/>
    <n v="4"/>
    <x v="5"/>
    <n v="2025"/>
    <m/>
    <x v="2"/>
    <n v="272271"/>
    <x v="0"/>
    <x v="0"/>
    <n v="164.07766990291199"/>
    <n v="5.1844660194174796"/>
    <x v="263"/>
    <n v="47.572815533980602"/>
    <x v="0"/>
  </r>
  <r>
    <x v="819"/>
    <s v="2025-02-02"/>
    <n v="2"/>
    <x v="5"/>
    <n v="2025"/>
    <m/>
    <x v="1"/>
    <n v="204101"/>
    <x v="0"/>
    <x v="0"/>
    <n v="135.92233009708701"/>
    <n v="4.3398058252427196"/>
    <x v="355"/>
    <n v="47.572815533980602"/>
    <x v="0"/>
  </r>
  <r>
    <x v="820"/>
    <s v="2025-02-11"/>
    <n v="11"/>
    <x v="5"/>
    <n v="2025"/>
    <m/>
    <x v="1"/>
    <n v="313031"/>
    <x v="0"/>
    <x v="0"/>
    <n v="145.631067961165"/>
    <n v="4.6310679611650496"/>
    <x v="280"/>
    <n v="47.572815533980602"/>
    <x v="15"/>
  </r>
  <r>
    <x v="821"/>
    <s v="2025-02-01"/>
    <n v="1"/>
    <x v="5"/>
    <n v="2025"/>
    <m/>
    <x v="1"/>
    <n v="226021"/>
    <x v="0"/>
    <x v="0"/>
    <n v="143.68932038834899"/>
    <n v="5.0679611650485397"/>
    <x v="356"/>
    <n v="32.038834951456302"/>
    <x v="0"/>
  </r>
  <r>
    <x v="822"/>
    <s v="2025-02-02"/>
    <n v="2"/>
    <x v="5"/>
    <n v="2025"/>
    <m/>
    <x v="1"/>
    <n v="243724"/>
    <x v="0"/>
    <x v="0"/>
    <n v="121.35922330097"/>
    <n v="4.3398058252427196"/>
    <x v="357"/>
    <n v="33.009708737864102"/>
    <x v="0"/>
  </r>
  <r>
    <x v="823"/>
    <s v="2025-02-22"/>
    <n v="22"/>
    <x v="5"/>
    <n v="2025"/>
    <m/>
    <x v="2"/>
    <n v="813210"/>
    <x v="0"/>
    <x v="0"/>
    <n v="177.66990291262101"/>
    <n v="5.3300970873786397"/>
    <x v="240"/>
    <n v="56.3106796116505"/>
    <x v="5"/>
  </r>
  <r>
    <x v="824"/>
    <s v="2025-02-03"/>
    <n v="3"/>
    <x v="5"/>
    <n v="2025"/>
    <m/>
    <x v="1"/>
    <n v="410513"/>
    <x v="0"/>
    <x v="0"/>
    <n v="172.81553398058199"/>
    <n v="5.1844660194174796"/>
    <x v="277"/>
    <n v="56.3106796116505"/>
    <x v="13"/>
  </r>
  <r>
    <x v="825"/>
    <s v="2025-02-12"/>
    <n v="12"/>
    <x v="5"/>
    <n v="2025"/>
    <m/>
    <x v="1"/>
    <n v="782435"/>
    <x v="0"/>
    <x v="0"/>
    <n v="189.32038834951399"/>
    <n v="5.6796116504854401"/>
    <x v="189"/>
    <n v="78.640776699029104"/>
    <x v="10"/>
  </r>
  <r>
    <x v="826"/>
    <s v="2025-02-08"/>
    <n v="8"/>
    <x v="5"/>
    <n v="2025"/>
    <m/>
    <x v="3"/>
    <n v="571313"/>
    <x v="0"/>
    <x v="0"/>
    <n v="147.57281553397999"/>
    <n v="4.42718446601942"/>
    <x v="36"/>
    <n v="59.223300970873801"/>
    <x v="4"/>
  </r>
  <r>
    <x v="827"/>
    <s v="2025-02-10"/>
    <n v="10"/>
    <x v="5"/>
    <n v="2025"/>
    <m/>
    <x v="1"/>
    <n v="132105"/>
    <x v="0"/>
    <x v="0"/>
    <n v="161.16504854368901"/>
    <n v="5.0970873786407802"/>
    <x v="273"/>
    <n v="50.485436893203897"/>
    <x v="20"/>
  </r>
  <r>
    <x v="828"/>
    <s v="2025-02-10"/>
    <n v="10"/>
    <x v="5"/>
    <n v="2025"/>
    <m/>
    <x v="1"/>
    <n v="495001"/>
    <x v="0"/>
    <x v="0"/>
    <n v="172.81553398058199"/>
    <n v="5.1844660194174796"/>
    <x v="277"/>
    <n v="56.3106796116505"/>
    <x v="6"/>
  </r>
  <r>
    <x v="829"/>
    <s v="2025-02-15"/>
    <n v="15"/>
    <x v="5"/>
    <n v="2025"/>
    <m/>
    <x v="5"/>
    <n v="431009"/>
    <x v="0"/>
    <x v="0"/>
    <n v="172.81553398058199"/>
    <n v="5.1844660194174796"/>
    <x v="277"/>
    <n v="56.3106796116505"/>
    <x v="13"/>
  </r>
  <r>
    <x v="830"/>
    <s v="2025-02-01"/>
    <n v="1"/>
    <x v="5"/>
    <n v="2025"/>
    <m/>
    <x v="1"/>
    <n v="248121"/>
    <x v="0"/>
    <x v="0"/>
    <n v="164.07766990291199"/>
    <n v="5.1844660194174796"/>
    <x v="263"/>
    <n v="47.572815533980602"/>
    <x v="16"/>
  </r>
  <r>
    <x v="72"/>
    <s v="2024-10-24"/>
    <n v="24"/>
    <x v="1"/>
    <n v="2024"/>
    <m/>
    <x v="3"/>
    <n v="301701"/>
    <x v="0"/>
    <x v="0"/>
    <n v="0"/>
    <n v="0"/>
    <x v="329"/>
    <n v="-6.7961165048543997"/>
    <x v="15"/>
  </r>
  <r>
    <x v="831"/>
    <s v="2025-02-02"/>
    <n v="2"/>
    <x v="5"/>
    <n v="2025"/>
    <m/>
    <x v="1"/>
    <n v="324010"/>
    <x v="0"/>
    <x v="0"/>
    <n v="136.893203883495"/>
    <n v="4.3689320388349504"/>
    <x v="358"/>
    <n v="49.514563106796103"/>
    <x v="15"/>
  </r>
  <r>
    <x v="266"/>
    <s v="2024-11-15"/>
    <n v="15"/>
    <x v="2"/>
    <n v="2024"/>
    <m/>
    <x v="3"/>
    <n v="140603"/>
    <x v="0"/>
    <x v="0"/>
    <n v="0"/>
    <n v="0"/>
    <x v="329"/>
    <n v="-9.7087378640776993"/>
    <x v="3"/>
  </r>
  <r>
    <x v="832"/>
    <s v="2025-02-24"/>
    <n v="24"/>
    <x v="5"/>
    <n v="2025"/>
    <m/>
    <x v="3"/>
    <n v="277401"/>
    <x v="0"/>
    <x v="0"/>
    <n v="151.45631067961099"/>
    <n v="4.8058252427184502"/>
    <x v="183"/>
    <n v="47.572815533980602"/>
    <x v="0"/>
  </r>
  <r>
    <x v="833"/>
    <s v="2025-02-22"/>
    <n v="22"/>
    <x v="5"/>
    <n v="2025"/>
    <m/>
    <x v="3"/>
    <n v="783337"/>
    <x v="0"/>
    <x v="0"/>
    <n v="171.844660194174"/>
    <n v="5.8834951456310698"/>
    <x v="359"/>
    <n v="50.485436893203897"/>
    <x v="10"/>
  </r>
  <r>
    <x v="834"/>
    <s v="2025-02-03"/>
    <n v="3"/>
    <x v="5"/>
    <n v="2025"/>
    <m/>
    <x v="1"/>
    <n v="321602"/>
    <x v="0"/>
    <x v="0"/>
    <n v="166.01941747572801"/>
    <n v="5.2427184466019403"/>
    <x v="248"/>
    <n v="48.543689320388303"/>
    <x v="15"/>
  </r>
  <r>
    <x v="835"/>
    <s v="2025-02-08"/>
    <n v="8"/>
    <x v="5"/>
    <n v="2025"/>
    <m/>
    <x v="1"/>
    <n v="273013"/>
    <x v="0"/>
    <x v="0"/>
    <n v="164.07766990291199"/>
    <n v="5.1844660194174796"/>
    <x v="263"/>
    <n v="47.572815533980602"/>
    <x v="0"/>
  </r>
  <r>
    <x v="836"/>
    <s v="2025-02-01"/>
    <n v="1"/>
    <x v="5"/>
    <n v="2025"/>
    <m/>
    <x v="1"/>
    <n v="516329"/>
    <x v="0"/>
    <x v="0"/>
    <n v="172.81553398058199"/>
    <n v="5.1844660194174796"/>
    <x v="277"/>
    <n v="56.3106796116505"/>
    <x v="12"/>
  </r>
  <r>
    <x v="837"/>
    <s v="2025-02-27"/>
    <n v="27"/>
    <x v="5"/>
    <n v="2025"/>
    <m/>
    <x v="3"/>
    <n v="769001"/>
    <x v="0"/>
    <x v="0"/>
    <n v="177.66990291262101"/>
    <n v="5.3300970873786397"/>
    <x v="240"/>
    <n v="56.3106796116505"/>
    <x v="18"/>
  </r>
  <r>
    <x v="838"/>
    <s v="2025-02-14"/>
    <n v="14"/>
    <x v="5"/>
    <n v="2025"/>
    <m/>
    <x v="3"/>
    <n v="275201"/>
    <x v="0"/>
    <x v="0"/>
    <n v="138.83495145630999"/>
    <n v="4.42718446601942"/>
    <x v="267"/>
    <n v="50.485436893203897"/>
    <x v="0"/>
  </r>
  <r>
    <x v="67"/>
    <s v="2024-10-31"/>
    <n v="31"/>
    <x v="1"/>
    <n v="2024"/>
    <m/>
    <x v="3"/>
    <n v="110053"/>
    <x v="0"/>
    <x v="0"/>
    <n v="0"/>
    <n v="0"/>
    <x v="329"/>
    <n v="-9.7087378640776993"/>
    <x v="9"/>
  </r>
  <r>
    <x v="839"/>
    <s v="2025-02-10"/>
    <n v="10"/>
    <x v="5"/>
    <n v="2025"/>
    <m/>
    <x v="1"/>
    <n v="495001"/>
    <x v="0"/>
    <x v="0"/>
    <n v="200.970873786407"/>
    <n v="6.5825242718446599"/>
    <x v="224"/>
    <n v="39.805825242718498"/>
    <x v="6"/>
  </r>
  <r>
    <x v="122"/>
    <s v="2024-10-23"/>
    <n v="23"/>
    <x v="1"/>
    <n v="2024"/>
    <m/>
    <x v="3"/>
    <n v="444704"/>
    <x v="0"/>
    <x v="0"/>
    <n v="0"/>
    <n v="0"/>
    <x v="329"/>
    <n v="-20.3883495145631"/>
    <x v="13"/>
  </r>
  <r>
    <x v="157"/>
    <s v="2024-11-07"/>
    <n v="7"/>
    <x v="2"/>
    <n v="2024"/>
    <m/>
    <x v="3"/>
    <n v="151207"/>
    <x v="0"/>
    <x v="0"/>
    <n v="0"/>
    <n v="0"/>
    <x v="329"/>
    <n v="-9.7087378640776993"/>
    <x v="3"/>
  </r>
  <r>
    <x v="840"/>
    <s v="2025-02-16"/>
    <n v="16"/>
    <x v="5"/>
    <n v="2025"/>
    <m/>
    <x v="1"/>
    <n v="276303"/>
    <x v="0"/>
    <x v="0"/>
    <n v="164.07766990291199"/>
    <n v="5.1844660194174796"/>
    <x v="263"/>
    <n v="47.572815533980602"/>
    <x v="0"/>
  </r>
  <r>
    <x v="841"/>
    <s v="2025-02-27"/>
    <n v="27"/>
    <x v="5"/>
    <n v="2025"/>
    <m/>
    <x v="0"/>
    <n v="761108"/>
    <x v="0"/>
    <x v="0"/>
    <n v="177.66990291262101"/>
    <n v="5.3300970873786397"/>
    <x v="240"/>
    <n v="56.3106796116505"/>
    <x v="18"/>
  </r>
  <r>
    <x v="842"/>
    <s v="2025-02-19"/>
    <n v="19"/>
    <x v="5"/>
    <n v="2025"/>
    <m/>
    <x v="1"/>
    <n v="226002"/>
    <x v="0"/>
    <x v="0"/>
    <n v="81.553398058252398"/>
    <n v="3.23300970873786"/>
    <x v="360"/>
    <n v="33.009708737864102"/>
    <x v="0"/>
  </r>
  <r>
    <x v="336"/>
    <s v="2024-11-08"/>
    <n v="8"/>
    <x v="2"/>
    <n v="2024"/>
    <m/>
    <x v="3"/>
    <n v="232102"/>
    <x v="0"/>
    <x v="0"/>
    <n v="0"/>
    <n v="0"/>
    <x v="329"/>
    <n v="-9.7087378640776993"/>
    <x v="0"/>
  </r>
  <r>
    <x v="843"/>
    <s v="2025-02-01"/>
    <n v="1"/>
    <x v="5"/>
    <n v="2025"/>
    <m/>
    <x v="1"/>
    <n v="121004"/>
    <x v="0"/>
    <x v="0"/>
    <n v="164.07766990291199"/>
    <n v="5.1844660194174796"/>
    <x v="263"/>
    <n v="47.572815533980602"/>
    <x v="20"/>
  </r>
  <r>
    <x v="844"/>
    <s v="2025-02-15"/>
    <n v="15"/>
    <x v="5"/>
    <n v="2025"/>
    <m/>
    <x v="3"/>
    <n v="132041"/>
    <x v="0"/>
    <x v="0"/>
    <n v="160.19417475728099"/>
    <n v="5.0679611650485397"/>
    <x v="361"/>
    <n v="48.543689320388303"/>
    <x v="20"/>
  </r>
  <r>
    <x v="845"/>
    <s v="2025-02-02"/>
    <n v="2"/>
    <x v="5"/>
    <n v="2025"/>
    <m/>
    <x v="1"/>
    <n v="132001"/>
    <x v="0"/>
    <x v="0"/>
    <n v="152.42718446601901"/>
    <n v="4.8349514563106801"/>
    <x v="331"/>
    <n v="47.572815533980602"/>
    <x v="20"/>
  </r>
  <r>
    <x v="846"/>
    <s v="2025-02-02"/>
    <n v="2"/>
    <x v="5"/>
    <n v="2025"/>
    <m/>
    <x v="1"/>
    <n v="802158"/>
    <x v="0"/>
    <x v="0"/>
    <n v="101.941747572815"/>
    <n v="3.8737864077669899"/>
    <x v="362"/>
    <n v="30.097087378640801"/>
    <x v="5"/>
  </r>
  <r>
    <x v="847"/>
    <s v="2025-02-13"/>
    <n v="13"/>
    <x v="5"/>
    <n v="2025"/>
    <m/>
    <x v="3"/>
    <n v="845438"/>
    <x v="0"/>
    <x v="0"/>
    <n v="166.01941747572801"/>
    <n v="5.0970873786407802"/>
    <x v="276"/>
    <n v="55.339805825242699"/>
    <x v="5"/>
  </r>
  <r>
    <x v="848"/>
    <s v="2025-02-04"/>
    <n v="4"/>
    <x v="5"/>
    <n v="2025"/>
    <m/>
    <x v="3"/>
    <n v="841286"/>
    <x v="0"/>
    <x v="0"/>
    <n v="167.96116504854299"/>
    <n v="5.1844660194174796"/>
    <x v="328"/>
    <n v="51.456310679611697"/>
    <x v="5"/>
  </r>
  <r>
    <x v="849"/>
    <s v="2025-02-26"/>
    <n v="26"/>
    <x v="5"/>
    <n v="2025"/>
    <m/>
    <x v="0"/>
    <n v="517536"/>
    <x v="0"/>
    <x v="0"/>
    <n v="177.66990291262101"/>
    <n v="5.3300970873786397"/>
    <x v="240"/>
    <n v="56.3106796116505"/>
    <x v="12"/>
  </r>
  <r>
    <x v="850"/>
    <s v="2025-02-08"/>
    <n v="8"/>
    <x v="5"/>
    <n v="2025"/>
    <m/>
    <x v="6"/>
    <n v="571313"/>
    <x v="0"/>
    <x v="0"/>
    <n v="147.57281553397999"/>
    <n v="4.42718446601942"/>
    <x v="36"/>
    <n v="59.223300970873801"/>
    <x v="4"/>
  </r>
  <r>
    <x v="851"/>
    <s v="2025-02-15"/>
    <n v="15"/>
    <x v="5"/>
    <n v="2025"/>
    <m/>
    <x v="0"/>
    <n v="221005"/>
    <x v="0"/>
    <x v="0"/>
    <n v="164.07766990291199"/>
    <n v="5.1844660194174796"/>
    <x v="263"/>
    <n v="47.572815533980602"/>
    <x v="0"/>
  </r>
  <r>
    <x v="186"/>
    <s v="2024-11-15"/>
    <n v="15"/>
    <x v="2"/>
    <n v="2024"/>
    <m/>
    <x v="3"/>
    <n v="208021"/>
    <x v="0"/>
    <x v="0"/>
    <n v="0"/>
    <n v="0"/>
    <x v="329"/>
    <n v="-9.7087378640776993"/>
    <x v="0"/>
  </r>
  <r>
    <x v="852"/>
    <s v="2025-02-07"/>
    <n v="7"/>
    <x v="5"/>
    <n v="2025"/>
    <m/>
    <x v="3"/>
    <n v="786614"/>
    <x v="3"/>
    <x v="2"/>
    <n v="160.71428571428501"/>
    <n v="19.285714285714199"/>
    <x v="363"/>
    <n v="66.964285714285694"/>
    <x v="10"/>
  </r>
  <r>
    <x v="297"/>
    <s v="2024-11-07"/>
    <n v="7"/>
    <x v="2"/>
    <n v="2024"/>
    <m/>
    <x v="3"/>
    <n v="522101"/>
    <x v="0"/>
    <x v="0"/>
    <n v="0"/>
    <n v="0"/>
    <x v="329"/>
    <n v="-17.475728155339802"/>
    <x v="12"/>
  </r>
  <r>
    <x v="853"/>
    <s v="2025-02-13"/>
    <n v="13"/>
    <x v="5"/>
    <n v="2025"/>
    <m/>
    <x v="3"/>
    <n v="636705"/>
    <x v="0"/>
    <x v="0"/>
    <n v="175.728155339805"/>
    <n v="5.2718446601941702"/>
    <x v="302"/>
    <n v="59.223300970873801"/>
    <x v="8"/>
  </r>
  <r>
    <x v="854"/>
    <s v="2025-02-15"/>
    <n v="15"/>
    <x v="5"/>
    <n v="2025"/>
    <m/>
    <x v="3"/>
    <n v="229301"/>
    <x v="0"/>
    <x v="0"/>
    <n v="145.631067961165"/>
    <n v="4.6310679611650496"/>
    <x v="280"/>
    <n v="47.572815533980602"/>
    <x v="0"/>
  </r>
  <r>
    <x v="855"/>
    <s v="2025-02-15"/>
    <n v="15"/>
    <x v="5"/>
    <n v="2025"/>
    <m/>
    <x v="3"/>
    <n v="243632"/>
    <x v="0"/>
    <x v="0"/>
    <n v="145.631067961165"/>
    <n v="4.6310679611650496"/>
    <x v="280"/>
    <n v="47.572815533980602"/>
    <x v="0"/>
  </r>
  <r>
    <x v="856"/>
    <s v="2025-02-07"/>
    <n v="7"/>
    <x v="5"/>
    <n v="2025"/>
    <m/>
    <x v="1"/>
    <n v="389120"/>
    <x v="0"/>
    <x v="0"/>
    <n v="154.368932038834"/>
    <n v="4.6310679611650496"/>
    <x v="252"/>
    <n v="56.3106796116505"/>
    <x v="1"/>
  </r>
  <r>
    <x v="857"/>
    <s v="2025-02-17"/>
    <n v="17"/>
    <x v="5"/>
    <n v="2025"/>
    <m/>
    <x v="1"/>
    <n v="825403"/>
    <x v="0"/>
    <x v="0"/>
    <n v="172.81553398058199"/>
    <n v="5.1844660194174796"/>
    <x v="277"/>
    <n v="56.3106796116505"/>
    <x v="11"/>
  </r>
  <r>
    <x v="858"/>
    <s v="2025-02-02"/>
    <n v="2"/>
    <x v="5"/>
    <n v="2025"/>
    <m/>
    <x v="3"/>
    <n v="410513"/>
    <x v="0"/>
    <x v="0"/>
    <n v="161.16504854368901"/>
    <n v="4.8349514563106801"/>
    <x v="108"/>
    <n v="56.3106796116505"/>
    <x v="13"/>
  </r>
  <r>
    <x v="859"/>
    <s v="2025-02-14"/>
    <n v="14"/>
    <x v="5"/>
    <n v="2025"/>
    <m/>
    <x v="3"/>
    <n v="276305"/>
    <x v="0"/>
    <x v="0"/>
    <n v="161.16504854368901"/>
    <n v="5.0970873786407802"/>
    <x v="273"/>
    <n v="50.485436893203897"/>
    <x v="0"/>
  </r>
  <r>
    <x v="860"/>
    <s v="2025-02-11"/>
    <n v="11"/>
    <x v="5"/>
    <n v="2025"/>
    <m/>
    <x v="1"/>
    <n v="273209"/>
    <x v="0"/>
    <x v="0"/>
    <n v="161.16504854368901"/>
    <n v="5.0970873786407802"/>
    <x v="273"/>
    <n v="50.485436893203897"/>
    <x v="0"/>
  </r>
  <r>
    <x v="861"/>
    <s v="2025-02-05"/>
    <n v="5"/>
    <x v="5"/>
    <n v="2025"/>
    <m/>
    <x v="1"/>
    <n v="224190"/>
    <x v="0"/>
    <x v="0"/>
    <n v="164.07766990291199"/>
    <n v="5.1844660194174796"/>
    <x v="263"/>
    <n v="47.572815533980602"/>
    <x v="0"/>
  </r>
  <r>
    <x v="745"/>
    <s v="2025-02-02"/>
    <n v="2"/>
    <x v="5"/>
    <n v="2025"/>
    <m/>
    <x v="1"/>
    <n v="333032"/>
    <x v="0"/>
    <x v="0"/>
    <n v="151.45631067961099"/>
    <n v="4.7475728155339798"/>
    <x v="21"/>
    <n v="50.485436893203897"/>
    <x v="15"/>
  </r>
  <r>
    <x v="862"/>
    <s v="2025-02-02"/>
    <n v="2"/>
    <x v="5"/>
    <n v="2025"/>
    <m/>
    <x v="1"/>
    <n v="273303"/>
    <x v="0"/>
    <x v="0"/>
    <n v="152.42718446601901"/>
    <n v="4.8349514563106801"/>
    <x v="331"/>
    <n v="47.572815533980602"/>
    <x v="0"/>
  </r>
  <r>
    <x v="280"/>
    <s v="2024-11-15"/>
    <n v="15"/>
    <x v="2"/>
    <n v="2024"/>
    <m/>
    <x v="3"/>
    <n v="110043"/>
    <x v="0"/>
    <x v="0"/>
    <n v="0"/>
    <n v="0"/>
    <x v="329"/>
    <n v="-9.7087378640776993"/>
    <x v="9"/>
  </r>
  <r>
    <x v="863"/>
    <s v="2025-02-16"/>
    <n v="16"/>
    <x v="5"/>
    <n v="2025"/>
    <m/>
    <x v="3"/>
    <n v="495445"/>
    <x v="0"/>
    <x v="0"/>
    <n v="166.01941747572801"/>
    <n v="4.9805825242718402"/>
    <x v="139"/>
    <n v="57.2815533980583"/>
    <x v="6"/>
  </r>
  <r>
    <x v="864"/>
    <s v="2025-02-16"/>
    <n v="16"/>
    <x v="5"/>
    <n v="2025"/>
    <m/>
    <x v="1"/>
    <n v="486889"/>
    <x v="0"/>
    <x v="0"/>
    <n v="149.514563106796"/>
    <n v="4.6310679611650496"/>
    <x v="364"/>
    <n v="51.456310679611697"/>
    <x v="7"/>
  </r>
  <r>
    <x v="865"/>
    <s v="2025-02-19"/>
    <n v="19"/>
    <x v="5"/>
    <n v="2025"/>
    <m/>
    <x v="1"/>
    <n v="815301"/>
    <x v="0"/>
    <x v="0"/>
    <n v="160.19417475728099"/>
    <n v="4.8058252427184502"/>
    <x v="116"/>
    <n v="57.2815533980583"/>
    <x v="11"/>
  </r>
  <r>
    <x v="866"/>
    <s v="2025-02-11"/>
    <n v="11"/>
    <x v="5"/>
    <n v="2025"/>
    <m/>
    <x v="1"/>
    <n v="761115"/>
    <x v="0"/>
    <x v="0"/>
    <n v="154.368932038834"/>
    <n v="4.6310679611650496"/>
    <x v="252"/>
    <n v="56.3106796116505"/>
    <x v="18"/>
  </r>
  <r>
    <x v="867"/>
    <s v="2025-02-02"/>
    <n v="2"/>
    <x v="5"/>
    <n v="2025"/>
    <m/>
    <x v="1"/>
    <n v="803101"/>
    <x v="0"/>
    <x v="0"/>
    <n v="161.16504854368901"/>
    <n v="4.8349514563106801"/>
    <x v="108"/>
    <n v="56.3106796116505"/>
    <x v="5"/>
  </r>
  <r>
    <x v="868"/>
    <s v="2025-02-13"/>
    <n v="13"/>
    <x v="5"/>
    <n v="2025"/>
    <m/>
    <x v="1"/>
    <n v="761124"/>
    <x v="0"/>
    <x v="0"/>
    <n v="172.81553398058199"/>
    <n v="5.1844660194174796"/>
    <x v="277"/>
    <n v="56.3106796116505"/>
    <x v="18"/>
  </r>
  <r>
    <x v="869"/>
    <s v="2025-02-27"/>
    <n v="27"/>
    <x v="5"/>
    <n v="2025"/>
    <m/>
    <x v="0"/>
    <n v="769001"/>
    <x v="0"/>
    <x v="0"/>
    <n v="177.66990291262101"/>
    <n v="5.3300970873786397"/>
    <x v="240"/>
    <n v="56.3106796116505"/>
    <x v="18"/>
  </r>
  <r>
    <x v="81"/>
    <s v="2024-10-31"/>
    <n v="31"/>
    <x v="1"/>
    <n v="2024"/>
    <m/>
    <x v="3"/>
    <n v="110043"/>
    <x v="0"/>
    <x v="0"/>
    <n v="0"/>
    <n v="0"/>
    <x v="329"/>
    <n v="-9.7087378640776993"/>
    <x v="9"/>
  </r>
  <r>
    <x v="870"/>
    <s v="2025-02-11"/>
    <n v="11"/>
    <x v="5"/>
    <n v="2025"/>
    <m/>
    <x v="1"/>
    <n v="477447"/>
    <x v="0"/>
    <x v="0"/>
    <n v="129.126213592233"/>
    <n v="4.42718446601942"/>
    <x v="191"/>
    <n v="40.776699029126199"/>
    <x v="7"/>
  </r>
  <r>
    <x v="871"/>
    <s v="2025-02-05"/>
    <n v="5"/>
    <x v="5"/>
    <n v="2025"/>
    <m/>
    <x v="1"/>
    <n v="502334"/>
    <x v="0"/>
    <x v="0"/>
    <n v="172.81553398058199"/>
    <n v="5.1844660194174796"/>
    <x v="277"/>
    <n v="56.3106796116505"/>
    <x v="17"/>
  </r>
  <r>
    <x v="872"/>
    <s v="2025-02-25"/>
    <n v="25"/>
    <x v="5"/>
    <n v="2025"/>
    <m/>
    <x v="0"/>
    <n v="481331"/>
    <x v="0"/>
    <x v="0"/>
    <n v="261.16504854368901"/>
    <n v="8.3883495145631102"/>
    <x v="365"/>
    <n v="42.7184466019418"/>
    <x v="7"/>
  </r>
  <r>
    <x v="873"/>
    <s v="2025-02-08"/>
    <n v="8"/>
    <x v="5"/>
    <n v="2025"/>
    <m/>
    <x v="1"/>
    <n v="505425"/>
    <x v="0"/>
    <x v="0"/>
    <n v="147.57281553397999"/>
    <n v="4.42718446601942"/>
    <x v="36"/>
    <n v="59.223300970873801"/>
    <x v="17"/>
  </r>
  <r>
    <x v="874"/>
    <s v="2025-02-01"/>
    <n v="1"/>
    <x v="5"/>
    <n v="2025"/>
    <m/>
    <x v="2"/>
    <n v="262201"/>
    <x v="0"/>
    <x v="0"/>
    <n v="166.01941747572801"/>
    <n v="5.1844660194174796"/>
    <x v="366"/>
    <n v="49.514563106796103"/>
    <x v="0"/>
  </r>
  <r>
    <x v="875"/>
    <s v="2025-02-10"/>
    <n v="10"/>
    <x v="5"/>
    <n v="2025"/>
    <m/>
    <x v="1"/>
    <n v="276139"/>
    <x v="0"/>
    <x v="0"/>
    <n v="164.07766990291199"/>
    <n v="5.1844660194174796"/>
    <x v="263"/>
    <n v="47.572815533980602"/>
    <x v="0"/>
  </r>
  <r>
    <x v="21"/>
    <s v="2024-10-21"/>
    <n v="21"/>
    <x v="1"/>
    <n v="2024"/>
    <m/>
    <x v="3"/>
    <n v="400101"/>
    <x v="0"/>
    <x v="0"/>
    <n v="0"/>
    <n v="0"/>
    <x v="329"/>
    <n v="-11.6504854368932"/>
    <x v="13"/>
  </r>
  <r>
    <x v="876"/>
    <s v="2025-02-11"/>
    <n v="11"/>
    <x v="5"/>
    <n v="2025"/>
    <m/>
    <x v="3"/>
    <n v="263153"/>
    <x v="0"/>
    <x v="0"/>
    <n v="164.07766990291199"/>
    <n v="5.1844660194174796"/>
    <x v="263"/>
    <n v="47.572815533980602"/>
    <x v="16"/>
  </r>
  <r>
    <x v="243"/>
    <s v="2024-11-27"/>
    <n v="27"/>
    <x v="2"/>
    <n v="2024"/>
    <m/>
    <x v="3"/>
    <n v="400068"/>
    <x v="0"/>
    <x v="0"/>
    <n v="0"/>
    <n v="0"/>
    <x v="329"/>
    <n v="-17.475728155339802"/>
    <x v="13"/>
  </r>
  <r>
    <x v="877"/>
    <s v="2025-02-27"/>
    <n v="27"/>
    <x v="5"/>
    <n v="2025"/>
    <m/>
    <x v="0"/>
    <n v="825403"/>
    <x v="0"/>
    <x v="0"/>
    <n v="176.69902912621299"/>
    <n v="5.3009708737864099"/>
    <x v="367"/>
    <n v="55.339805825242699"/>
    <x v="11"/>
  </r>
  <r>
    <x v="878"/>
    <s v="2025-02-07"/>
    <n v="7"/>
    <x v="5"/>
    <n v="2025"/>
    <m/>
    <x v="1"/>
    <n v="281006"/>
    <x v="0"/>
    <x v="0"/>
    <n v="132.03883495145601"/>
    <n v="4.57281553398058"/>
    <x v="368"/>
    <n v="33.980582524271803"/>
    <x v="0"/>
  </r>
  <r>
    <x v="879"/>
    <s v="2025-02-01"/>
    <n v="1"/>
    <x v="5"/>
    <n v="2025"/>
    <m/>
    <x v="3"/>
    <n v="786614"/>
    <x v="3"/>
    <x v="2"/>
    <n v="161.60714285714201"/>
    <n v="19.3928571428571"/>
    <x v="340"/>
    <n v="67.857142857142904"/>
    <x v="10"/>
  </r>
  <r>
    <x v="880"/>
    <s v="2025-02-26"/>
    <n v="26"/>
    <x v="5"/>
    <n v="2025"/>
    <m/>
    <x v="0"/>
    <n v="695008"/>
    <x v="0"/>
    <x v="0"/>
    <n v="306.79611650485401"/>
    <n v="10.1941747572815"/>
    <x v="369"/>
    <n v="93.203883495145604"/>
    <x v="24"/>
  </r>
  <r>
    <x v="37"/>
    <s v="2024-10-29"/>
    <n v="29"/>
    <x v="1"/>
    <n v="2024"/>
    <m/>
    <x v="3"/>
    <n v="283111"/>
    <x v="0"/>
    <x v="0"/>
    <n v="0"/>
    <n v="0"/>
    <x v="329"/>
    <n v="-5.8252427184466002"/>
    <x v="0"/>
  </r>
  <r>
    <x v="134"/>
    <s v="2024-10-31"/>
    <n v="31"/>
    <x v="1"/>
    <n v="2024"/>
    <m/>
    <x v="3"/>
    <n v="110043"/>
    <x v="0"/>
    <x v="0"/>
    <n v="0"/>
    <n v="0"/>
    <x v="329"/>
    <n v="-19.417475728155299"/>
    <x v="9"/>
  </r>
  <r>
    <x v="881"/>
    <s v="2025-02-12"/>
    <n v="12"/>
    <x v="5"/>
    <n v="2025"/>
    <m/>
    <x v="1"/>
    <n v="491559"/>
    <x v="0"/>
    <x v="0"/>
    <n v="172.81553398058199"/>
    <n v="5.1844660194174796"/>
    <x v="277"/>
    <n v="56.3106796116505"/>
    <x v="6"/>
  </r>
  <r>
    <x v="882"/>
    <s v="2025-02-17"/>
    <n v="17"/>
    <x v="5"/>
    <n v="2025"/>
    <m/>
    <x v="2"/>
    <n v="496001"/>
    <x v="0"/>
    <x v="0"/>
    <n v="169.90291262135901"/>
    <n v="5.0970873786407802"/>
    <x v="44"/>
    <n v="59.223300970873801"/>
    <x v="6"/>
  </r>
  <r>
    <x v="883"/>
    <s v="2025-02-13"/>
    <n v="13"/>
    <x v="5"/>
    <n v="2025"/>
    <m/>
    <x v="3"/>
    <n v="211019"/>
    <x v="0"/>
    <x v="0"/>
    <n v="166.990291262135"/>
    <n v="5.2718446601941702"/>
    <x v="296"/>
    <n v="49.514563106796103"/>
    <x v="0"/>
  </r>
  <r>
    <x v="884"/>
    <s v="2025-02-05"/>
    <n v="5"/>
    <x v="5"/>
    <n v="2025"/>
    <m/>
    <x v="1"/>
    <n v="277213"/>
    <x v="0"/>
    <x v="0"/>
    <n v="145.631067961165"/>
    <n v="4.6310679611650496"/>
    <x v="280"/>
    <n v="47.572815533980602"/>
    <x v="0"/>
  </r>
  <r>
    <x v="885"/>
    <s v="2025-02-08"/>
    <n v="8"/>
    <x v="5"/>
    <n v="2025"/>
    <m/>
    <x v="1"/>
    <n v="211019"/>
    <x v="0"/>
    <x v="0"/>
    <n v="164.07766990291199"/>
    <n v="5.1844660194174796"/>
    <x v="263"/>
    <n v="47.572815533980602"/>
    <x v="0"/>
  </r>
  <r>
    <x v="886"/>
    <s v="2025-02-14"/>
    <n v="14"/>
    <x v="5"/>
    <n v="2025"/>
    <m/>
    <x v="3"/>
    <n v="221508"/>
    <x v="0"/>
    <x v="0"/>
    <n v="161.16504854368901"/>
    <n v="5.0970873786407802"/>
    <x v="273"/>
    <n v="50.485436893203897"/>
    <x v="0"/>
  </r>
  <r>
    <x v="887"/>
    <s v="2025-02-16"/>
    <n v="16"/>
    <x v="5"/>
    <n v="2025"/>
    <m/>
    <x v="2"/>
    <n v="227805"/>
    <x v="0"/>
    <x v="0"/>
    <n v="164.07766990291199"/>
    <n v="5.1844660194174796"/>
    <x v="263"/>
    <n v="47.572815533980602"/>
    <x v="0"/>
  </r>
  <r>
    <x v="888"/>
    <s v="2025-02-16"/>
    <n v="16"/>
    <x v="5"/>
    <n v="2025"/>
    <m/>
    <x v="1"/>
    <n v="453331"/>
    <x v="0"/>
    <x v="0"/>
    <n v="154.368932038834"/>
    <n v="4.6310679611650496"/>
    <x v="252"/>
    <n v="56.3106796116505"/>
    <x v="7"/>
  </r>
  <r>
    <x v="889"/>
    <s v="2025-02-25"/>
    <n v="25"/>
    <x v="5"/>
    <n v="2025"/>
    <m/>
    <x v="0"/>
    <n v="756133"/>
    <x v="0"/>
    <x v="0"/>
    <n v="163.106796116504"/>
    <n v="4.8932038834951497"/>
    <x v="370"/>
    <n v="59.223300970873801"/>
    <x v="18"/>
  </r>
  <r>
    <x v="890"/>
    <s v="2025-02-13"/>
    <n v="13"/>
    <x v="5"/>
    <n v="2025"/>
    <m/>
    <x v="1"/>
    <n v="626114"/>
    <x v="0"/>
    <x v="0"/>
    <n v="172.81553398058199"/>
    <n v="5.1844660194174796"/>
    <x v="277"/>
    <n v="56.3106796116505"/>
    <x v="8"/>
  </r>
  <r>
    <x v="891"/>
    <s v="2025-02-14"/>
    <n v="14"/>
    <x v="5"/>
    <n v="2025"/>
    <m/>
    <x v="1"/>
    <n v="224190"/>
    <x v="0"/>
    <x v="0"/>
    <n v="164.07766990291199"/>
    <n v="5.1844660194174796"/>
    <x v="263"/>
    <n v="47.572815533980602"/>
    <x v="0"/>
  </r>
  <r>
    <x v="892"/>
    <s v="2025-02-11"/>
    <n v="11"/>
    <x v="5"/>
    <n v="2025"/>
    <m/>
    <x v="2"/>
    <n v="209821"/>
    <x v="0"/>
    <x v="0"/>
    <n v="164.07766990291199"/>
    <n v="5.1844660194174796"/>
    <x v="263"/>
    <n v="47.572815533980602"/>
    <x v="0"/>
  </r>
  <r>
    <x v="893"/>
    <s v="2025-02-02"/>
    <n v="2"/>
    <x v="5"/>
    <n v="2025"/>
    <m/>
    <x v="1"/>
    <n v="395006"/>
    <x v="0"/>
    <x v="0"/>
    <n v="150.485436893203"/>
    <n v="4.5145631067961203"/>
    <x v="314"/>
    <n v="57.2815533980583"/>
    <x v="1"/>
  </r>
  <r>
    <x v="894"/>
    <s v="2025-02-01"/>
    <n v="1"/>
    <x v="5"/>
    <n v="2025"/>
    <m/>
    <x v="3"/>
    <n v="225124"/>
    <x v="0"/>
    <x v="0"/>
    <n v="164.07766990291199"/>
    <n v="5.1844660194174796"/>
    <x v="263"/>
    <n v="47.572815533980602"/>
    <x v="0"/>
  </r>
  <r>
    <x v="895"/>
    <s v="2025-02-02"/>
    <n v="2"/>
    <x v="5"/>
    <n v="2025"/>
    <m/>
    <x v="1"/>
    <n v="141007"/>
    <x v="0"/>
    <x v="0"/>
    <n v="152.42718446601901"/>
    <n v="4.8349514563106801"/>
    <x v="331"/>
    <n v="47.572815533980602"/>
    <x v="3"/>
  </r>
  <r>
    <x v="896"/>
    <s v="2025-02-07"/>
    <n v="7"/>
    <x v="5"/>
    <n v="2025"/>
    <m/>
    <x v="2"/>
    <n v="841411"/>
    <x v="0"/>
    <x v="0"/>
    <n v="161.16504854368901"/>
    <n v="4.9805825242718402"/>
    <x v="371"/>
    <n v="49.514563106796103"/>
    <x v="5"/>
  </r>
  <r>
    <x v="897"/>
    <s v="2025-02-02"/>
    <n v="2"/>
    <x v="5"/>
    <n v="2025"/>
    <m/>
    <x v="3"/>
    <n v="847109"/>
    <x v="0"/>
    <x v="0"/>
    <n v="144.66019417475701"/>
    <n v="4.3398058252427196"/>
    <x v="234"/>
    <n v="56.3106796116505"/>
    <x v="5"/>
  </r>
  <r>
    <x v="898"/>
    <s v="2025-02-20"/>
    <n v="20"/>
    <x v="5"/>
    <n v="2025"/>
    <m/>
    <x v="1"/>
    <n v="305001"/>
    <x v="0"/>
    <x v="0"/>
    <n v="138.83495145630999"/>
    <n v="4.8058252427184502"/>
    <x v="291"/>
    <n v="35.922330097087404"/>
    <x v="15"/>
  </r>
  <r>
    <x v="899"/>
    <s v="2025-02-16"/>
    <n v="16"/>
    <x v="5"/>
    <n v="2025"/>
    <m/>
    <x v="5"/>
    <n v="572101"/>
    <x v="0"/>
    <x v="0"/>
    <n v="172.81553398058199"/>
    <n v="5.1844660194174796"/>
    <x v="277"/>
    <n v="56.3106796116505"/>
    <x v="4"/>
  </r>
  <r>
    <x v="900"/>
    <s v="2025-02-11"/>
    <n v="11"/>
    <x v="5"/>
    <n v="2025"/>
    <m/>
    <x v="1"/>
    <n v="273413"/>
    <x v="0"/>
    <x v="0"/>
    <n v="164.07766990291199"/>
    <n v="5.1844660194174796"/>
    <x v="263"/>
    <n v="47.572815533980602"/>
    <x v="0"/>
  </r>
  <r>
    <x v="901"/>
    <s v="2025-02-02"/>
    <n v="2"/>
    <x v="5"/>
    <n v="2025"/>
    <m/>
    <x v="1"/>
    <n v="721101"/>
    <x v="0"/>
    <x v="0"/>
    <n v="150.485436893203"/>
    <n v="4.5145631067961203"/>
    <x v="314"/>
    <n v="57.2815533980583"/>
    <x v="2"/>
  </r>
  <r>
    <x v="902"/>
    <s v="2025-02-05"/>
    <n v="5"/>
    <x v="5"/>
    <n v="2025"/>
    <m/>
    <x v="1"/>
    <n v="825401"/>
    <x v="0"/>
    <x v="0"/>
    <n v="172.81553398058199"/>
    <n v="5.1844660194174796"/>
    <x v="277"/>
    <n v="56.3106796116505"/>
    <x v="11"/>
  </r>
  <r>
    <x v="903"/>
    <s v="2025-02-09"/>
    <n v="9"/>
    <x v="5"/>
    <n v="2025"/>
    <m/>
    <x v="2"/>
    <n v="122022"/>
    <x v="0"/>
    <x v="0"/>
    <n v="151.45631067961099"/>
    <n v="4.8058252427184502"/>
    <x v="183"/>
    <n v="48.543689320388303"/>
    <x v="20"/>
  </r>
  <r>
    <x v="36"/>
    <s v="2024-10-23"/>
    <n v="23"/>
    <x v="1"/>
    <n v="2024"/>
    <m/>
    <x v="3"/>
    <n v="140603"/>
    <x v="0"/>
    <x v="0"/>
    <n v="0"/>
    <n v="0"/>
    <x v="329"/>
    <n v="-11.6504854368932"/>
    <x v="3"/>
  </r>
  <r>
    <x v="904"/>
    <s v="2025-02-21"/>
    <n v="21"/>
    <x v="5"/>
    <n v="2025"/>
    <m/>
    <x v="1"/>
    <n v="224186"/>
    <x v="0"/>
    <x v="0"/>
    <n v="193.20388349514499"/>
    <n v="6.0582524271844704"/>
    <x v="372"/>
    <n v="47.572815533980602"/>
    <x v="0"/>
  </r>
  <r>
    <x v="905"/>
    <s v="2025-02-03"/>
    <n v="3"/>
    <x v="5"/>
    <n v="2025"/>
    <m/>
    <x v="1"/>
    <n v="802131"/>
    <x v="0"/>
    <x v="0"/>
    <n v="167.96116504854299"/>
    <n v="5.1844660194174796"/>
    <x v="328"/>
    <n v="51.456310679611697"/>
    <x v="5"/>
  </r>
  <r>
    <x v="254"/>
    <s v="2024-11-16"/>
    <n v="16"/>
    <x v="2"/>
    <n v="2024"/>
    <m/>
    <x v="3"/>
    <n v="522101"/>
    <x v="0"/>
    <x v="0"/>
    <n v="0"/>
    <n v="0"/>
    <x v="329"/>
    <n v="-17.475728155339802"/>
    <x v="12"/>
  </r>
  <r>
    <x v="906"/>
    <s v="2025-02-16"/>
    <n v="16"/>
    <x v="5"/>
    <n v="2025"/>
    <m/>
    <x v="1"/>
    <n v="342603"/>
    <x v="0"/>
    <x v="0"/>
    <n v="172.81553398058199"/>
    <n v="5.1844660194174796"/>
    <x v="277"/>
    <n v="56.3106796116505"/>
    <x v="15"/>
  </r>
  <r>
    <x v="907"/>
    <s v="2025-02-02"/>
    <n v="2"/>
    <x v="5"/>
    <n v="2025"/>
    <m/>
    <x v="2"/>
    <n v="841405"/>
    <x v="0"/>
    <x v="0"/>
    <n v="139.80582524271799"/>
    <n v="4.3398058252427196"/>
    <x v="373"/>
    <n v="51.456310679611697"/>
    <x v="5"/>
  </r>
  <r>
    <x v="908"/>
    <s v="2025-02-22"/>
    <n v="22"/>
    <x v="5"/>
    <n v="2025"/>
    <m/>
    <x v="3"/>
    <n v="560091"/>
    <x v="0"/>
    <x v="0"/>
    <n v="314.56310679611602"/>
    <n v="9.4368932038834998"/>
    <x v="374"/>
    <n v="126.213592233009"/>
    <x v="4"/>
  </r>
  <r>
    <x v="909"/>
    <s v="2025-02-08"/>
    <n v="8"/>
    <x v="5"/>
    <n v="2025"/>
    <m/>
    <x v="1"/>
    <n v="274501"/>
    <x v="0"/>
    <x v="0"/>
    <n v="163.106796116504"/>
    <n v="5.1262135922330101"/>
    <x v="346"/>
    <n v="46.601941747572802"/>
    <x v="0"/>
  </r>
  <r>
    <x v="910"/>
    <s v="2025-02-04"/>
    <n v="4"/>
    <x v="5"/>
    <n v="2025"/>
    <m/>
    <x v="1"/>
    <n v="793001"/>
    <x v="0"/>
    <x v="0"/>
    <n v="184.466019417475"/>
    <n v="5.5339805825242703"/>
    <x v="375"/>
    <n v="75.728155339805795"/>
    <x v="31"/>
  </r>
  <r>
    <x v="911"/>
    <s v="2025-02-10"/>
    <n v="10"/>
    <x v="5"/>
    <n v="2025"/>
    <m/>
    <x v="5"/>
    <n v="224190"/>
    <x v="0"/>
    <x v="0"/>
    <n v="164.07766990291199"/>
    <n v="5.1844660194174796"/>
    <x v="263"/>
    <n v="47.572815533980602"/>
    <x v="0"/>
  </r>
  <r>
    <x v="912"/>
    <s v="2025-02-15"/>
    <n v="15"/>
    <x v="5"/>
    <n v="2025"/>
    <m/>
    <x v="5"/>
    <n v="460220"/>
    <x v="0"/>
    <x v="0"/>
    <n v="172.81553398058199"/>
    <n v="5.1844660194174796"/>
    <x v="277"/>
    <n v="56.3106796116505"/>
    <x v="7"/>
  </r>
  <r>
    <x v="913"/>
    <s v="2025-02-06"/>
    <n v="6"/>
    <x v="5"/>
    <n v="2025"/>
    <m/>
    <x v="1"/>
    <n v="462042"/>
    <x v="0"/>
    <x v="0"/>
    <n v="136.893203883495"/>
    <n v="4.6310679611650496"/>
    <x v="135"/>
    <n v="39.805825242718498"/>
    <x v="7"/>
  </r>
  <r>
    <x v="914"/>
    <s v="2025-02-09"/>
    <n v="9"/>
    <x v="5"/>
    <n v="2025"/>
    <m/>
    <x v="1"/>
    <n v="263601"/>
    <x v="0"/>
    <x v="0"/>
    <n v="145.631067961165"/>
    <n v="4.6310679611650496"/>
    <x v="280"/>
    <n v="47.572815533980602"/>
    <x v="16"/>
  </r>
  <r>
    <x v="915"/>
    <s v="2025-02-02"/>
    <n v="2"/>
    <x v="5"/>
    <n v="2025"/>
    <m/>
    <x v="2"/>
    <n v="273209"/>
    <x v="0"/>
    <x v="0"/>
    <n v="150.485436893203"/>
    <n v="4.7766990291262097"/>
    <x v="218"/>
    <n v="50.485436893203897"/>
    <x v="0"/>
  </r>
  <r>
    <x v="916"/>
    <s v="2025-02-26"/>
    <n v="26"/>
    <x v="5"/>
    <n v="2025"/>
    <m/>
    <x v="0"/>
    <n v="852129"/>
    <x v="0"/>
    <x v="0"/>
    <n v="160.19417475728099"/>
    <n v="5.3592233009708696"/>
    <x v="376"/>
    <n v="42.7184466019418"/>
    <x v="5"/>
  </r>
  <r>
    <x v="917"/>
    <s v="2025-02-14"/>
    <n v="14"/>
    <x v="5"/>
    <n v="2025"/>
    <m/>
    <x v="3"/>
    <n v="110041"/>
    <x v="0"/>
    <x v="0"/>
    <n v="164.07766990291199"/>
    <n v="5.1844660194174796"/>
    <x v="263"/>
    <n v="47.572815533980602"/>
    <x v="9"/>
  </r>
  <r>
    <x v="42"/>
    <s v="2024-10-24"/>
    <n v="24"/>
    <x v="1"/>
    <n v="2024"/>
    <m/>
    <x v="3"/>
    <n v="110043"/>
    <x v="0"/>
    <x v="0"/>
    <n v="0"/>
    <n v="0"/>
    <x v="329"/>
    <n v="-22.330097087378601"/>
    <x v="9"/>
  </r>
  <r>
    <x v="155"/>
    <s v="2024-11-13"/>
    <n v="13"/>
    <x v="2"/>
    <n v="2024"/>
    <m/>
    <x v="3"/>
    <n v="411060"/>
    <x v="2"/>
    <x v="2"/>
    <n v="0"/>
    <n v="0"/>
    <x v="329"/>
    <n v="-13.3928571428571"/>
    <x v="13"/>
  </r>
  <r>
    <x v="918"/>
    <s v="2025-02-15"/>
    <n v="15"/>
    <x v="5"/>
    <n v="2025"/>
    <m/>
    <x v="3"/>
    <n v="202138"/>
    <x v="0"/>
    <x v="0"/>
    <n v="164.07766990291199"/>
    <n v="5.1844660194174796"/>
    <x v="263"/>
    <n v="47.572815533980602"/>
    <x v="0"/>
  </r>
  <r>
    <x v="919"/>
    <s v="2025-02-02"/>
    <n v="2"/>
    <x v="5"/>
    <n v="2025"/>
    <m/>
    <x v="1"/>
    <n v="492001"/>
    <x v="0"/>
    <x v="0"/>
    <n v="133.009708737864"/>
    <n v="4.5145631067961203"/>
    <x v="377"/>
    <n v="39.805825242718498"/>
    <x v="6"/>
  </r>
  <r>
    <x v="920"/>
    <s v="2025-02-15"/>
    <n v="15"/>
    <x v="5"/>
    <n v="2025"/>
    <m/>
    <x v="1"/>
    <n v="824207"/>
    <x v="0"/>
    <x v="0"/>
    <n v="167.96116504854299"/>
    <n v="5.1844660194174796"/>
    <x v="328"/>
    <n v="51.456310679611697"/>
    <x v="5"/>
  </r>
  <r>
    <x v="921"/>
    <s v="2025-02-19"/>
    <n v="19"/>
    <x v="5"/>
    <n v="2025"/>
    <m/>
    <x v="0"/>
    <n v="244223"/>
    <x v="0"/>
    <x v="0"/>
    <n v="151.45631067961099"/>
    <n v="4.8058252427184502"/>
    <x v="183"/>
    <n v="48.543689320388303"/>
    <x v="0"/>
  </r>
  <r>
    <x v="922"/>
    <s v="2025-02-27"/>
    <n v="27"/>
    <x v="5"/>
    <n v="2025"/>
    <m/>
    <x v="3"/>
    <n v="182202"/>
    <x v="0"/>
    <x v="0"/>
    <n v="177.66990291262101"/>
    <n v="5.3300970873786397"/>
    <x v="240"/>
    <n v="56.3106796116505"/>
    <x v="19"/>
  </r>
  <r>
    <x v="923"/>
    <s v="2025-02-02"/>
    <n v="2"/>
    <x v="5"/>
    <n v="2025"/>
    <m/>
    <x v="1"/>
    <n v="261303"/>
    <x v="0"/>
    <x v="0"/>
    <n v="152.42718446601901"/>
    <n v="4.8349514563106801"/>
    <x v="331"/>
    <n v="47.572815533980602"/>
    <x v="0"/>
  </r>
  <r>
    <x v="924"/>
    <s v="2025-02-18"/>
    <n v="18"/>
    <x v="5"/>
    <n v="2025"/>
    <m/>
    <x v="1"/>
    <n v="271902"/>
    <x v="0"/>
    <x v="0"/>
    <n v="198.05825242718399"/>
    <n v="6.2038834951456296"/>
    <x v="378"/>
    <n v="47.572815533980602"/>
    <x v="0"/>
  </r>
  <r>
    <x v="925"/>
    <s v="2025-02-14"/>
    <n v="14"/>
    <x v="5"/>
    <n v="2025"/>
    <m/>
    <x v="1"/>
    <n v="813208"/>
    <x v="0"/>
    <x v="0"/>
    <n v="151.45631067961099"/>
    <n v="5.0970873786407802"/>
    <x v="299"/>
    <n v="40.776699029126199"/>
    <x v="11"/>
  </r>
  <r>
    <x v="56"/>
    <s v="2024-10-24"/>
    <n v="24"/>
    <x v="1"/>
    <n v="2024"/>
    <m/>
    <x v="3"/>
    <n v="301701"/>
    <x v="0"/>
    <x v="0"/>
    <n v="0"/>
    <n v="0"/>
    <x v="329"/>
    <n v="-6.7961165048543997"/>
    <x v="15"/>
  </r>
  <r>
    <x v="926"/>
    <s v="2025-02-26"/>
    <n v="26"/>
    <x v="5"/>
    <n v="2025"/>
    <m/>
    <x v="1"/>
    <n v="273302"/>
    <x v="0"/>
    <x v="0"/>
    <n v="151.45631067961099"/>
    <n v="4.8058252427184502"/>
    <x v="183"/>
    <n v="47.572815533980602"/>
    <x v="0"/>
  </r>
  <r>
    <x v="927"/>
    <s v="2025-02-04"/>
    <n v="4"/>
    <x v="5"/>
    <n v="2025"/>
    <m/>
    <x v="6"/>
    <n v="752110"/>
    <x v="0"/>
    <x v="0"/>
    <n v="172.81553398058199"/>
    <n v="5.1844660194174796"/>
    <x v="277"/>
    <n v="56.3106796116505"/>
    <x v="18"/>
  </r>
  <r>
    <x v="928"/>
    <s v="2025-02-04"/>
    <n v="4"/>
    <x v="5"/>
    <n v="2025"/>
    <m/>
    <x v="3"/>
    <n v="761014"/>
    <x v="0"/>
    <x v="0"/>
    <n v="174.757281553398"/>
    <n v="5.2427184466019403"/>
    <x v="126"/>
    <n v="57.2815533980583"/>
    <x v="18"/>
  </r>
  <r>
    <x v="929"/>
    <s v="2025-02-19"/>
    <n v="19"/>
    <x v="5"/>
    <n v="2025"/>
    <m/>
    <x v="1"/>
    <n v="585401"/>
    <x v="0"/>
    <x v="0"/>
    <n v="235.92233009708701"/>
    <n v="7.0776699029126204"/>
    <x v="379"/>
    <n v="56.3106796116505"/>
    <x v="4"/>
  </r>
  <r>
    <x v="930"/>
    <s v="2025-02-09"/>
    <n v="9"/>
    <x v="5"/>
    <n v="2025"/>
    <m/>
    <x v="1"/>
    <n v="413709"/>
    <x v="0"/>
    <x v="0"/>
    <n v="172.81553398058199"/>
    <n v="5.1844660194174796"/>
    <x v="277"/>
    <n v="56.3106796116505"/>
    <x v="13"/>
  </r>
  <r>
    <x v="931"/>
    <s v="2025-02-09"/>
    <n v="9"/>
    <x v="5"/>
    <n v="2025"/>
    <m/>
    <x v="1"/>
    <n v="325221"/>
    <x v="0"/>
    <x v="0"/>
    <n v="150.485436893203"/>
    <n v="5.1844660194174796"/>
    <x v="349"/>
    <n v="33.980582524271803"/>
    <x v="15"/>
  </r>
  <r>
    <x v="278"/>
    <s v="2024-11-16"/>
    <n v="16"/>
    <x v="2"/>
    <n v="2024"/>
    <m/>
    <x v="3"/>
    <n v="225403"/>
    <x v="0"/>
    <x v="0"/>
    <n v="0"/>
    <n v="0"/>
    <x v="329"/>
    <n v="-9.7087378640776993"/>
    <x v="0"/>
  </r>
  <r>
    <x v="932"/>
    <s v="2025-02-18"/>
    <n v="18"/>
    <x v="5"/>
    <n v="2025"/>
    <m/>
    <x v="1"/>
    <n v="509410"/>
    <x v="0"/>
    <x v="0"/>
    <n v="206.79611650485401"/>
    <n v="6.2038834951456296"/>
    <x v="380"/>
    <n v="56.3106796116505"/>
    <x v="17"/>
  </r>
  <r>
    <x v="933"/>
    <s v="2025-02-27"/>
    <n v="27"/>
    <x v="5"/>
    <n v="2025"/>
    <m/>
    <x v="0"/>
    <n v="284305"/>
    <x v="0"/>
    <x v="0"/>
    <n v="146.601941747572"/>
    <n v="4.6601941747572804"/>
    <x v="342"/>
    <n v="52.427184466019398"/>
    <x v="0"/>
  </r>
  <r>
    <x v="934"/>
    <s v="2025-02-09"/>
    <n v="9"/>
    <x v="5"/>
    <n v="2025"/>
    <m/>
    <x v="5"/>
    <n v="273015"/>
    <x v="0"/>
    <x v="0"/>
    <n v="149.514563106796"/>
    <n v="5.1844660194174796"/>
    <x v="352"/>
    <n v="33.009708737864102"/>
    <x v="0"/>
  </r>
  <r>
    <x v="935"/>
    <s v="2025-03-31"/>
    <n v="31"/>
    <x v="6"/>
    <n v="2025"/>
    <m/>
    <x v="0"/>
    <n v="271904"/>
    <x v="0"/>
    <x v="0"/>
    <n v="132.03883500000001"/>
    <n v="3"/>
    <x v="381"/>
    <n v="37.86407767"/>
    <x v="2"/>
  </r>
  <r>
    <x v="936"/>
    <s v="2025-03-14"/>
    <n v="14"/>
    <x v="6"/>
    <n v="2025"/>
    <m/>
    <x v="0"/>
    <n v="361001"/>
    <x v="0"/>
    <x v="0"/>
    <n v="170.8737864"/>
    <n v="5"/>
    <x v="214"/>
    <n v="49.514563109999997"/>
    <x v="20"/>
  </r>
  <r>
    <x v="937"/>
    <s v="2025-03-25"/>
    <n v="25"/>
    <x v="6"/>
    <n v="2025"/>
    <m/>
    <x v="0"/>
    <n v="721431"/>
    <x v="0"/>
    <x v="0"/>
    <n v="169.90291260000001"/>
    <n v="5"/>
    <x v="382"/>
    <n v="52.42718447"/>
    <x v="2"/>
  </r>
  <r>
    <x v="938"/>
    <s v="2025-03-11"/>
    <n v="11"/>
    <x v="6"/>
    <n v="2025"/>
    <m/>
    <x v="1"/>
    <n v="143001"/>
    <x v="0"/>
    <x v="0"/>
    <n v="173.78640780000001"/>
    <n v="5"/>
    <x v="383"/>
    <n v="56.310679610000001"/>
    <x v="8"/>
  </r>
  <r>
    <x v="939"/>
    <s v="2025-03-25"/>
    <n v="25"/>
    <x v="6"/>
    <n v="2025"/>
    <m/>
    <x v="1"/>
    <n v="577203"/>
    <x v="0"/>
    <x v="0"/>
    <n v="163.1067961"/>
    <n v="4"/>
    <x v="384"/>
    <n v="45.631067960000003"/>
    <x v="3"/>
  </r>
  <r>
    <x v="940"/>
    <s v="2025-03-30"/>
    <n v="30"/>
    <x v="6"/>
    <n v="2025"/>
    <m/>
    <x v="2"/>
    <n v="800006"/>
    <x v="0"/>
    <x v="0"/>
    <n v="141.7475728"/>
    <n v="4"/>
    <x v="385"/>
    <n v="47.57281553"/>
    <x v="14"/>
  </r>
  <r>
    <x v="941"/>
    <s v="2025-03-31"/>
    <n v="31"/>
    <x v="6"/>
    <n v="2025"/>
    <m/>
    <x v="0"/>
    <n v="495554"/>
    <x v="0"/>
    <x v="0"/>
    <n v="109.7087379"/>
    <n v="3"/>
    <x v="386"/>
    <n v="42.7184466"/>
    <x v="15"/>
  </r>
  <r>
    <x v="942"/>
    <s v="2025-03-24"/>
    <n v="24"/>
    <x v="6"/>
    <n v="2025"/>
    <m/>
    <x v="0"/>
    <n v="160062"/>
    <x v="0"/>
    <x v="0"/>
    <n v="166.9902913"/>
    <n v="5"/>
    <x v="387"/>
    <n v="45.631067960000003"/>
    <x v="20"/>
  </r>
  <r>
    <x v="943"/>
    <s v="2025-03-22"/>
    <n v="22"/>
    <x v="6"/>
    <n v="2025"/>
    <m/>
    <x v="3"/>
    <n v="226002"/>
    <x v="0"/>
    <x v="0"/>
    <n v="159.22330099999999"/>
    <n v="4"/>
    <x v="388"/>
    <n v="45.631067960000003"/>
    <x v="0"/>
  </r>
  <r>
    <x v="944"/>
    <s v="2025-03-27"/>
    <n v="27"/>
    <x v="6"/>
    <n v="2025"/>
    <m/>
    <x v="0"/>
    <n v="821101"/>
    <x v="0"/>
    <x v="0"/>
    <n v="169.90291260000001"/>
    <n v="5"/>
    <x v="382"/>
    <n v="52.42718447"/>
    <x v="11"/>
  </r>
  <r>
    <x v="945"/>
    <s v="2025-03-21"/>
    <n v="21"/>
    <x v="6"/>
    <n v="2025"/>
    <m/>
    <x v="3"/>
    <n v="462043"/>
    <x v="0"/>
    <x v="0"/>
    <n v="242.71844659999999"/>
    <n v="7"/>
    <x v="389"/>
    <n v="33.009708740000001"/>
    <x v="0"/>
  </r>
  <r>
    <x v="946"/>
    <s v="2025-03-27"/>
    <n v="27"/>
    <x v="6"/>
    <n v="2025"/>
    <m/>
    <x v="0"/>
    <n v="600117"/>
    <x v="0"/>
    <x v="0"/>
    <n v="169.90291260000001"/>
    <n v="5"/>
    <x v="382"/>
    <n v="52.42718447"/>
    <x v="11"/>
  </r>
  <r>
    <x v="947"/>
    <s v="2025-03-30"/>
    <n v="30"/>
    <x v="6"/>
    <n v="2025"/>
    <m/>
    <x v="1"/>
    <n v="110008"/>
    <x v="0"/>
    <x v="0"/>
    <n v="136.8932039"/>
    <n v="4"/>
    <x v="390"/>
    <n v="33.009708740000001"/>
    <x v="0"/>
  </r>
  <r>
    <x v="948"/>
    <s v="2025-03-21"/>
    <n v="21"/>
    <x v="6"/>
    <n v="2025"/>
    <m/>
    <x v="1"/>
    <n v="144022"/>
    <x v="0"/>
    <x v="0"/>
    <n v="152.42718450000001"/>
    <n v="4"/>
    <x v="391"/>
    <n v="52.42718447"/>
    <x v="4"/>
  </r>
  <r>
    <x v="949"/>
    <s v="2025-03-20"/>
    <n v="20"/>
    <x v="6"/>
    <n v="2025"/>
    <m/>
    <x v="1"/>
    <n v="700032"/>
    <x v="0"/>
    <x v="0"/>
    <n v="151.45631069999999"/>
    <n v="4"/>
    <x v="392"/>
    <n v="37.86407767"/>
    <x v="2"/>
  </r>
  <r>
    <x v="950"/>
    <s v="2025-03-26"/>
    <n v="26"/>
    <x v="6"/>
    <n v="2025"/>
    <m/>
    <x v="3"/>
    <n v="700041"/>
    <x v="0"/>
    <x v="0"/>
    <n v="161.16504850000001"/>
    <n v="4"/>
    <x v="393"/>
    <n v="49.514563109999997"/>
    <x v="7"/>
  </r>
  <r>
    <x v="951"/>
    <s v="2025-03-27"/>
    <n v="27"/>
    <x v="6"/>
    <n v="2025"/>
    <m/>
    <x v="3"/>
    <n v="201102"/>
    <x v="0"/>
    <x v="0"/>
    <n v="115.53398060000001"/>
    <n v="3"/>
    <x v="394"/>
    <n v="53.398058249999998"/>
    <x v="13"/>
  </r>
  <r>
    <x v="952"/>
    <s v="2025-03-04"/>
    <n v="4"/>
    <x v="6"/>
    <n v="2025"/>
    <m/>
    <x v="4"/>
    <n v="824203"/>
    <x v="0"/>
    <x v="0"/>
    <n v="168.93203879999999"/>
    <n v="5"/>
    <x v="395"/>
    <n v="47.57281553"/>
    <x v="0"/>
  </r>
  <r>
    <x v="953"/>
    <s v="2025-03-04"/>
    <n v="4"/>
    <x v="6"/>
    <n v="2025"/>
    <m/>
    <x v="4"/>
    <n v="786001"/>
    <x v="0"/>
    <x v="0"/>
    <n v="176.69902909999999"/>
    <n v="5"/>
    <x v="396"/>
    <n v="55.339805830000003"/>
    <x v="13"/>
  </r>
  <r>
    <x v="954"/>
    <s v="2025-03-29"/>
    <n v="29"/>
    <x v="6"/>
    <n v="2025"/>
    <m/>
    <x v="1"/>
    <n v="825313"/>
    <x v="0"/>
    <x v="0"/>
    <n v="173.78640780000001"/>
    <n v="5"/>
    <x v="383"/>
    <n v="52.42718447"/>
    <x v="6"/>
  </r>
  <r>
    <x v="955"/>
    <s v="2025-03-04"/>
    <n v="4"/>
    <x v="6"/>
    <n v="2025"/>
    <m/>
    <x v="0"/>
    <n v="506002"/>
    <x v="0"/>
    <x v="0"/>
    <n v="144.66019420000001"/>
    <n v="4"/>
    <x v="397"/>
    <n v="40.776699030000003"/>
    <x v="7"/>
  </r>
  <r>
    <x v="956"/>
    <s v="2025-03-03"/>
    <n v="3"/>
    <x v="6"/>
    <n v="2025"/>
    <m/>
    <x v="3"/>
    <n v="400101"/>
    <x v="0"/>
    <x v="0"/>
    <n v="197.08737859999999"/>
    <n v="5"/>
    <x v="181"/>
    <n v="56.310679610000001"/>
    <x v="7"/>
  </r>
  <r>
    <x v="957"/>
    <s v="2025-03-06"/>
    <n v="6"/>
    <x v="6"/>
    <n v="2025"/>
    <m/>
    <x v="3"/>
    <n v="144211"/>
    <x v="0"/>
    <x v="0"/>
    <n v="169.90291260000001"/>
    <n v="5"/>
    <x v="382"/>
    <n v="51.456310680000001"/>
    <x v="15"/>
  </r>
  <r>
    <x v="958"/>
    <s v="2025-03-19"/>
    <n v="19"/>
    <x v="6"/>
    <n v="2025"/>
    <m/>
    <x v="4"/>
    <n v="843119"/>
    <x v="0"/>
    <x v="0"/>
    <n v="258.2524272"/>
    <n v="7"/>
    <x v="398"/>
    <n v="70.873786409999994"/>
    <x v="32"/>
  </r>
  <r>
    <x v="959"/>
    <s v="2025-03-06"/>
    <n v="6"/>
    <x v="6"/>
    <n v="2025"/>
    <m/>
    <x v="1"/>
    <n v="174001"/>
    <x v="0"/>
    <x v="0"/>
    <n v="177.66990290000001"/>
    <n v="5"/>
    <x v="399"/>
    <n v="56.310679610000001"/>
    <x v="12"/>
  </r>
  <r>
    <x v="960"/>
    <s v="2025-03-27"/>
    <n v="27"/>
    <x v="6"/>
    <n v="2025"/>
    <m/>
    <x v="3"/>
    <n v="202002"/>
    <x v="0"/>
    <x v="0"/>
    <n v="193.20388349999999"/>
    <n v="5"/>
    <x v="400"/>
    <n v="52.42718447"/>
    <x v="13"/>
  </r>
  <r>
    <x v="961"/>
    <s v="2025-03-21"/>
    <n v="21"/>
    <x v="6"/>
    <n v="2025"/>
    <m/>
    <x v="4"/>
    <n v="151001"/>
    <x v="0"/>
    <x v="0"/>
    <n v="129.1262136"/>
    <n v="3"/>
    <x v="401"/>
    <n v="37.86407767"/>
    <x v="11"/>
  </r>
  <r>
    <x v="962"/>
    <s v="2025-03-23"/>
    <n v="23"/>
    <x v="6"/>
    <n v="2025"/>
    <m/>
    <x v="0"/>
    <n v="301701"/>
    <x v="0"/>
    <x v="0"/>
    <n v="137.8640777"/>
    <n v="4"/>
    <x v="402"/>
    <n v="45.631067960000003"/>
    <x v="9"/>
  </r>
  <r>
    <x v="963"/>
    <s v="2025-03-13"/>
    <n v="13"/>
    <x v="6"/>
    <n v="2025"/>
    <m/>
    <x v="0"/>
    <n v="415604"/>
    <x v="0"/>
    <x v="0"/>
    <n v="134.95145629999999"/>
    <n v="4"/>
    <x v="403"/>
    <n v="55.339805830000003"/>
    <x v="4"/>
  </r>
  <r>
    <x v="964"/>
    <s v="2025-03-16"/>
    <n v="16"/>
    <x v="6"/>
    <n v="2025"/>
    <m/>
    <x v="3"/>
    <n v="221010"/>
    <x v="0"/>
    <x v="0"/>
    <n v="184.46601939999999"/>
    <n v="5"/>
    <x v="404"/>
    <n v="70.873786409999994"/>
    <x v="31"/>
  </r>
  <r>
    <x v="965"/>
    <s v="2025-03-31"/>
    <n v="31"/>
    <x v="6"/>
    <n v="2025"/>
    <m/>
    <x v="0"/>
    <n v="570031"/>
    <x v="0"/>
    <x v="0"/>
    <n v="166.0194175"/>
    <n v="4"/>
    <x v="405"/>
    <n v="44.660194169999997"/>
    <x v="15"/>
  </r>
  <r>
    <x v="966"/>
    <s v="2025-03-03"/>
    <n v="3"/>
    <x v="6"/>
    <n v="2025"/>
    <m/>
    <x v="2"/>
    <n v="140307"/>
    <x v="0"/>
    <x v="0"/>
    <n v="166.9902913"/>
    <n v="5"/>
    <x v="387"/>
    <n v="55.339805830000003"/>
    <x v="17"/>
  </r>
  <r>
    <x v="967"/>
    <s v="2025-03-10"/>
    <n v="10"/>
    <x v="6"/>
    <n v="2025"/>
    <m/>
    <x v="0"/>
    <n v="263153"/>
    <x v="0"/>
    <x v="0"/>
    <n v="158.2524272"/>
    <n v="4"/>
    <x v="406"/>
    <n v="55.339805830000003"/>
    <x v="11"/>
  </r>
  <r>
    <x v="968"/>
    <s v="2025-03-25"/>
    <n v="25"/>
    <x v="6"/>
    <n v="2025"/>
    <m/>
    <x v="1"/>
    <n v="700041"/>
    <x v="0"/>
    <x v="0"/>
    <n v="168.93203879999999"/>
    <n v="5"/>
    <x v="395"/>
    <n v="47.57281553"/>
    <x v="15"/>
  </r>
  <r>
    <x v="969"/>
    <s v="2025-03-13"/>
    <n v="13"/>
    <x v="6"/>
    <n v="2025"/>
    <m/>
    <x v="0"/>
    <n v="515201"/>
    <x v="0"/>
    <x v="0"/>
    <n v="139.80582519999999"/>
    <n v="4"/>
    <x v="407"/>
    <n v="35.922330100000003"/>
    <x v="11"/>
  </r>
  <r>
    <x v="970"/>
    <s v="2025-03-03"/>
    <n v="3"/>
    <x v="6"/>
    <n v="2025"/>
    <m/>
    <x v="0"/>
    <n v="821301"/>
    <x v="0"/>
    <x v="0"/>
    <n v="166.9902913"/>
    <n v="5"/>
    <x v="387"/>
    <n v="45.631067960000003"/>
    <x v="0"/>
  </r>
  <r>
    <x v="971"/>
    <s v="2025-03-11"/>
    <n v="11"/>
    <x v="6"/>
    <n v="2025"/>
    <m/>
    <x v="3"/>
    <n v="140603"/>
    <x v="0"/>
    <x v="0"/>
    <n v="145.631068"/>
    <n v="4"/>
    <x v="408"/>
    <n v="41.747572820000002"/>
    <x v="8"/>
  </r>
  <r>
    <x v="972"/>
    <s v="2025-03-10"/>
    <n v="10"/>
    <x v="6"/>
    <n v="2025"/>
    <m/>
    <x v="3"/>
    <n v="283111"/>
    <x v="0"/>
    <x v="0"/>
    <n v="167.96116499999999"/>
    <n v="5"/>
    <x v="409"/>
    <n v="46.601941750000002"/>
    <x v="15"/>
  </r>
  <r>
    <x v="973"/>
    <s v="2025-03-17"/>
    <n v="17"/>
    <x v="6"/>
    <n v="2025"/>
    <m/>
    <x v="5"/>
    <n v="110020"/>
    <x v="0"/>
    <x v="0"/>
    <n v="154.368932"/>
    <n v="4"/>
    <x v="410"/>
    <n v="37.86407767"/>
    <x v="20"/>
  </r>
  <r>
    <x v="974"/>
    <s v="2025-03-29"/>
    <n v="29"/>
    <x v="6"/>
    <n v="2025"/>
    <m/>
    <x v="3"/>
    <n v="843146"/>
    <x v="0"/>
    <x v="0"/>
    <n v="166.0194175"/>
    <n v="4"/>
    <x v="405"/>
    <n v="44.660194169999997"/>
    <x v="5"/>
  </r>
  <r>
    <x v="975"/>
    <s v="2025-03-17"/>
    <n v="17"/>
    <x v="6"/>
    <n v="2025"/>
    <m/>
    <x v="0"/>
    <n v="743355"/>
    <x v="0"/>
    <x v="0"/>
    <n v="225.2427184"/>
    <n v="6"/>
    <x v="411"/>
    <n v="37.86407767"/>
    <x v="3"/>
  </r>
  <r>
    <x v="976"/>
    <s v="2025-03-22"/>
    <n v="22"/>
    <x v="6"/>
    <n v="2025"/>
    <m/>
    <x v="3"/>
    <n v="509376"/>
    <x v="0"/>
    <x v="0"/>
    <n v="152.42718450000001"/>
    <n v="4"/>
    <x v="391"/>
    <n v="52.42718447"/>
    <x v="4"/>
  </r>
  <r>
    <x v="977"/>
    <s v="2025-03-23"/>
    <n v="23"/>
    <x v="6"/>
    <n v="2025"/>
    <m/>
    <x v="3"/>
    <n v="110043"/>
    <x v="0"/>
    <x v="0"/>
    <n v="181.55339810000001"/>
    <n v="5"/>
    <x v="412"/>
    <n v="45.631067960000003"/>
    <x v="3"/>
  </r>
  <r>
    <x v="978"/>
    <s v="2025-03-22"/>
    <n v="22"/>
    <x v="6"/>
    <n v="2025"/>
    <m/>
    <x v="3"/>
    <n v="743165"/>
    <x v="0"/>
    <x v="0"/>
    <n v="87.378640799999999"/>
    <n v="2"/>
    <x v="413"/>
    <n v="41.747572820000002"/>
    <x v="24"/>
  </r>
  <r>
    <x v="979"/>
    <s v="2025-03-04"/>
    <n v="4"/>
    <x v="6"/>
    <n v="2025"/>
    <m/>
    <x v="3"/>
    <n v="852137"/>
    <x v="0"/>
    <x v="0"/>
    <n v="166.9902913"/>
    <n v="5"/>
    <x v="387"/>
    <n v="48.543689319999999"/>
    <x v="16"/>
  </r>
  <r>
    <x v="980"/>
    <s v="2025-03-08"/>
    <n v="8"/>
    <x v="6"/>
    <n v="2025"/>
    <m/>
    <x v="0"/>
    <n v="762010"/>
    <x v="0"/>
    <x v="0"/>
    <n v="170.8737864"/>
    <n v="5"/>
    <x v="214"/>
    <n v="49.514563109999997"/>
    <x v="0"/>
  </r>
  <r>
    <x v="981"/>
    <s v="2025-03-28"/>
    <n v="28"/>
    <x v="6"/>
    <n v="2025"/>
    <m/>
    <x v="0"/>
    <n v="276403"/>
    <x v="0"/>
    <x v="0"/>
    <n v="192.2330097"/>
    <n v="5"/>
    <x v="414"/>
    <n v="70.873786409999994"/>
    <x v="10"/>
  </r>
  <r>
    <x v="982"/>
    <s v="2025-03-25"/>
    <n v="25"/>
    <x v="6"/>
    <n v="2025"/>
    <m/>
    <x v="3"/>
    <n v="811302"/>
    <x v="0"/>
    <x v="0"/>
    <n v="156.31067959999999"/>
    <n v="4"/>
    <x v="415"/>
    <n v="52.42718447"/>
    <x v="6"/>
  </r>
  <r>
    <x v="983"/>
    <s v="2025-03-23"/>
    <n v="23"/>
    <x v="6"/>
    <n v="2025"/>
    <m/>
    <x v="4"/>
    <n v="805131"/>
    <x v="0"/>
    <x v="0"/>
    <n v="152.42718450000001"/>
    <n v="4"/>
    <x v="391"/>
    <n v="52.42718447"/>
    <x v="4"/>
  </r>
  <r>
    <x v="984"/>
    <s v="2025-03-14"/>
    <n v="14"/>
    <x v="6"/>
    <n v="2025"/>
    <m/>
    <x v="1"/>
    <n v="190007"/>
    <x v="0"/>
    <x v="0"/>
    <n v="102.91262140000001"/>
    <n v="3"/>
    <x v="416"/>
    <n v="40.776699030000003"/>
    <x v="6"/>
  </r>
  <r>
    <x v="985"/>
    <s v="2025-03-19"/>
    <n v="19"/>
    <x v="6"/>
    <n v="2025"/>
    <m/>
    <x v="1"/>
    <n v="811213"/>
    <x v="0"/>
    <x v="0"/>
    <n v="143.68932040000001"/>
    <n v="4"/>
    <x v="417"/>
    <n v="52.42718447"/>
    <x v="1"/>
  </r>
  <r>
    <x v="986"/>
    <s v="2025-03-18"/>
    <n v="18"/>
    <x v="6"/>
    <n v="2025"/>
    <m/>
    <x v="1"/>
    <n v="229301"/>
    <x v="0"/>
    <x v="0"/>
    <n v="135.92233010000001"/>
    <n v="4"/>
    <x v="418"/>
    <n v="37.86407767"/>
    <x v="7"/>
  </r>
  <r>
    <x v="987"/>
    <s v="2025-03-19"/>
    <n v="19"/>
    <x v="6"/>
    <n v="2025"/>
    <m/>
    <x v="1"/>
    <n v="143521"/>
    <x v="0"/>
    <x v="0"/>
    <n v="166.0194175"/>
    <n v="4"/>
    <x v="405"/>
    <n v="52.42718447"/>
    <x v="12"/>
  </r>
  <r>
    <x v="988"/>
    <s v="2025-03-14"/>
    <n v="14"/>
    <x v="6"/>
    <n v="2025"/>
    <m/>
    <x v="3"/>
    <n v="572137"/>
    <x v="0"/>
    <x v="0"/>
    <n v="150.4854369"/>
    <n v="4"/>
    <x v="419"/>
    <n v="47.57281553"/>
    <x v="0"/>
  </r>
  <r>
    <x v="989"/>
    <s v="2025-03-23"/>
    <n v="23"/>
    <x v="6"/>
    <n v="2025"/>
    <m/>
    <x v="3"/>
    <n v="175027"/>
    <x v="0"/>
    <x v="0"/>
    <n v="172.81553400000001"/>
    <n v="5"/>
    <x v="420"/>
    <n v="43.689320389999999"/>
    <x v="0"/>
  </r>
  <r>
    <x v="990"/>
    <s v="2025-03-11"/>
    <n v="11"/>
    <x v="6"/>
    <n v="2025"/>
    <m/>
    <x v="0"/>
    <n v="825325"/>
    <x v="4"/>
    <x v="1"/>
    <n v="230.5084746"/>
    <n v="41"/>
    <x v="421"/>
    <n v="45.762711860000003"/>
    <x v="9"/>
  </r>
  <r>
    <x v="991"/>
    <s v="2025-03-14"/>
    <n v="14"/>
    <x v="6"/>
    <n v="2025"/>
    <m/>
    <x v="3"/>
    <n v="301701"/>
    <x v="0"/>
    <x v="0"/>
    <n v="177.66990290000001"/>
    <n v="5"/>
    <x v="399"/>
    <n v="56.310679610000001"/>
    <x v="5"/>
  </r>
  <r>
    <x v="992"/>
    <s v="2025-03-11"/>
    <n v="11"/>
    <x v="6"/>
    <n v="2025"/>
    <m/>
    <x v="0"/>
    <n v="853201"/>
    <x v="0"/>
    <x v="0"/>
    <n v="274.7572816"/>
    <n v="8"/>
    <x v="422"/>
    <n v="56.310679610000001"/>
    <x v="11"/>
  </r>
  <r>
    <x v="993"/>
    <s v="2025-03-27"/>
    <n v="27"/>
    <x v="6"/>
    <n v="2025"/>
    <m/>
    <x v="3"/>
    <n v="843129"/>
    <x v="0"/>
    <x v="0"/>
    <n v="149.5145631"/>
    <n v="4"/>
    <x v="423"/>
    <n v="52.42718447"/>
    <x v="11"/>
  </r>
  <r>
    <x v="994"/>
    <s v="2025-03-08"/>
    <n v="8"/>
    <x v="6"/>
    <n v="2025"/>
    <m/>
    <x v="0"/>
    <n v="534450"/>
    <x v="0"/>
    <x v="0"/>
    <n v="169.90291260000001"/>
    <n v="5"/>
    <x v="382"/>
    <n v="48.543689319999999"/>
    <x v="12"/>
  </r>
  <r>
    <x v="995"/>
    <s v="2025-03-29"/>
    <n v="29"/>
    <x v="6"/>
    <n v="2025"/>
    <m/>
    <x v="3"/>
    <n v="721101"/>
    <x v="0"/>
    <x v="0"/>
    <n v="136.8932039"/>
    <n v="4"/>
    <x v="390"/>
    <n v="33.980582519999999"/>
    <x v="5"/>
  </r>
  <r>
    <x v="996"/>
    <s v="2025-03-16"/>
    <n v="16"/>
    <x v="6"/>
    <n v="2025"/>
    <m/>
    <x v="0"/>
    <n v="813205"/>
    <x v="0"/>
    <x v="0"/>
    <n v="247.57281549999999"/>
    <n v="7"/>
    <x v="424"/>
    <n v="37.86407767"/>
    <x v="4"/>
  </r>
  <r>
    <x v="997"/>
    <s v="2025-03-15"/>
    <n v="15"/>
    <x v="6"/>
    <n v="2025"/>
    <m/>
    <x v="0"/>
    <n v="228159"/>
    <x v="0"/>
    <x v="0"/>
    <n v="177.66990290000001"/>
    <n v="5"/>
    <x v="399"/>
    <n v="56.310679610000001"/>
    <x v="5"/>
  </r>
  <r>
    <x v="998"/>
    <s v="2025-03-16"/>
    <n v="16"/>
    <x v="6"/>
    <n v="2025"/>
    <m/>
    <x v="0"/>
    <n v="486340"/>
    <x v="0"/>
    <x v="0"/>
    <n v="145.631068"/>
    <n v="4"/>
    <x v="408"/>
    <n v="45.631067960000003"/>
    <x v="0"/>
  </r>
  <r>
    <x v="999"/>
    <s v="2025-03-16"/>
    <n v="16"/>
    <x v="6"/>
    <n v="2025"/>
    <m/>
    <x v="1"/>
    <n v="201304"/>
    <x v="0"/>
    <x v="0"/>
    <n v="147.57281549999999"/>
    <n v="4"/>
    <x v="425"/>
    <n v="47.57281553"/>
    <x v="18"/>
  </r>
  <r>
    <x v="1000"/>
    <s v="2025-03-18"/>
    <n v="18"/>
    <x v="6"/>
    <n v="2025"/>
    <m/>
    <x v="3"/>
    <n v="301701"/>
    <x v="0"/>
    <x v="0"/>
    <n v="129.1262136"/>
    <n v="3"/>
    <x v="401"/>
    <n v="37.86407767"/>
    <x v="7"/>
  </r>
  <r>
    <x v="1001"/>
    <s v="2025-03-06"/>
    <n v="6"/>
    <x v="6"/>
    <n v="2025"/>
    <m/>
    <x v="0"/>
    <n v="344001"/>
    <x v="0"/>
    <x v="0"/>
    <n v="161.16504850000001"/>
    <n v="4"/>
    <x v="393"/>
    <n v="49.514563109999997"/>
    <x v="0"/>
  </r>
  <r>
    <x v="1002"/>
    <s v="2025-03-15"/>
    <n v="15"/>
    <x v="6"/>
    <n v="2025"/>
    <m/>
    <x v="3"/>
    <n v="110053"/>
    <x v="0"/>
    <x v="0"/>
    <n v="120.3883495"/>
    <n v="3"/>
    <x v="426"/>
    <n v="40.776699030000003"/>
    <x v="18"/>
  </r>
  <r>
    <x v="1003"/>
    <s v="2025-03-10"/>
    <n v="10"/>
    <x v="6"/>
    <n v="2025"/>
    <m/>
    <x v="4"/>
    <n v="522001"/>
    <x v="0"/>
    <x v="0"/>
    <n v="172.81553400000001"/>
    <n v="5"/>
    <x v="420"/>
    <n v="51.456310680000001"/>
    <x v="15"/>
  </r>
  <r>
    <x v="1004"/>
    <s v="2025-03-25"/>
    <n v="25"/>
    <x v="6"/>
    <n v="2025"/>
    <m/>
    <x v="4"/>
    <n v="600012"/>
    <x v="0"/>
    <x v="0"/>
    <n v="157.28155340000001"/>
    <n v="4"/>
    <x v="427"/>
    <n v="45.631067960000003"/>
    <x v="20"/>
  </r>
  <r>
    <x v="1005"/>
    <s v="2025-03-22"/>
    <n v="22"/>
    <x v="6"/>
    <n v="2025"/>
    <m/>
    <x v="5"/>
    <n v="600057"/>
    <x v="0"/>
    <x v="0"/>
    <n v="154.368932"/>
    <n v="4"/>
    <x v="410"/>
    <n v="37.86407767"/>
    <x v="12"/>
  </r>
  <r>
    <x v="1006"/>
    <s v="2025-03-23"/>
    <n v="23"/>
    <x v="6"/>
    <n v="2025"/>
    <m/>
    <x v="4"/>
    <n v="277501"/>
    <x v="0"/>
    <x v="0"/>
    <n v="149.5145631"/>
    <n v="4"/>
    <x v="423"/>
    <n v="37.86407767"/>
    <x v="13"/>
  </r>
  <r>
    <x v="1007"/>
    <s v="2025-03-16"/>
    <n v="16"/>
    <x v="6"/>
    <n v="2025"/>
    <m/>
    <x v="3"/>
    <n v="301701"/>
    <x v="0"/>
    <x v="0"/>
    <n v="133.9805825"/>
    <n v="4"/>
    <x v="428"/>
    <n v="35.922330100000003"/>
    <x v="0"/>
  </r>
  <r>
    <x v="1008"/>
    <s v="2025-03-06"/>
    <n v="6"/>
    <x v="6"/>
    <n v="2025"/>
    <m/>
    <x v="3"/>
    <n v="491995"/>
    <x v="0"/>
    <x v="0"/>
    <n v="168.93203879999999"/>
    <n v="5"/>
    <x v="395"/>
    <n v="57.2815534"/>
    <x v="17"/>
  </r>
  <r>
    <x v="1009"/>
    <s v="2025-03-08"/>
    <n v="8"/>
    <x v="6"/>
    <n v="2025"/>
    <m/>
    <x v="1"/>
    <n v="735214"/>
    <x v="0"/>
    <x v="0"/>
    <n v="190.29126210000001"/>
    <n v="5"/>
    <x v="429"/>
    <n v="49.514563109999997"/>
    <x v="3"/>
  </r>
  <r>
    <x v="1010"/>
    <s v="2025-03-07"/>
    <n v="7"/>
    <x v="6"/>
    <n v="2025"/>
    <m/>
    <x v="0"/>
    <n v="534324"/>
    <x v="0"/>
    <x v="0"/>
    <n v="176.69902909999999"/>
    <n v="5"/>
    <x v="396"/>
    <n v="55.339805830000003"/>
    <x v="13"/>
  </r>
  <r>
    <x v="1011"/>
    <s v="2025-03-15"/>
    <n v="15"/>
    <x v="6"/>
    <n v="2025"/>
    <m/>
    <x v="0"/>
    <n v="813203"/>
    <x v="0"/>
    <x v="0"/>
    <n v="153.3980583"/>
    <n v="4"/>
    <x v="430"/>
    <n v="49.514563109999997"/>
    <x v="22"/>
  </r>
  <r>
    <x v="1012"/>
    <s v="2025-03-10"/>
    <n v="10"/>
    <x v="6"/>
    <n v="2025"/>
    <m/>
    <x v="0"/>
    <n v="121003"/>
    <x v="0"/>
    <x v="0"/>
    <n v="255.33980579999999"/>
    <n v="7"/>
    <x v="431"/>
    <n v="36.893203880000002"/>
    <x v="0"/>
  </r>
  <r>
    <x v="1013"/>
    <s v="2025-03-06"/>
    <n v="6"/>
    <x v="6"/>
    <n v="2025"/>
    <m/>
    <x v="2"/>
    <n v="422001"/>
    <x v="0"/>
    <x v="0"/>
    <n v="160.19417480000001"/>
    <n v="4"/>
    <x v="432"/>
    <n v="56.310679610000001"/>
    <x v="5"/>
  </r>
  <r>
    <x v="1014"/>
    <s v="2025-03-24"/>
    <n v="24"/>
    <x v="6"/>
    <n v="2025"/>
    <m/>
    <x v="3"/>
    <n v="221010"/>
    <x v="0"/>
    <x v="0"/>
    <n v="173.78640780000001"/>
    <n v="5"/>
    <x v="383"/>
    <n v="52.42718447"/>
    <x v="6"/>
  </r>
  <r>
    <x v="1015"/>
    <s v="2025-03-23"/>
    <n v="23"/>
    <x v="6"/>
    <n v="2025"/>
    <m/>
    <x v="3"/>
    <n v="841287"/>
    <x v="0"/>
    <x v="0"/>
    <n v="166.0194175"/>
    <n v="4"/>
    <x v="405"/>
    <n v="36.893203880000002"/>
    <x v="18"/>
  </r>
  <r>
    <x v="1016"/>
    <s v="2025-03-10"/>
    <n v="10"/>
    <x v="6"/>
    <n v="2025"/>
    <m/>
    <x v="3"/>
    <n v="110043"/>
    <x v="0"/>
    <x v="0"/>
    <n v="199.02912620000001"/>
    <n v="5"/>
    <x v="433"/>
    <n v="74.757281550000002"/>
    <x v="8"/>
  </r>
  <r>
    <x v="1017"/>
    <s v="2025-03-31"/>
    <n v="31"/>
    <x v="6"/>
    <n v="2025"/>
    <m/>
    <x v="1"/>
    <n v="500007"/>
    <x v="0"/>
    <x v="0"/>
    <n v="169.90291260000001"/>
    <n v="5"/>
    <x v="382"/>
    <n v="52.42718447"/>
    <x v="1"/>
  </r>
  <r>
    <x v="1018"/>
    <s v="2025-03-23"/>
    <n v="23"/>
    <x v="6"/>
    <n v="2025"/>
    <m/>
    <x v="0"/>
    <n v="277001"/>
    <x v="0"/>
    <x v="0"/>
    <n v="151.45631069999999"/>
    <n v="4"/>
    <x v="392"/>
    <n v="37.86407767"/>
    <x v="13"/>
  </r>
  <r>
    <x v="1019"/>
    <s v="2025-03-27"/>
    <n v="27"/>
    <x v="6"/>
    <n v="2025"/>
    <m/>
    <x v="4"/>
    <n v="110043"/>
    <x v="0"/>
    <x v="0"/>
    <n v="149.5145631"/>
    <n v="4"/>
    <x v="423"/>
    <n v="42.7184466"/>
    <x v="0"/>
  </r>
  <r>
    <x v="1020"/>
    <s v="2025-03-17"/>
    <n v="17"/>
    <x v="6"/>
    <n v="2025"/>
    <m/>
    <x v="1"/>
    <n v="497333"/>
    <x v="0"/>
    <x v="0"/>
    <n v="162.1359223"/>
    <n v="4"/>
    <x v="434"/>
    <n v="45.631067960000003"/>
    <x v="20"/>
  </r>
  <r>
    <x v="1021"/>
    <s v="2025-03-04"/>
    <n v="4"/>
    <x v="6"/>
    <n v="2025"/>
    <m/>
    <x v="2"/>
    <n v="455111"/>
    <x v="0"/>
    <x v="0"/>
    <n v="89.320388300000005"/>
    <n v="2"/>
    <x v="435"/>
    <n v="41.747572820000002"/>
    <x v="17"/>
  </r>
  <r>
    <x v="1022"/>
    <s v="2025-03-07"/>
    <n v="7"/>
    <x v="6"/>
    <n v="2025"/>
    <m/>
    <x v="1"/>
    <n v="201013"/>
    <x v="0"/>
    <x v="0"/>
    <n v="174.7572816"/>
    <n v="5"/>
    <x v="436"/>
    <n v="53.398058249999998"/>
    <x v="5"/>
  </r>
  <r>
    <x v="1023"/>
    <s v="2025-03-21"/>
    <n v="21"/>
    <x v="6"/>
    <n v="2025"/>
    <m/>
    <x v="3"/>
    <n v="144211"/>
    <x v="0"/>
    <x v="0"/>
    <n v="187.3786408"/>
    <n v="5"/>
    <x v="437"/>
    <n v="70.873786409999994"/>
    <x v="33"/>
  </r>
  <r>
    <x v="1024"/>
    <s v="2025-03-16"/>
    <n v="16"/>
    <x v="6"/>
    <n v="2025"/>
    <m/>
    <x v="0"/>
    <n v="742213"/>
    <x v="0"/>
    <x v="0"/>
    <n v="164.07766989999999"/>
    <n v="4"/>
    <x v="438"/>
    <n v="44.660194169999997"/>
    <x v="15"/>
  </r>
  <r>
    <x v="1025"/>
    <s v="2025-03-20"/>
    <n v="20"/>
    <x v="6"/>
    <n v="2025"/>
    <m/>
    <x v="3"/>
    <n v="816115"/>
    <x v="0"/>
    <x v="0"/>
    <n v="160.19417480000001"/>
    <n v="4"/>
    <x v="432"/>
    <n v="52.42718447"/>
    <x v="4"/>
  </r>
  <r>
    <x v="1026"/>
    <s v="2025-03-05"/>
    <n v="5"/>
    <x v="6"/>
    <n v="2025"/>
    <m/>
    <x v="2"/>
    <n v="302025"/>
    <x v="0"/>
    <x v="0"/>
    <n v="145.631068"/>
    <n v="4"/>
    <x v="408"/>
    <n v="48.543689319999999"/>
    <x v="0"/>
  </r>
  <r>
    <x v="1027"/>
    <s v="2025-03-24"/>
    <n v="24"/>
    <x v="6"/>
    <n v="2025"/>
    <m/>
    <x v="5"/>
    <n v="462003"/>
    <x v="0"/>
    <x v="0"/>
    <n v="151.45631069999999"/>
    <n v="4"/>
    <x v="392"/>
    <n v="33.980582519999999"/>
    <x v="0"/>
  </r>
  <r>
    <x v="1028"/>
    <s v="2025-03-25"/>
    <n v="25"/>
    <x v="6"/>
    <n v="2025"/>
    <m/>
    <x v="0"/>
    <n v="224190"/>
    <x v="0"/>
    <x v="0"/>
    <n v="155.33980579999999"/>
    <n v="4"/>
    <x v="439"/>
    <n v="37.86407767"/>
    <x v="1"/>
  </r>
  <r>
    <x v="1029"/>
    <s v="2025-03-20"/>
    <n v="20"/>
    <x v="6"/>
    <n v="2025"/>
    <m/>
    <x v="0"/>
    <n v="303007"/>
    <x v="0"/>
    <x v="0"/>
    <n v="153.3980583"/>
    <n v="4"/>
    <x v="430"/>
    <n v="45.631067960000003"/>
    <x v="0"/>
  </r>
  <r>
    <x v="1030"/>
    <s v="2025-03-14"/>
    <n v="14"/>
    <x v="6"/>
    <n v="2025"/>
    <m/>
    <x v="3"/>
    <n v="491222"/>
    <x v="0"/>
    <x v="0"/>
    <n v="177.66990290000001"/>
    <n v="5"/>
    <x v="399"/>
    <n v="56.310679610000001"/>
    <x v="5"/>
  </r>
  <r>
    <x v="1031"/>
    <s v="2025-03-30"/>
    <n v="30"/>
    <x v="6"/>
    <n v="2025"/>
    <m/>
    <x v="1"/>
    <n v="412207"/>
    <x v="0"/>
    <x v="0"/>
    <n v="156.31067959999999"/>
    <n v="4"/>
    <x v="415"/>
    <n v="52.42718447"/>
    <x v="7"/>
  </r>
  <r>
    <x v="1032"/>
    <s v="2025-03-25"/>
    <n v="25"/>
    <x v="6"/>
    <n v="2025"/>
    <m/>
    <x v="4"/>
    <n v="224208"/>
    <x v="0"/>
    <x v="0"/>
    <n v="173.78640780000001"/>
    <n v="5"/>
    <x v="383"/>
    <n v="52.42718447"/>
    <x v="13"/>
  </r>
  <r>
    <x v="1033"/>
    <s v="2025-03-18"/>
    <n v="18"/>
    <x v="6"/>
    <n v="2025"/>
    <m/>
    <x v="0"/>
    <n v="281004"/>
    <x v="0"/>
    <x v="0"/>
    <n v="142.71844659999999"/>
    <n v="4"/>
    <x v="440"/>
    <n v="44.660194169999997"/>
    <x v="0"/>
  </r>
  <r>
    <x v="1034"/>
    <s v="2025-03-22"/>
    <n v="22"/>
    <x v="6"/>
    <n v="2025"/>
    <m/>
    <x v="0"/>
    <n v="272175"/>
    <x v="0"/>
    <x v="0"/>
    <n v="147.57281549999999"/>
    <n v="4"/>
    <x v="425"/>
    <n v="47.57281553"/>
    <x v="5"/>
  </r>
  <r>
    <x v="1035"/>
    <s v="2025-03-07"/>
    <n v="7"/>
    <x v="6"/>
    <n v="2025"/>
    <m/>
    <x v="1"/>
    <n v="813203"/>
    <x v="0"/>
    <x v="0"/>
    <n v="170.8737864"/>
    <n v="5"/>
    <x v="214"/>
    <n v="49.514563109999997"/>
    <x v="0"/>
  </r>
  <r>
    <x v="1036"/>
    <s v="2025-03-11"/>
    <n v="11"/>
    <x v="6"/>
    <n v="2025"/>
    <m/>
    <x v="0"/>
    <n v="272190"/>
    <x v="0"/>
    <x v="0"/>
    <n v="160.19417480000001"/>
    <n v="4"/>
    <x v="432"/>
    <n v="56.310679610000001"/>
    <x v="11"/>
  </r>
  <r>
    <x v="1037"/>
    <s v="2025-03-29"/>
    <n v="29"/>
    <x v="6"/>
    <n v="2025"/>
    <m/>
    <x v="1"/>
    <n v="143103"/>
    <x v="0"/>
    <x v="0"/>
    <n v="155.33980579999999"/>
    <n v="4"/>
    <x v="439"/>
    <n v="37.86407767"/>
    <x v="13"/>
  </r>
  <r>
    <x v="1038"/>
    <s v="2025-03-18"/>
    <n v="18"/>
    <x v="6"/>
    <n v="2025"/>
    <m/>
    <x v="0"/>
    <n v="277401"/>
    <x v="0"/>
    <x v="0"/>
    <n v="129.1262136"/>
    <n v="3"/>
    <x v="401"/>
    <n v="37.86407767"/>
    <x v="12"/>
  </r>
  <r>
    <x v="1039"/>
    <s v="2025-03-23"/>
    <n v="23"/>
    <x v="6"/>
    <n v="2025"/>
    <m/>
    <x v="0"/>
    <n v="560035"/>
    <x v="0"/>
    <x v="0"/>
    <n v="262.1359223"/>
    <n v="7"/>
    <x v="441"/>
    <n v="52.42718447"/>
    <x v="12"/>
  </r>
  <r>
    <x v="1040"/>
    <s v="2025-03-03"/>
    <n v="3"/>
    <x v="6"/>
    <n v="2025"/>
    <m/>
    <x v="1"/>
    <n v="110047"/>
    <x v="0"/>
    <x v="0"/>
    <n v="230.09708739999999"/>
    <n v="6"/>
    <x v="442"/>
    <n v="50.485436890000003"/>
    <x v="3"/>
  </r>
  <r>
    <x v="1041"/>
    <s v="2025-03-17"/>
    <n v="17"/>
    <x v="6"/>
    <n v="2025"/>
    <m/>
    <x v="3"/>
    <n v="753001"/>
    <x v="0"/>
    <x v="0"/>
    <n v="154.368932"/>
    <n v="4"/>
    <x v="410"/>
    <n v="37.86407767"/>
    <x v="20"/>
  </r>
  <r>
    <x v="1042"/>
    <s v="2025-03-12"/>
    <n v="12"/>
    <x v="6"/>
    <n v="2025"/>
    <m/>
    <x v="4"/>
    <n v="816115"/>
    <x v="0"/>
    <x v="0"/>
    <n v="269.90291259999998"/>
    <n v="8"/>
    <x v="443"/>
    <n v="51.456310680000001"/>
    <x v="8"/>
  </r>
  <r>
    <x v="1043"/>
    <s v="2025-03-12"/>
    <n v="12"/>
    <x v="6"/>
    <n v="2025"/>
    <m/>
    <x v="1"/>
    <n v="228171"/>
    <x v="0"/>
    <x v="0"/>
    <n v="144.66019420000001"/>
    <n v="4"/>
    <x v="397"/>
    <n v="47.57281553"/>
    <x v="0"/>
  </r>
  <r>
    <x v="1044"/>
    <s v="2025-03-16"/>
    <n v="16"/>
    <x v="6"/>
    <n v="2025"/>
    <m/>
    <x v="3"/>
    <n v="141016"/>
    <x v="0"/>
    <x v="0"/>
    <n v="168.93203879999999"/>
    <n v="5"/>
    <x v="395"/>
    <n v="70.873786409999994"/>
    <x v="10"/>
  </r>
  <r>
    <x v="1045"/>
    <s v="2025-03-31"/>
    <n v="31"/>
    <x v="6"/>
    <n v="2025"/>
    <m/>
    <x v="1"/>
    <n v="276137"/>
    <x v="0"/>
    <x v="0"/>
    <n v="156.31067959999999"/>
    <n v="4"/>
    <x v="415"/>
    <n v="52.42718447"/>
    <x v="5"/>
  </r>
  <r>
    <x v="1046"/>
    <s v="2025-03-31"/>
    <n v="31"/>
    <x v="6"/>
    <n v="2025"/>
    <m/>
    <x v="0"/>
    <n v="493228"/>
    <x v="0"/>
    <x v="0"/>
    <n v="169.90291260000001"/>
    <n v="5"/>
    <x v="382"/>
    <n v="48.543689319999999"/>
    <x v="20"/>
  </r>
  <r>
    <x v="1047"/>
    <s v="2025-03-23"/>
    <n v="23"/>
    <x v="6"/>
    <n v="2025"/>
    <m/>
    <x v="2"/>
    <n v="333001"/>
    <x v="0"/>
    <x v="0"/>
    <n v="145.631068"/>
    <n v="4"/>
    <x v="408"/>
    <n v="45.631067960000003"/>
    <x v="0"/>
  </r>
  <r>
    <x v="1048"/>
    <s v="2025-03-25"/>
    <n v="25"/>
    <x v="6"/>
    <n v="2025"/>
    <m/>
    <x v="0"/>
    <n v="843146"/>
    <x v="0"/>
    <x v="0"/>
    <n v="168.93203879999999"/>
    <n v="5"/>
    <x v="395"/>
    <n v="47.57281553"/>
    <x v="3"/>
  </r>
  <r>
    <x v="1049"/>
    <s v="2025-03-22"/>
    <n v="22"/>
    <x v="6"/>
    <n v="2025"/>
    <m/>
    <x v="3"/>
    <n v="846009"/>
    <x v="0"/>
    <x v="0"/>
    <n v="151.45631069999999"/>
    <n v="4"/>
    <x v="392"/>
    <n v="37.86407767"/>
    <x v="1"/>
  </r>
  <r>
    <x v="1050"/>
    <s v="2025-03-22"/>
    <n v="22"/>
    <x v="6"/>
    <n v="2025"/>
    <m/>
    <x v="0"/>
    <n v="243632"/>
    <x v="0"/>
    <x v="0"/>
    <n v="166.0194175"/>
    <n v="4"/>
    <x v="405"/>
    <n v="52.42718447"/>
    <x v="6"/>
  </r>
  <r>
    <x v="1051"/>
    <s v="2025-03-28"/>
    <n v="28"/>
    <x v="6"/>
    <n v="2025"/>
    <m/>
    <x v="1"/>
    <n v="144514"/>
    <x v="0"/>
    <x v="0"/>
    <n v="169.90291260000001"/>
    <n v="5"/>
    <x v="382"/>
    <n v="48.543689319999999"/>
    <x v="20"/>
  </r>
  <r>
    <x v="1052"/>
    <s v="2025-03-03"/>
    <n v="3"/>
    <x v="6"/>
    <n v="2025"/>
    <m/>
    <x v="3"/>
    <n v="151001"/>
    <x v="0"/>
    <x v="0"/>
    <n v="165.04854370000001"/>
    <n v="4"/>
    <x v="444"/>
    <n v="43.689320389999999"/>
    <x v="0"/>
  </r>
  <r>
    <x v="1053"/>
    <s v="2025-03-23"/>
    <n v="23"/>
    <x v="6"/>
    <n v="2025"/>
    <m/>
    <x v="3"/>
    <n v="175012"/>
    <x v="0"/>
    <x v="0"/>
    <n v="143.68932040000001"/>
    <n v="4"/>
    <x v="417"/>
    <n v="52.42718447"/>
    <x v="8"/>
  </r>
  <r>
    <x v="1054"/>
    <s v="2025-03-10"/>
    <n v="10"/>
    <x v="6"/>
    <n v="2025"/>
    <m/>
    <x v="1"/>
    <n v="285203"/>
    <x v="0"/>
    <x v="0"/>
    <n v="172.81553400000001"/>
    <n v="5"/>
    <x v="420"/>
    <n v="51.456310680000001"/>
    <x v="4"/>
  </r>
  <r>
    <x v="1055"/>
    <s v="2025-03-21"/>
    <n v="21"/>
    <x v="6"/>
    <n v="2025"/>
    <m/>
    <x v="3"/>
    <n v="271855"/>
    <x v="0"/>
    <x v="0"/>
    <n v="162.1359223"/>
    <n v="4"/>
    <x v="434"/>
    <n v="45.631067960000003"/>
    <x v="20"/>
  </r>
  <r>
    <x v="1056"/>
    <s v="2025-03-16"/>
    <n v="16"/>
    <x v="6"/>
    <n v="2025"/>
    <m/>
    <x v="0"/>
    <n v="413503"/>
    <x v="0"/>
    <x v="0"/>
    <n v="168.93203879999999"/>
    <n v="5"/>
    <x v="395"/>
    <n v="52.42718447"/>
    <x v="5"/>
  </r>
  <r>
    <x v="1057"/>
    <s v="2025-03-31"/>
    <n v="31"/>
    <x v="6"/>
    <n v="2025"/>
    <m/>
    <x v="3"/>
    <n v="444704"/>
    <x v="0"/>
    <x v="0"/>
    <n v="156.31067959999999"/>
    <n v="4"/>
    <x v="415"/>
    <n v="52.42718447"/>
    <x v="7"/>
  </r>
  <r>
    <x v="1058"/>
    <s v="2025-03-15"/>
    <n v="15"/>
    <x v="6"/>
    <n v="2025"/>
    <m/>
    <x v="4"/>
    <n v="825324"/>
    <x v="0"/>
    <x v="0"/>
    <n v="160.19417480000001"/>
    <n v="4"/>
    <x v="432"/>
    <n v="56.310679610000001"/>
    <x v="11"/>
  </r>
  <r>
    <x v="1059"/>
    <s v="2025-03-16"/>
    <n v="16"/>
    <x v="6"/>
    <n v="2025"/>
    <m/>
    <x v="0"/>
    <n v="185121"/>
    <x v="0"/>
    <x v="0"/>
    <n v="152.42718450000001"/>
    <n v="4"/>
    <x v="391"/>
    <n v="52.42718447"/>
    <x v="5"/>
  </r>
  <r>
    <x v="1060"/>
    <s v="2025-03-31"/>
    <n v="31"/>
    <x v="6"/>
    <n v="2025"/>
    <m/>
    <x v="3"/>
    <n v="626117"/>
    <x v="0"/>
    <x v="0"/>
    <n v="180.58252429999999"/>
    <n v="5"/>
    <x v="445"/>
    <n v="59.223300969999997"/>
    <x v="7"/>
  </r>
  <r>
    <x v="1061"/>
    <s v="2025-03-12"/>
    <n v="12"/>
    <x v="6"/>
    <n v="2025"/>
    <m/>
    <x v="0"/>
    <n v="848114"/>
    <x v="0"/>
    <x v="0"/>
    <n v="170.8737864"/>
    <n v="5"/>
    <x v="214"/>
    <n v="49.514563109999997"/>
    <x v="0"/>
  </r>
  <r>
    <x v="1062"/>
    <s v="2025-03-09"/>
    <n v="9"/>
    <x v="6"/>
    <n v="2025"/>
    <m/>
    <x v="3"/>
    <n v="845106"/>
    <x v="0"/>
    <x v="0"/>
    <n v="177.66990290000001"/>
    <n v="5"/>
    <x v="399"/>
    <n v="56.310679610000001"/>
    <x v="5"/>
  </r>
  <r>
    <x v="1063"/>
    <s v="2025-03-09"/>
    <n v="9"/>
    <x v="6"/>
    <n v="2025"/>
    <m/>
    <x v="3"/>
    <n v="221404"/>
    <x v="0"/>
    <x v="0"/>
    <n v="177.66990290000001"/>
    <n v="5"/>
    <x v="399"/>
    <n v="56.310679610000001"/>
    <x v="6"/>
  </r>
  <r>
    <x v="1064"/>
    <s v="2025-03-18"/>
    <n v="18"/>
    <x v="6"/>
    <n v="2025"/>
    <m/>
    <x v="3"/>
    <n v="226016"/>
    <x v="0"/>
    <x v="0"/>
    <n v="243.68932040000001"/>
    <n v="7"/>
    <x v="446"/>
    <n v="33.980582519999999"/>
    <x v="20"/>
  </r>
  <r>
    <x v="1065"/>
    <s v="2025-03-22"/>
    <n v="22"/>
    <x v="6"/>
    <n v="2025"/>
    <m/>
    <x v="0"/>
    <n v="276123"/>
    <x v="0"/>
    <x v="0"/>
    <n v="211.65048540000001"/>
    <n v="6"/>
    <x v="447"/>
    <n v="52.42718447"/>
    <x v="5"/>
  </r>
  <r>
    <x v="1066"/>
    <s v="2025-03-19"/>
    <n v="19"/>
    <x v="6"/>
    <n v="2025"/>
    <m/>
    <x v="4"/>
    <n v="243402"/>
    <x v="0"/>
    <x v="0"/>
    <n v="161.16504850000001"/>
    <n v="4"/>
    <x v="393"/>
    <n v="44.660194169999997"/>
    <x v="0"/>
  </r>
  <r>
    <x v="1067"/>
    <s v="2025-03-16"/>
    <n v="16"/>
    <x v="6"/>
    <n v="2025"/>
    <m/>
    <x v="0"/>
    <n v="201304"/>
    <x v="0"/>
    <x v="0"/>
    <n v="161.16504850000001"/>
    <n v="4"/>
    <x v="393"/>
    <n v="44.660194169999997"/>
    <x v="0"/>
  </r>
  <r>
    <x v="1068"/>
    <s v="2025-03-25"/>
    <n v="25"/>
    <x v="6"/>
    <n v="2025"/>
    <m/>
    <x v="3"/>
    <n v="201013"/>
    <x v="0"/>
    <x v="0"/>
    <n v="160.19417480000001"/>
    <n v="4"/>
    <x v="432"/>
    <n v="42.7184466"/>
    <x v="0"/>
  </r>
  <r>
    <x v="1069"/>
    <s v="2025-03-30"/>
    <n v="30"/>
    <x v="6"/>
    <n v="2025"/>
    <m/>
    <x v="3"/>
    <n v="110043"/>
    <x v="0"/>
    <x v="0"/>
    <n v="173.78640780000001"/>
    <n v="5"/>
    <x v="383"/>
    <n v="52.42718447"/>
    <x v="4"/>
  </r>
  <r>
    <x v="1070"/>
    <s v="2025-03-26"/>
    <n v="26"/>
    <x v="6"/>
    <n v="2025"/>
    <m/>
    <x v="0"/>
    <n v="222139"/>
    <x v="0"/>
    <x v="0"/>
    <n v="164.07766989999999"/>
    <n v="4"/>
    <x v="438"/>
    <n v="52.42718447"/>
    <x v="6"/>
  </r>
  <r>
    <x v="1071"/>
    <s v="2025-03-31"/>
    <n v="31"/>
    <x v="6"/>
    <n v="2025"/>
    <m/>
    <x v="0"/>
    <n v="226013"/>
    <x v="0"/>
    <x v="0"/>
    <n v="164.07766989999999"/>
    <n v="4"/>
    <x v="438"/>
    <n v="42.7184466"/>
    <x v="7"/>
  </r>
  <r>
    <x v="1072"/>
    <s v="2025-03-20"/>
    <n v="20"/>
    <x v="6"/>
    <n v="2025"/>
    <m/>
    <x v="1"/>
    <n v="491771"/>
    <x v="0"/>
    <x v="0"/>
    <n v="166.9902913"/>
    <n v="5"/>
    <x v="387"/>
    <n v="52.42718447"/>
    <x v="5"/>
  </r>
  <r>
    <x v="1073"/>
    <s v="2025-03-18"/>
    <n v="18"/>
    <x v="6"/>
    <n v="2025"/>
    <m/>
    <x v="0"/>
    <n v="261506"/>
    <x v="0"/>
    <x v="0"/>
    <n v="129.1262136"/>
    <n v="3"/>
    <x v="401"/>
    <n v="37.86407767"/>
    <x v="12"/>
  </r>
  <r>
    <x v="1074"/>
    <s v="2025-03-05"/>
    <n v="5"/>
    <x v="6"/>
    <n v="2025"/>
    <m/>
    <x v="0"/>
    <n v="122413"/>
    <x v="0"/>
    <x v="0"/>
    <n v="167.96116499999999"/>
    <n v="5"/>
    <x v="409"/>
    <n v="56.310679610000001"/>
    <x v="7"/>
  </r>
  <r>
    <x v="1075"/>
    <s v="2025-03-14"/>
    <n v="14"/>
    <x v="6"/>
    <n v="2025"/>
    <m/>
    <x v="1"/>
    <n v="805106"/>
    <x v="0"/>
    <x v="0"/>
    <n v="147.57281549999999"/>
    <n v="4"/>
    <x v="425"/>
    <n v="50.485436890000003"/>
    <x v="15"/>
  </r>
  <r>
    <x v="1076"/>
    <s v="2025-03-23"/>
    <n v="23"/>
    <x v="6"/>
    <n v="2025"/>
    <m/>
    <x v="0"/>
    <n v="800014"/>
    <x v="0"/>
    <x v="0"/>
    <n v="146.6019417"/>
    <n v="4"/>
    <x v="448"/>
    <n v="33.009708740000001"/>
    <x v="0"/>
  </r>
  <r>
    <x v="1077"/>
    <s v="2025-03-11"/>
    <n v="11"/>
    <x v="6"/>
    <n v="2025"/>
    <m/>
    <x v="4"/>
    <n v="232327"/>
    <x v="0"/>
    <x v="0"/>
    <n v="158.2524272"/>
    <n v="4"/>
    <x v="406"/>
    <n v="55.339805830000003"/>
    <x v="31"/>
  </r>
  <r>
    <x v="1078"/>
    <s v="2025-03-22"/>
    <n v="22"/>
    <x v="6"/>
    <n v="2025"/>
    <m/>
    <x v="3"/>
    <n v="848101"/>
    <x v="0"/>
    <x v="0"/>
    <n v="255.33980579999999"/>
    <n v="7"/>
    <x v="431"/>
    <n v="45.631067960000003"/>
    <x v="8"/>
  </r>
  <r>
    <x v="1079"/>
    <s v="2025-03-16"/>
    <n v="16"/>
    <x v="6"/>
    <n v="2025"/>
    <m/>
    <x v="3"/>
    <n v="335001"/>
    <x v="0"/>
    <x v="0"/>
    <n v="135.92233010000001"/>
    <n v="4"/>
    <x v="418"/>
    <n v="37.86407767"/>
    <x v="4"/>
  </r>
  <r>
    <x v="1080"/>
    <s v="2025-03-16"/>
    <n v="16"/>
    <x v="6"/>
    <n v="2025"/>
    <m/>
    <x v="4"/>
    <n v="123401"/>
    <x v="0"/>
    <x v="0"/>
    <n v="152.42718450000001"/>
    <n v="4"/>
    <x v="391"/>
    <n v="52.42718447"/>
    <x v="11"/>
  </r>
  <r>
    <x v="1081"/>
    <s v="2025-03-16"/>
    <n v="16"/>
    <x v="6"/>
    <n v="2025"/>
    <m/>
    <x v="0"/>
    <n v="400607"/>
    <x v="0"/>
    <x v="0"/>
    <n v="168.93203879999999"/>
    <n v="5"/>
    <x v="395"/>
    <n v="52.42718447"/>
    <x v="13"/>
  </r>
  <r>
    <x v="1082"/>
    <s v="2025-03-06"/>
    <n v="6"/>
    <x v="6"/>
    <n v="2025"/>
    <m/>
    <x v="4"/>
    <n v="477222"/>
    <x v="0"/>
    <x v="0"/>
    <n v="120.3883495"/>
    <n v="3"/>
    <x v="426"/>
    <n v="40.776699030000003"/>
    <x v="11"/>
  </r>
  <r>
    <x v="1083"/>
    <s v="2025-03-15"/>
    <n v="15"/>
    <x v="6"/>
    <n v="2025"/>
    <m/>
    <x v="0"/>
    <n v="413102"/>
    <x v="0"/>
    <x v="0"/>
    <n v="170.8737864"/>
    <n v="5"/>
    <x v="214"/>
    <n v="73.786407769999997"/>
    <x v="10"/>
  </r>
  <r>
    <x v="1084"/>
    <s v="2025-03-23"/>
    <n v="23"/>
    <x v="6"/>
    <n v="2025"/>
    <m/>
    <x v="5"/>
    <n v="509001"/>
    <x v="0"/>
    <x v="0"/>
    <n v="166.0194175"/>
    <n v="4"/>
    <x v="405"/>
    <n v="52.42718447"/>
    <x v="5"/>
  </r>
  <r>
    <x v="1085"/>
    <s v="2025-03-16"/>
    <n v="16"/>
    <x v="6"/>
    <n v="2025"/>
    <m/>
    <x v="5"/>
    <n v="277001"/>
    <x v="0"/>
    <x v="0"/>
    <n v="154.368932"/>
    <n v="4"/>
    <x v="410"/>
    <n v="37.86407767"/>
    <x v="5"/>
  </r>
  <r>
    <x v="1086"/>
    <s v="2025-03-25"/>
    <n v="25"/>
    <x v="6"/>
    <n v="2025"/>
    <m/>
    <x v="0"/>
    <n v="509376"/>
    <x v="0"/>
    <x v="0"/>
    <n v="150.4854369"/>
    <n v="4"/>
    <x v="419"/>
    <n v="33.009708740000001"/>
    <x v="0"/>
  </r>
  <r>
    <x v="1087"/>
    <s v="2025-03-20"/>
    <n v="20"/>
    <x v="6"/>
    <n v="2025"/>
    <m/>
    <x v="1"/>
    <n v="392240"/>
    <x v="0"/>
    <x v="0"/>
    <n v="181.55339810000001"/>
    <n v="5"/>
    <x v="412"/>
    <n v="45.631067960000003"/>
    <x v="0"/>
  </r>
  <r>
    <x v="1088"/>
    <s v="2025-03-19"/>
    <n v="19"/>
    <x v="6"/>
    <n v="2025"/>
    <m/>
    <x v="1"/>
    <n v="226005"/>
    <x v="0"/>
    <x v="0"/>
    <n v="168.93203879999999"/>
    <n v="5"/>
    <x v="395"/>
    <n v="52.42718447"/>
    <x v="4"/>
  </r>
  <r>
    <x v="1089"/>
    <s v="2025-03-05"/>
    <n v="5"/>
    <x v="6"/>
    <n v="2025"/>
    <m/>
    <x v="6"/>
    <n v="226002"/>
    <x v="0"/>
    <x v="0"/>
    <n v="191.2621359"/>
    <n v="5"/>
    <x v="449"/>
    <n v="40.776699030000003"/>
    <x v="17"/>
  </r>
  <r>
    <x v="1090"/>
    <s v="2025-03-27"/>
    <n v="27"/>
    <x v="6"/>
    <n v="2025"/>
    <m/>
    <x v="3"/>
    <n v="411060"/>
    <x v="0"/>
    <x v="0"/>
    <n v="174.7572816"/>
    <n v="5"/>
    <x v="436"/>
    <n v="53.398058249999998"/>
    <x v="5"/>
  </r>
  <r>
    <x v="1091"/>
    <s v="2025-03-29"/>
    <n v="29"/>
    <x v="6"/>
    <n v="2025"/>
    <m/>
    <x v="0"/>
    <n v="400043"/>
    <x v="0"/>
    <x v="0"/>
    <n v="156.31067959999999"/>
    <n v="4"/>
    <x v="415"/>
    <n v="44.660194169999997"/>
    <x v="0"/>
  </r>
  <r>
    <x v="1092"/>
    <s v="2025-03-07"/>
    <n v="7"/>
    <x v="6"/>
    <n v="2025"/>
    <m/>
    <x v="3"/>
    <n v="151207"/>
    <x v="0"/>
    <x v="0"/>
    <n v="160.19417480000001"/>
    <n v="4"/>
    <x v="432"/>
    <n v="56.310679610000001"/>
    <x v="5"/>
  </r>
  <r>
    <x v="1093"/>
    <s v="2025-03-28"/>
    <n v="28"/>
    <x v="6"/>
    <n v="2025"/>
    <m/>
    <x v="1"/>
    <n v="411041"/>
    <x v="0"/>
    <x v="0"/>
    <n v="173.78640780000001"/>
    <n v="5"/>
    <x v="383"/>
    <n v="52.42718447"/>
    <x v="5"/>
  </r>
  <r>
    <x v="1094"/>
    <s v="2025-03-13"/>
    <n v="13"/>
    <x v="6"/>
    <n v="2025"/>
    <m/>
    <x v="1"/>
    <n v="133203"/>
    <x v="0"/>
    <x v="0"/>
    <n v="177.66990290000001"/>
    <n v="5"/>
    <x v="399"/>
    <n v="56.310679610000001"/>
    <x v="17"/>
  </r>
  <r>
    <x v="1095"/>
    <s v="2025-03-24"/>
    <n v="24"/>
    <x v="6"/>
    <n v="2025"/>
    <m/>
    <x v="1"/>
    <n v="483501"/>
    <x v="4"/>
    <x v="1"/>
    <n v="225.42372879999999"/>
    <n v="40"/>
    <x v="398"/>
    <n v="40.677966099999999"/>
    <x v="0"/>
  </r>
  <r>
    <x v="1096"/>
    <s v="2025-03-28"/>
    <n v="28"/>
    <x v="6"/>
    <n v="2025"/>
    <m/>
    <x v="5"/>
    <n v="500004"/>
    <x v="0"/>
    <x v="0"/>
    <n v="168.93203879999999"/>
    <n v="5"/>
    <x v="395"/>
    <n v="71.844660189999999"/>
    <x v="18"/>
  </r>
  <r>
    <x v="1097"/>
    <s v="2025-03-13"/>
    <n v="13"/>
    <x v="6"/>
    <n v="2025"/>
    <m/>
    <x v="1"/>
    <n v="473222"/>
    <x v="0"/>
    <x v="0"/>
    <n v="274.7572816"/>
    <n v="8"/>
    <x v="422"/>
    <n v="56.310679610000001"/>
    <x v="11"/>
  </r>
  <r>
    <x v="1098"/>
    <s v="2025-03-12"/>
    <n v="12"/>
    <x v="6"/>
    <n v="2025"/>
    <m/>
    <x v="0"/>
    <n v="224190"/>
    <x v="0"/>
    <x v="0"/>
    <n v="163.1067961"/>
    <n v="4"/>
    <x v="384"/>
    <n v="41.747572820000002"/>
    <x v="4"/>
  </r>
  <r>
    <x v="1099"/>
    <s v="2025-03-29"/>
    <n v="29"/>
    <x v="6"/>
    <n v="2025"/>
    <m/>
    <x v="1"/>
    <n v="562159"/>
    <x v="0"/>
    <x v="0"/>
    <n v="155.33980579999999"/>
    <n v="4"/>
    <x v="439"/>
    <n v="37.86407767"/>
    <x v="13"/>
  </r>
  <r>
    <x v="1100"/>
    <s v="2025-03-18"/>
    <n v="18"/>
    <x v="6"/>
    <n v="2025"/>
    <m/>
    <x v="1"/>
    <n v="824211"/>
    <x v="0"/>
    <x v="0"/>
    <n v="137.8640777"/>
    <n v="4"/>
    <x v="402"/>
    <n v="37.86407767"/>
    <x v="12"/>
  </r>
  <r>
    <x v="1101"/>
    <s v="2025-03-25"/>
    <n v="25"/>
    <x v="6"/>
    <n v="2025"/>
    <m/>
    <x v="5"/>
    <n v="273158"/>
    <x v="0"/>
    <x v="0"/>
    <n v="170.8737864"/>
    <n v="5"/>
    <x v="214"/>
    <n v="53.398058249999998"/>
    <x v="17"/>
  </r>
  <r>
    <x v="1102"/>
    <s v="2025-03-29"/>
    <n v="29"/>
    <x v="6"/>
    <n v="2025"/>
    <m/>
    <x v="6"/>
    <n v="223226"/>
    <x v="0"/>
    <x v="0"/>
    <n v="85.4368932"/>
    <n v="2"/>
    <x v="450"/>
    <n v="37.86407767"/>
    <x v="12"/>
  </r>
  <r>
    <x v="1103"/>
    <s v="2025-03-03"/>
    <n v="3"/>
    <x v="6"/>
    <n v="2025"/>
    <m/>
    <x v="3"/>
    <n v="208013"/>
    <x v="0"/>
    <x v="0"/>
    <n v="214.56310680000001"/>
    <n v="6"/>
    <x v="451"/>
    <n v="49.514563109999997"/>
    <x v="1"/>
  </r>
  <r>
    <x v="1104"/>
    <s v="2025-03-09"/>
    <n v="9"/>
    <x v="6"/>
    <n v="2025"/>
    <m/>
    <x v="5"/>
    <n v="160022"/>
    <x v="0"/>
    <x v="0"/>
    <n v="187.3786408"/>
    <n v="5"/>
    <x v="437"/>
    <n v="40.776699030000003"/>
    <x v="6"/>
  </r>
  <r>
    <x v="1105"/>
    <s v="2025-03-16"/>
    <n v="16"/>
    <x v="6"/>
    <n v="2025"/>
    <m/>
    <x v="3"/>
    <n v="831011"/>
    <x v="0"/>
    <x v="0"/>
    <n v="146.6019417"/>
    <n v="4"/>
    <x v="448"/>
    <n v="33.009708740000001"/>
    <x v="15"/>
  </r>
  <r>
    <x v="1106"/>
    <s v="2025-04-15"/>
    <n v="15"/>
    <x v="7"/>
    <n v="2025"/>
    <m/>
    <x v="1"/>
    <n v="301704"/>
    <x v="0"/>
    <x v="0"/>
    <n v="174.7572816"/>
    <n v="5"/>
    <x v="436"/>
    <n v="53.398058249999998"/>
    <x v="7"/>
  </r>
  <r>
    <x v="1107"/>
    <s v="2025-04-22"/>
    <n v="22"/>
    <x v="7"/>
    <n v="2025"/>
    <m/>
    <x v="5"/>
    <n v="400055"/>
    <x v="0"/>
    <x v="0"/>
    <n v="163.1067961"/>
    <n v="4"/>
    <x v="384"/>
    <n v="41.747572820000002"/>
    <x v="3"/>
  </r>
  <r>
    <x v="1108"/>
    <s v="2025-04-22"/>
    <n v="22"/>
    <x v="7"/>
    <n v="2025"/>
    <m/>
    <x v="1"/>
    <n v="392240"/>
    <x v="0"/>
    <x v="0"/>
    <n v="162.1359223"/>
    <n v="4"/>
    <x v="434"/>
    <n v="44.660194169999997"/>
    <x v="15"/>
  </r>
  <r>
    <x v="1109"/>
    <s v="2025-04-14"/>
    <n v="14"/>
    <x v="7"/>
    <n v="2025"/>
    <m/>
    <x v="5"/>
    <n v="585103"/>
    <x v="0"/>
    <x v="0"/>
    <n v="128.15533980000001"/>
    <n v="3"/>
    <x v="452"/>
    <n v="33.980582519999999"/>
    <x v="15"/>
  </r>
  <r>
    <x v="1110"/>
    <s v="2025-04-19"/>
    <n v="19"/>
    <x v="7"/>
    <n v="2025"/>
    <m/>
    <x v="1"/>
    <n v="171014"/>
    <x v="4"/>
    <x v="1"/>
    <n v="201.69491529999999"/>
    <n v="36"/>
    <x v="453"/>
    <n v="44.915254240000003"/>
    <x v="0"/>
  </r>
  <r>
    <x v="1111"/>
    <s v="2025-04-14"/>
    <n v="14"/>
    <x v="7"/>
    <n v="2025"/>
    <m/>
    <x v="0"/>
    <n v="326034"/>
    <x v="0"/>
    <x v="0"/>
    <n v="147.57281549999999"/>
    <n v="4"/>
    <x v="425"/>
    <n v="44.660194169999997"/>
    <x v="15"/>
  </r>
  <r>
    <x v="1112"/>
    <s v="2025-04-13"/>
    <n v="13"/>
    <x v="7"/>
    <n v="2025"/>
    <m/>
    <x v="1"/>
    <n v="560037"/>
    <x v="0"/>
    <x v="0"/>
    <n v="164.07766989999999"/>
    <n v="4"/>
    <x v="438"/>
    <n v="46.601941750000002"/>
    <x v="0"/>
  </r>
  <r>
    <x v="1113"/>
    <s v="2025-04-14"/>
    <n v="14"/>
    <x v="7"/>
    <n v="2025"/>
    <m/>
    <x v="5"/>
    <n v="560078"/>
    <x v="0"/>
    <x v="0"/>
    <n v="150.4854369"/>
    <n v="4"/>
    <x v="419"/>
    <n v="53.398058249999998"/>
    <x v="11"/>
  </r>
  <r>
    <x v="1114"/>
    <s v="2025-04-13"/>
    <n v="13"/>
    <x v="7"/>
    <n v="2025"/>
    <m/>
    <x v="1"/>
    <n v="700006"/>
    <x v="0"/>
    <x v="1"/>
    <n v="133.0508475"/>
    <n v="23"/>
    <x v="391"/>
    <n v="42.372881360000001"/>
    <x v="13"/>
  </r>
  <r>
    <x v="1115"/>
    <s v="2025-04-25"/>
    <n v="25"/>
    <x v="7"/>
    <n v="2025"/>
    <m/>
    <x v="1"/>
    <n v="226016"/>
    <x v="0"/>
    <x v="0"/>
    <n v="176.69902909999999"/>
    <n v="5"/>
    <x v="396"/>
    <n v="55.339805830000003"/>
    <x v="11"/>
  </r>
  <r>
    <x v="1116"/>
    <s v="2025-04-10"/>
    <n v="10"/>
    <x v="7"/>
    <n v="2025"/>
    <m/>
    <x v="1"/>
    <n v="440034"/>
    <x v="0"/>
    <x v="0"/>
    <n v="218.44660189999999"/>
    <n v="6"/>
    <x v="454"/>
    <n v="53.398058249999998"/>
    <x v="7"/>
  </r>
  <r>
    <x v="1117"/>
    <s v="2025-04-11"/>
    <n v="11"/>
    <x v="7"/>
    <n v="2025"/>
    <m/>
    <x v="3"/>
    <n v="845401"/>
    <x v="0"/>
    <x v="0"/>
    <n v="163.1067961"/>
    <n v="4"/>
    <x v="384"/>
    <n v="45.631067960000003"/>
    <x v="3"/>
  </r>
  <r>
    <x v="1118"/>
    <s v="2025-04-13"/>
    <n v="13"/>
    <x v="7"/>
    <n v="2025"/>
    <m/>
    <x v="1"/>
    <n v="121002"/>
    <x v="0"/>
    <x v="0"/>
    <n v="156.31067959999999"/>
    <n v="4"/>
    <x v="415"/>
    <n v="38.834951459999999"/>
    <x v="12"/>
  </r>
  <r>
    <x v="1119"/>
    <s v="2025-04-21"/>
    <n v="21"/>
    <x v="7"/>
    <n v="2025"/>
    <m/>
    <x v="1"/>
    <n v="801109"/>
    <x v="0"/>
    <x v="0"/>
    <n v="156.31067959999999"/>
    <n v="4"/>
    <x v="415"/>
    <n v="38.834951459999999"/>
    <x v="13"/>
  </r>
  <r>
    <x v="1120"/>
    <s v="2025-04-11"/>
    <n v="11"/>
    <x v="7"/>
    <n v="2025"/>
    <m/>
    <x v="3"/>
    <n v="274702"/>
    <x v="0"/>
    <x v="1"/>
    <n v="106.779661"/>
    <n v="19"/>
    <x v="455"/>
    <n v="35.593220340000002"/>
    <x v="13"/>
  </r>
  <r>
    <x v="1121"/>
    <s v="2025-04-13"/>
    <n v="13"/>
    <x v="7"/>
    <n v="2025"/>
    <m/>
    <x v="3"/>
    <n v="208021"/>
    <x v="0"/>
    <x v="0"/>
    <n v="172.81553400000001"/>
    <n v="5"/>
    <x v="420"/>
    <n v="55.339805830000003"/>
    <x v="17"/>
  </r>
  <r>
    <x v="1122"/>
    <s v="2025-04-26"/>
    <n v="26"/>
    <x v="7"/>
    <n v="2025"/>
    <m/>
    <x v="3"/>
    <n v="517501"/>
    <x v="0"/>
    <x v="0"/>
    <n v="167.96116499999999"/>
    <n v="5"/>
    <x v="409"/>
    <n v="46.601941750000002"/>
    <x v="0"/>
  </r>
  <r>
    <x v="1123"/>
    <s v="2025-04-19"/>
    <n v="19"/>
    <x v="7"/>
    <n v="2025"/>
    <m/>
    <x v="2"/>
    <n v="500011"/>
    <x v="0"/>
    <x v="0"/>
    <n v="170.8737864"/>
    <n v="5"/>
    <x v="214"/>
    <n v="53.398058249999998"/>
    <x v="5"/>
  </r>
  <r>
    <x v="1124"/>
    <s v="2025-04-14"/>
    <n v="14"/>
    <x v="7"/>
    <n v="2025"/>
    <m/>
    <x v="1"/>
    <n v="641654"/>
    <x v="0"/>
    <x v="0"/>
    <n v="173.78640780000001"/>
    <n v="5"/>
    <x v="383"/>
    <n v="52.42718447"/>
    <x v="6"/>
  </r>
  <r>
    <x v="1125"/>
    <s v="2025-04-11"/>
    <n v="11"/>
    <x v="7"/>
    <n v="2025"/>
    <m/>
    <x v="1"/>
    <n v="201009"/>
    <x v="0"/>
    <x v="0"/>
    <n v="100.97087380000001"/>
    <n v="3"/>
    <x v="456"/>
    <n v="38.834951459999999"/>
    <x v="8"/>
  </r>
  <r>
    <x v="1126"/>
    <s v="2025-04-30"/>
    <n v="30"/>
    <x v="7"/>
    <n v="2025"/>
    <m/>
    <x v="3"/>
    <n v="143507"/>
    <x v="0"/>
    <x v="0"/>
    <n v="134.95145629999999"/>
    <n v="4"/>
    <x v="403"/>
    <n v="40.776699030000003"/>
    <x v="0"/>
  </r>
  <r>
    <x v="1127"/>
    <s v="2025-04-25"/>
    <n v="25"/>
    <x v="7"/>
    <n v="2025"/>
    <m/>
    <x v="2"/>
    <n v="843313"/>
    <x v="0"/>
    <x v="0"/>
    <n v="162.1359223"/>
    <n v="4"/>
    <x v="434"/>
    <n v="40.776699030000003"/>
    <x v="0"/>
  </r>
  <r>
    <x v="1128"/>
    <s v="2025-04-10"/>
    <n v="10"/>
    <x v="7"/>
    <n v="2025"/>
    <m/>
    <x v="1"/>
    <n v="302013"/>
    <x v="0"/>
    <x v="0"/>
    <n v="169.90291260000001"/>
    <n v="5"/>
    <x v="382"/>
    <n v="52.42718447"/>
    <x v="0"/>
  </r>
  <r>
    <x v="1129"/>
    <s v="2025-04-11"/>
    <n v="11"/>
    <x v="7"/>
    <n v="2025"/>
    <m/>
    <x v="1"/>
    <n v="421204"/>
    <x v="0"/>
    <x v="0"/>
    <n v="175.7281553"/>
    <n v="5"/>
    <x v="457"/>
    <n v="58.252427179999998"/>
    <x v="11"/>
  </r>
  <r>
    <x v="1130"/>
    <s v="2025-04-12"/>
    <n v="12"/>
    <x v="7"/>
    <n v="2025"/>
    <m/>
    <x v="5"/>
    <n v="110092"/>
    <x v="0"/>
    <x v="0"/>
    <n v="124.2718447"/>
    <n v="3"/>
    <x v="458"/>
    <n v="44.660194169999997"/>
    <x v="0"/>
  </r>
  <r>
    <x v="1131"/>
    <s v="2025-04-16"/>
    <n v="16"/>
    <x v="7"/>
    <n v="2025"/>
    <m/>
    <x v="1"/>
    <n v="700066"/>
    <x v="0"/>
    <x v="0"/>
    <n v="170.8737864"/>
    <n v="5"/>
    <x v="214"/>
    <n v="53.398058249999998"/>
    <x v="5"/>
  </r>
  <r>
    <x v="1132"/>
    <s v="2025-04-26"/>
    <n v="26"/>
    <x v="7"/>
    <n v="2025"/>
    <m/>
    <x v="1"/>
    <n v="271123"/>
    <x v="0"/>
    <x v="0"/>
    <n v="133.9805825"/>
    <n v="4"/>
    <x v="428"/>
    <n v="39.805825239999997"/>
    <x v="13"/>
  </r>
  <r>
    <x v="1133"/>
    <s v="2025-04-03"/>
    <n v="3"/>
    <x v="7"/>
    <n v="2025"/>
    <m/>
    <x v="2"/>
    <n v="247129"/>
    <x v="0"/>
    <x v="0"/>
    <n v="173.78640780000001"/>
    <n v="5"/>
    <x v="383"/>
    <n v="52.42718447"/>
    <x v="13"/>
  </r>
  <r>
    <x v="1134"/>
    <s v="2025-04-03"/>
    <n v="3"/>
    <x v="7"/>
    <n v="2025"/>
    <m/>
    <x v="1"/>
    <n v="211003"/>
    <x v="0"/>
    <x v="0"/>
    <n v="167.96116499999999"/>
    <n v="5"/>
    <x v="409"/>
    <n v="46.601941750000002"/>
    <x v="12"/>
  </r>
  <r>
    <x v="1135"/>
    <s v="2025-04-11"/>
    <n v="11"/>
    <x v="7"/>
    <n v="2025"/>
    <m/>
    <x v="1"/>
    <n v="176092"/>
    <x v="0"/>
    <x v="0"/>
    <n v="161.16504850000001"/>
    <n v="4"/>
    <x v="393"/>
    <n v="39.805825239999997"/>
    <x v="0"/>
  </r>
  <r>
    <x v="1136"/>
    <s v="2025-04-03"/>
    <n v="3"/>
    <x v="7"/>
    <n v="2025"/>
    <m/>
    <x v="1"/>
    <n v="457222"/>
    <x v="0"/>
    <x v="0"/>
    <n v="150.4854369"/>
    <n v="4"/>
    <x v="419"/>
    <n v="33.009708740000001"/>
    <x v="0"/>
  </r>
  <r>
    <x v="1137"/>
    <s v="2025-04-16"/>
    <n v="16"/>
    <x v="7"/>
    <n v="2025"/>
    <m/>
    <x v="6"/>
    <n v="223226"/>
    <x v="0"/>
    <x v="0"/>
    <n v="169.90291260000001"/>
    <n v="5"/>
    <x v="382"/>
    <n v="48.543689319999999"/>
    <x v="6"/>
  </r>
  <r>
    <x v="1138"/>
    <s v="2025-04-07"/>
    <n v="7"/>
    <x v="7"/>
    <n v="2025"/>
    <m/>
    <x v="1"/>
    <n v="400066"/>
    <x v="0"/>
    <x v="0"/>
    <n v="173.78640780000001"/>
    <n v="5"/>
    <x v="383"/>
    <n v="52.42718447"/>
    <x v="4"/>
  </r>
  <r>
    <x v="1139"/>
    <s v="2025-04-21"/>
    <n v="21"/>
    <x v="7"/>
    <n v="2025"/>
    <m/>
    <x v="1"/>
    <n v="800016"/>
    <x v="0"/>
    <x v="0"/>
    <n v="152.42718450000001"/>
    <n v="4"/>
    <x v="391"/>
    <n v="34.951456309999998"/>
    <x v="7"/>
  </r>
  <r>
    <x v="1140"/>
    <s v="2025-04-06"/>
    <n v="6"/>
    <x v="7"/>
    <n v="2025"/>
    <m/>
    <x v="6"/>
    <n v="560087"/>
    <x v="0"/>
    <x v="0"/>
    <n v="161.16504850000001"/>
    <n v="4"/>
    <x v="393"/>
    <n v="45.631067960000003"/>
    <x v="16"/>
  </r>
  <r>
    <x v="1141"/>
    <s v="2025-04-28"/>
    <n v="28"/>
    <x v="7"/>
    <n v="2025"/>
    <m/>
    <x v="0"/>
    <n v="400066"/>
    <x v="0"/>
    <x v="0"/>
    <n v="171.84466019999999"/>
    <n v="5"/>
    <x v="459"/>
    <n v="50.485436890000003"/>
    <x v="5"/>
  </r>
  <r>
    <x v="1142"/>
    <s v="2025-04-11"/>
    <n v="11"/>
    <x v="7"/>
    <n v="2025"/>
    <m/>
    <x v="2"/>
    <n v="585104"/>
    <x v="0"/>
    <x v="0"/>
    <n v="152.42718450000001"/>
    <n v="4"/>
    <x v="391"/>
    <n v="34.951456309999998"/>
    <x v="0"/>
  </r>
  <r>
    <x v="1143"/>
    <s v="2025-04-11"/>
    <n v="11"/>
    <x v="7"/>
    <n v="2025"/>
    <m/>
    <x v="1"/>
    <n v="400053"/>
    <x v="0"/>
    <x v="0"/>
    <n v="186.40776700000001"/>
    <n v="5"/>
    <x v="460"/>
    <n v="67.961165050000005"/>
    <x v="7"/>
  </r>
  <r>
    <x v="1144"/>
    <s v="2025-04-07"/>
    <n v="7"/>
    <x v="7"/>
    <n v="2025"/>
    <m/>
    <x v="1"/>
    <n v="781026"/>
    <x v="0"/>
    <x v="0"/>
    <n v="169.90291260000001"/>
    <n v="5"/>
    <x v="382"/>
    <n v="52.42718447"/>
    <x v="2"/>
  </r>
  <r>
    <x v="1145"/>
    <s v="2025-04-28"/>
    <n v="28"/>
    <x v="7"/>
    <n v="2025"/>
    <m/>
    <x v="2"/>
    <n v="110030"/>
    <x v="0"/>
    <x v="0"/>
    <n v="166.0194175"/>
    <n v="4"/>
    <x v="405"/>
    <n v="62.13592233"/>
    <x v="5"/>
  </r>
  <r>
    <x v="1146"/>
    <s v="2025-04-23"/>
    <n v="23"/>
    <x v="7"/>
    <n v="2025"/>
    <m/>
    <x v="1"/>
    <n v="274702"/>
    <x v="0"/>
    <x v="0"/>
    <n v="157.28155340000001"/>
    <n v="4"/>
    <x v="427"/>
    <n v="39.805825239999997"/>
    <x v="4"/>
  </r>
  <r>
    <x v="1147"/>
    <s v="2025-04-07"/>
    <n v="7"/>
    <x v="7"/>
    <n v="2025"/>
    <m/>
    <x v="3"/>
    <n v="160101"/>
    <x v="0"/>
    <x v="0"/>
    <n v="150.4854369"/>
    <n v="4"/>
    <x v="419"/>
    <n v="33.009708740000001"/>
    <x v="15"/>
  </r>
  <r>
    <x v="1148"/>
    <s v="2025-04-20"/>
    <n v="20"/>
    <x v="7"/>
    <n v="2025"/>
    <m/>
    <x v="2"/>
    <n v="302025"/>
    <x v="0"/>
    <x v="0"/>
    <n v="163.1067961"/>
    <n v="4"/>
    <x v="384"/>
    <n v="45.631067960000003"/>
    <x v="4"/>
  </r>
  <r>
    <x v="1149"/>
    <s v="2025-04-06"/>
    <n v="6"/>
    <x v="7"/>
    <n v="2025"/>
    <m/>
    <x v="1"/>
    <n v="841402"/>
    <x v="0"/>
    <x v="0"/>
    <n v="149.5145631"/>
    <n v="4"/>
    <x v="423"/>
    <n v="37.86407767"/>
    <x v="11"/>
  </r>
  <r>
    <x v="1150"/>
    <s v="2025-04-07"/>
    <n v="7"/>
    <x v="7"/>
    <n v="2025"/>
    <m/>
    <x v="1"/>
    <n v="562123"/>
    <x v="0"/>
    <x v="0"/>
    <n v="146.6019417"/>
    <n v="4"/>
    <x v="448"/>
    <n v="52.42718447"/>
    <x v="1"/>
  </r>
  <r>
    <x v="1151"/>
    <s v="2025-04-05"/>
    <n v="5"/>
    <x v="7"/>
    <n v="2025"/>
    <m/>
    <x v="1"/>
    <n v="121008"/>
    <x v="0"/>
    <x v="0"/>
    <n v="127.184466"/>
    <n v="3"/>
    <x v="461"/>
    <n v="33.009708740000001"/>
    <x v="16"/>
  </r>
  <r>
    <x v="1152"/>
    <s v="2025-04-13"/>
    <n v="13"/>
    <x v="7"/>
    <n v="2025"/>
    <m/>
    <x v="1"/>
    <n v="474010"/>
    <x v="0"/>
    <x v="0"/>
    <n v="162.1359223"/>
    <n v="4"/>
    <x v="434"/>
    <n v="40.776699030000003"/>
    <x v="0"/>
  </r>
  <r>
    <x v="1153"/>
    <s v="2025-04-14"/>
    <n v="14"/>
    <x v="7"/>
    <n v="2025"/>
    <m/>
    <x v="3"/>
    <n v="402103"/>
    <x v="0"/>
    <x v="0"/>
    <n v="161.16504850000001"/>
    <n v="4"/>
    <x v="393"/>
    <n v="39.805825239999997"/>
    <x v="0"/>
  </r>
  <r>
    <x v="1154"/>
    <s v="2025-04-13"/>
    <n v="13"/>
    <x v="7"/>
    <n v="2025"/>
    <m/>
    <x v="1"/>
    <n v="575007"/>
    <x v="0"/>
    <x v="0"/>
    <n v="160.19417480000001"/>
    <n v="4"/>
    <x v="432"/>
    <n v="42.7184466"/>
    <x v="13"/>
  </r>
  <r>
    <x v="1155"/>
    <s v="2025-04-12"/>
    <n v="12"/>
    <x v="7"/>
    <n v="2025"/>
    <m/>
    <x v="2"/>
    <n v="844112"/>
    <x v="0"/>
    <x v="0"/>
    <n v="162.1359223"/>
    <n v="4"/>
    <x v="434"/>
    <n v="44.660194169999997"/>
    <x v="15"/>
  </r>
  <r>
    <x v="1156"/>
    <s v="2025-04-12"/>
    <n v="12"/>
    <x v="7"/>
    <n v="2025"/>
    <m/>
    <x v="3"/>
    <n v="402103"/>
    <x v="0"/>
    <x v="0"/>
    <n v="150.4854369"/>
    <n v="4"/>
    <x v="419"/>
    <n v="33.009708740000001"/>
    <x v="0"/>
  </r>
  <r>
    <x v="1157"/>
    <s v="2025-04-16"/>
    <n v="16"/>
    <x v="7"/>
    <n v="2025"/>
    <m/>
    <x v="1"/>
    <n v="560032"/>
    <x v="0"/>
    <x v="0"/>
    <n v="150.4854369"/>
    <n v="4"/>
    <x v="419"/>
    <n v="33.009708740000001"/>
    <x v="0"/>
  </r>
  <r>
    <x v="1158"/>
    <s v="2025-04-17"/>
    <n v="17"/>
    <x v="7"/>
    <n v="2025"/>
    <m/>
    <x v="1"/>
    <n v="560037"/>
    <x v="0"/>
    <x v="0"/>
    <n v="157.28155340000001"/>
    <n v="4"/>
    <x v="427"/>
    <n v="39.805825239999997"/>
    <x v="13"/>
  </r>
  <r>
    <x v="1159"/>
    <s v="2025-04-13"/>
    <n v="13"/>
    <x v="7"/>
    <n v="2025"/>
    <m/>
    <x v="1"/>
    <n v="151204"/>
    <x v="0"/>
    <x v="0"/>
    <n v="155.33980579999999"/>
    <n v="4"/>
    <x v="439"/>
    <n v="37.86407767"/>
    <x v="5"/>
  </r>
  <r>
    <x v="1160"/>
    <s v="2025-04-19"/>
    <n v="19"/>
    <x v="7"/>
    <n v="2025"/>
    <m/>
    <x v="0"/>
    <n v="227806"/>
    <x v="0"/>
    <x v="0"/>
    <n v="171.84466019999999"/>
    <n v="5"/>
    <x v="459"/>
    <n v="50.485436890000003"/>
    <x v="5"/>
  </r>
  <r>
    <x v="1161"/>
    <s v="2025-04-28"/>
    <n v="28"/>
    <x v="7"/>
    <n v="2025"/>
    <m/>
    <x v="1"/>
    <n v="396424"/>
    <x v="0"/>
    <x v="0"/>
    <n v="202.91262140000001"/>
    <n v="6"/>
    <x v="462"/>
    <n v="81.553398060000006"/>
    <x v="5"/>
  </r>
  <r>
    <x v="1162"/>
    <s v="2025-04-20"/>
    <n v="20"/>
    <x v="7"/>
    <n v="2025"/>
    <m/>
    <x v="3"/>
    <n v="402103"/>
    <x v="0"/>
    <x v="0"/>
    <n v="191.2621359"/>
    <n v="5"/>
    <x v="449"/>
    <n v="69.902912619999995"/>
    <x v="7"/>
  </r>
  <r>
    <x v="1163"/>
    <s v="2025-04-19"/>
    <n v="19"/>
    <x v="7"/>
    <n v="2025"/>
    <m/>
    <x v="3"/>
    <n v="829117"/>
    <x v="0"/>
    <x v="0"/>
    <n v="157.28155340000001"/>
    <n v="4"/>
    <x v="427"/>
    <n v="53.398058249999998"/>
    <x v="5"/>
  </r>
  <r>
    <x v="1164"/>
    <s v="2025-04-19"/>
    <n v="19"/>
    <x v="7"/>
    <n v="2025"/>
    <m/>
    <x v="5"/>
    <n v="221010"/>
    <x v="0"/>
    <x v="0"/>
    <n v="114.5631068"/>
    <n v="3"/>
    <x v="463"/>
    <n v="38.834951459999999"/>
    <x v="13"/>
  </r>
  <r>
    <x v="1165"/>
    <s v="2025-04-13"/>
    <n v="13"/>
    <x v="7"/>
    <n v="2025"/>
    <m/>
    <x v="3"/>
    <n v="431203"/>
    <x v="0"/>
    <x v="0"/>
    <n v="135.92233010000001"/>
    <n v="4"/>
    <x v="418"/>
    <n v="41.747572820000002"/>
    <x v="6"/>
  </r>
  <r>
    <x v="1166"/>
    <s v="2025-04-07"/>
    <n v="7"/>
    <x v="7"/>
    <n v="2025"/>
    <m/>
    <x v="1"/>
    <n v="110091"/>
    <x v="0"/>
    <x v="0"/>
    <n v="167.96116499999999"/>
    <n v="5"/>
    <x v="409"/>
    <n v="50.485436890000003"/>
    <x v="1"/>
  </r>
  <r>
    <x v="1167"/>
    <s v="2025-04-19"/>
    <n v="19"/>
    <x v="7"/>
    <n v="2025"/>
    <m/>
    <x v="2"/>
    <n v="221306"/>
    <x v="0"/>
    <x v="0"/>
    <n v="167.96116499999999"/>
    <n v="5"/>
    <x v="409"/>
    <n v="46.601941750000002"/>
    <x v="9"/>
  </r>
  <r>
    <x v="1168"/>
    <s v="2025-04-26"/>
    <n v="26"/>
    <x v="7"/>
    <n v="2025"/>
    <m/>
    <x v="1"/>
    <n v="474010"/>
    <x v="0"/>
    <x v="0"/>
    <n v="156.31067959999999"/>
    <n v="4"/>
    <x v="415"/>
    <n v="38.834951459999999"/>
    <x v="4"/>
  </r>
  <r>
    <x v="1169"/>
    <s v="2025-04-04"/>
    <n v="4"/>
    <x v="7"/>
    <n v="2025"/>
    <m/>
    <x v="3"/>
    <n v="587101"/>
    <x v="0"/>
    <x v="0"/>
    <n v="173.78640780000001"/>
    <n v="5"/>
    <x v="383"/>
    <n v="52.42718447"/>
    <x v="3"/>
  </r>
  <r>
    <x v="1170"/>
    <s v="2025-04-06"/>
    <n v="6"/>
    <x v="7"/>
    <n v="2025"/>
    <m/>
    <x v="1"/>
    <n v="143109"/>
    <x v="0"/>
    <x v="0"/>
    <n v="154.368932"/>
    <n v="4"/>
    <x v="410"/>
    <n v="38.834951459999999"/>
    <x v="34"/>
  </r>
  <r>
    <x v="1171"/>
    <s v="2025-04-19"/>
    <n v="19"/>
    <x v="7"/>
    <n v="2025"/>
    <m/>
    <x v="5"/>
    <n v="495557"/>
    <x v="0"/>
    <x v="0"/>
    <n v="144.66019420000001"/>
    <n v="4"/>
    <x v="397"/>
    <n v="37.86407767"/>
    <x v="2"/>
  </r>
  <r>
    <x v="1172"/>
    <s v="2025-04-13"/>
    <n v="13"/>
    <x v="7"/>
    <n v="2025"/>
    <m/>
    <x v="1"/>
    <n v="211019"/>
    <x v="0"/>
    <x v="0"/>
    <n v="151.45631069999999"/>
    <n v="4"/>
    <x v="392"/>
    <n v="33.980582519999999"/>
    <x v="9"/>
  </r>
  <r>
    <x v="1173"/>
    <s v="2025-04-06"/>
    <n v="6"/>
    <x v="7"/>
    <n v="2025"/>
    <m/>
    <x v="1"/>
    <n v="844503"/>
    <x v="0"/>
    <x v="0"/>
    <n v="123.3009709"/>
    <n v="3"/>
    <x v="464"/>
    <n v="33.009708740000001"/>
    <x v="0"/>
  </r>
  <r>
    <x v="1174"/>
    <s v="2025-04-12"/>
    <n v="12"/>
    <x v="7"/>
    <n v="2025"/>
    <m/>
    <x v="3"/>
    <n v="824102"/>
    <x v="0"/>
    <x v="0"/>
    <n v="164.07766989999999"/>
    <n v="4"/>
    <x v="438"/>
    <n v="42.7184466"/>
    <x v="18"/>
  </r>
  <r>
    <x v="1175"/>
    <s v="2025-04-17"/>
    <n v="17"/>
    <x v="7"/>
    <n v="2025"/>
    <m/>
    <x v="1"/>
    <n v="243726"/>
    <x v="0"/>
    <x v="0"/>
    <n v="170.8737864"/>
    <n v="5"/>
    <x v="214"/>
    <n v="53.398058249999998"/>
    <x v="5"/>
  </r>
  <r>
    <x v="1176"/>
    <s v="2025-04-23"/>
    <n v="23"/>
    <x v="7"/>
    <n v="2025"/>
    <m/>
    <x v="1"/>
    <n v="210204"/>
    <x v="0"/>
    <x v="0"/>
    <n v="174.7572816"/>
    <n v="5"/>
    <x v="436"/>
    <n v="53.398058249999998"/>
    <x v="11"/>
  </r>
  <r>
    <x v="1177"/>
    <s v="2025-04-23"/>
    <n v="23"/>
    <x v="7"/>
    <n v="2025"/>
    <m/>
    <x v="3"/>
    <n v="185211"/>
    <x v="0"/>
    <x v="0"/>
    <n v="167.96116499999999"/>
    <n v="5"/>
    <x v="409"/>
    <n v="46.601941750000002"/>
    <x v="0"/>
  </r>
  <r>
    <x v="1178"/>
    <s v="2025-04-19"/>
    <n v="19"/>
    <x v="7"/>
    <n v="2025"/>
    <m/>
    <x v="1"/>
    <n v="791109"/>
    <x v="0"/>
    <x v="0"/>
    <n v="165.04854370000001"/>
    <n v="4"/>
    <x v="444"/>
    <n v="47.57281553"/>
    <x v="0"/>
  </r>
  <r>
    <x v="1179"/>
    <s v="2025-04-18"/>
    <n v="18"/>
    <x v="7"/>
    <n v="2025"/>
    <m/>
    <x v="3"/>
    <n v="400068"/>
    <x v="0"/>
    <x v="0"/>
    <n v="148.54368930000001"/>
    <n v="4"/>
    <x v="465"/>
    <n v="45.631067960000003"/>
    <x v="15"/>
  </r>
  <r>
    <x v="1180"/>
    <s v="2025-04-15"/>
    <n v="15"/>
    <x v="7"/>
    <n v="2025"/>
    <m/>
    <x v="1"/>
    <n v="122004"/>
    <x v="0"/>
    <x v="0"/>
    <n v="154.368932"/>
    <n v="4"/>
    <x v="410"/>
    <n v="50.485436890000003"/>
    <x v="11"/>
  </r>
  <r>
    <x v="1181"/>
    <s v="2025-04-21"/>
    <n v="21"/>
    <x v="7"/>
    <n v="2025"/>
    <m/>
    <x v="1"/>
    <n v="475671"/>
    <x v="0"/>
    <x v="0"/>
    <n v="159.22330099999999"/>
    <n v="4"/>
    <x v="388"/>
    <n v="55.339805830000003"/>
    <x v="5"/>
  </r>
  <r>
    <x v="1182"/>
    <s v="2025-04-10"/>
    <n v="10"/>
    <x v="7"/>
    <n v="2025"/>
    <m/>
    <x v="1"/>
    <n v="688535"/>
    <x v="0"/>
    <x v="0"/>
    <n v="177.66990290000001"/>
    <n v="5"/>
    <x v="399"/>
    <n v="56.310679610000001"/>
    <x v="4"/>
  </r>
  <r>
    <x v="1183"/>
    <s v="2025-04-27"/>
    <n v="27"/>
    <x v="7"/>
    <n v="2025"/>
    <m/>
    <x v="1"/>
    <n v="110091"/>
    <x v="0"/>
    <x v="0"/>
    <n v="171.84466019999999"/>
    <n v="5"/>
    <x v="459"/>
    <n v="50.485436890000003"/>
    <x v="5"/>
  </r>
  <r>
    <x v="1184"/>
    <s v="2025-04-18"/>
    <n v="18"/>
    <x v="7"/>
    <n v="2025"/>
    <m/>
    <x v="1"/>
    <n v="335001"/>
    <x v="0"/>
    <x v="0"/>
    <n v="156.31067959999999"/>
    <n v="4"/>
    <x v="415"/>
    <n v="38.834951459999999"/>
    <x v="13"/>
  </r>
  <r>
    <x v="1185"/>
    <s v="2025-04-18"/>
    <n v="18"/>
    <x v="7"/>
    <n v="2025"/>
    <m/>
    <x v="1"/>
    <n v="412115"/>
    <x v="0"/>
    <x v="0"/>
    <n v="155.33980579999999"/>
    <n v="4"/>
    <x v="439"/>
    <n v="33.980582519999999"/>
    <x v="0"/>
  </r>
  <r>
    <x v="1186"/>
    <s v="2025-04-16"/>
    <n v="16"/>
    <x v="7"/>
    <n v="2025"/>
    <m/>
    <x v="1"/>
    <n v="208011"/>
    <x v="0"/>
    <x v="0"/>
    <n v="156.31067959999999"/>
    <n v="4"/>
    <x v="415"/>
    <n v="38.834951459999999"/>
    <x v="13"/>
  </r>
  <r>
    <x v="1187"/>
    <s v="2025-04-16"/>
    <n v="16"/>
    <x v="7"/>
    <n v="2025"/>
    <m/>
    <x v="1"/>
    <n v="803116"/>
    <x v="0"/>
    <x v="0"/>
    <n v="170.8737864"/>
    <n v="5"/>
    <x v="214"/>
    <n v="53.398058249999998"/>
    <x v="5"/>
  </r>
  <r>
    <x v="1188"/>
    <s v="2025-04-17"/>
    <n v="17"/>
    <x v="7"/>
    <n v="2025"/>
    <m/>
    <x v="2"/>
    <n v="486001"/>
    <x v="0"/>
    <x v="0"/>
    <n v="175.7281553"/>
    <n v="5"/>
    <x v="457"/>
    <n v="54.368932039999997"/>
    <x v="15"/>
  </r>
  <r>
    <x v="1189"/>
    <s v="2025-04-23"/>
    <n v="23"/>
    <x v="7"/>
    <n v="2025"/>
    <m/>
    <x v="4"/>
    <n v="110042"/>
    <x v="0"/>
    <x v="0"/>
    <n v="196.1165049"/>
    <n v="5"/>
    <x v="466"/>
    <n v="74.757281550000002"/>
    <x v="7"/>
  </r>
  <r>
    <x v="1190"/>
    <s v="2025-04-23"/>
    <n v="23"/>
    <x v="7"/>
    <n v="2025"/>
    <m/>
    <x v="3"/>
    <n v="522101"/>
    <x v="0"/>
    <x v="0"/>
    <n v="187.3786408"/>
    <n v="5"/>
    <x v="437"/>
    <n v="46.601941750000002"/>
    <x v="15"/>
  </r>
  <r>
    <x v="1191"/>
    <s v="2025-04-03"/>
    <n v="3"/>
    <x v="7"/>
    <n v="2025"/>
    <m/>
    <x v="2"/>
    <n v="456664"/>
    <x v="0"/>
    <x v="0"/>
    <n v="152.42718450000001"/>
    <n v="4"/>
    <x v="391"/>
    <n v="48.543689319999999"/>
    <x v="7"/>
  </r>
  <r>
    <x v="1192"/>
    <s v="2025-04-14"/>
    <n v="14"/>
    <x v="7"/>
    <n v="2025"/>
    <m/>
    <x v="1"/>
    <n v="276121"/>
    <x v="0"/>
    <x v="0"/>
    <n v="185.43689319999999"/>
    <n v="5"/>
    <x v="467"/>
    <n v="64.077669900000004"/>
    <x v="33"/>
  </r>
  <r>
    <x v="1193"/>
    <s v="2025-04-10"/>
    <n v="10"/>
    <x v="7"/>
    <n v="2025"/>
    <m/>
    <x v="1"/>
    <n v="110059"/>
    <x v="0"/>
    <x v="0"/>
    <n v="161.16504850000001"/>
    <n v="4"/>
    <x v="393"/>
    <n v="53.398058249999998"/>
    <x v="6"/>
  </r>
  <r>
    <x v="1194"/>
    <s v="2025-04-16"/>
    <n v="16"/>
    <x v="7"/>
    <n v="2025"/>
    <m/>
    <x v="1"/>
    <n v="344031"/>
    <x v="0"/>
    <x v="0"/>
    <n v="179.6116505"/>
    <n v="5"/>
    <x v="468"/>
    <n v="62.13592233"/>
    <x v="12"/>
  </r>
  <r>
    <x v="1195"/>
    <s v="2025-04-28"/>
    <n v="28"/>
    <x v="7"/>
    <n v="2025"/>
    <m/>
    <x v="1"/>
    <n v="848502"/>
    <x v="0"/>
    <x v="0"/>
    <n v="140.77669900000001"/>
    <n v="4"/>
    <x v="469"/>
    <n v="36.893203880000002"/>
    <x v="0"/>
  </r>
  <r>
    <x v="1196"/>
    <s v="2025-04-09"/>
    <n v="9"/>
    <x v="7"/>
    <n v="2025"/>
    <m/>
    <x v="5"/>
    <n v="400055"/>
    <x v="0"/>
    <x v="0"/>
    <n v="320.3883495"/>
    <n v="9"/>
    <x v="470"/>
    <n v="67.961165050000005"/>
    <x v="0"/>
  </r>
  <r>
    <x v="1197"/>
    <s v="2025-04-03"/>
    <n v="3"/>
    <x v="7"/>
    <n v="2025"/>
    <m/>
    <x v="5"/>
    <n v="184121"/>
    <x v="0"/>
    <x v="0"/>
    <n v="169.90291260000001"/>
    <n v="5"/>
    <x v="382"/>
    <n v="52.42718447"/>
    <x v="13"/>
  </r>
  <r>
    <x v="1198"/>
    <s v="2025-04-09"/>
    <n v="9"/>
    <x v="7"/>
    <n v="2025"/>
    <m/>
    <x v="1"/>
    <n v="410210"/>
    <x v="0"/>
    <x v="0"/>
    <n v="143.68932040000001"/>
    <n v="4"/>
    <x v="417"/>
    <n v="39.805825239999997"/>
    <x v="0"/>
  </r>
  <r>
    <x v="1199"/>
    <s v="2025-04-18"/>
    <n v="18"/>
    <x v="7"/>
    <n v="2025"/>
    <m/>
    <x v="3"/>
    <n v="803116"/>
    <x v="0"/>
    <x v="0"/>
    <n v="156.31067959999999"/>
    <n v="4"/>
    <x v="415"/>
    <n v="38.834951459999999"/>
    <x v="1"/>
  </r>
  <r>
    <x v="1200"/>
    <s v="2025-04-10"/>
    <n v="10"/>
    <x v="7"/>
    <n v="2025"/>
    <m/>
    <x v="2"/>
    <n v="791110"/>
    <x v="0"/>
    <x v="0"/>
    <n v="168.93203879999999"/>
    <n v="5"/>
    <x v="395"/>
    <n v="47.57281553"/>
    <x v="15"/>
  </r>
  <r>
    <x v="1201"/>
    <s v="2025-04-29"/>
    <n v="29"/>
    <x v="7"/>
    <n v="2025"/>
    <m/>
    <x v="1"/>
    <n v="752055"/>
    <x v="0"/>
    <x v="0"/>
    <n v="162.1359223"/>
    <n v="4"/>
    <x v="434"/>
    <n v="40.776699030000003"/>
    <x v="0"/>
  </r>
  <r>
    <x v="1202"/>
    <s v="2025-04-20"/>
    <n v="20"/>
    <x v="7"/>
    <n v="2025"/>
    <m/>
    <x v="1"/>
    <n v="751024"/>
    <x v="0"/>
    <x v="0"/>
    <n v="133.0097087"/>
    <n v="3"/>
    <x v="471"/>
    <n v="38.834951459999999"/>
    <x v="5"/>
  </r>
  <r>
    <x v="1203"/>
    <s v="2025-04-15"/>
    <n v="15"/>
    <x v="7"/>
    <n v="2025"/>
    <m/>
    <x v="3"/>
    <n v="140603"/>
    <x v="0"/>
    <x v="0"/>
    <n v="166.0194175"/>
    <n v="4"/>
    <x v="405"/>
    <n v="71.844660189999999"/>
    <x v="14"/>
  </r>
  <r>
    <x v="1204"/>
    <s v="2025-04-09"/>
    <n v="9"/>
    <x v="7"/>
    <n v="2025"/>
    <m/>
    <x v="1"/>
    <n v="211006"/>
    <x v="0"/>
    <x v="0"/>
    <n v="154.368932"/>
    <n v="4"/>
    <x v="410"/>
    <n v="33.009708740000001"/>
    <x v="0"/>
  </r>
  <r>
    <x v="1205"/>
    <s v="2025-04-15"/>
    <n v="15"/>
    <x v="7"/>
    <n v="2025"/>
    <m/>
    <x v="3"/>
    <n v="751009"/>
    <x v="0"/>
    <x v="0"/>
    <n v="162.1359223"/>
    <n v="4"/>
    <x v="434"/>
    <n v="40.776699030000003"/>
    <x v="0"/>
  </r>
  <r>
    <x v="1206"/>
    <s v="2025-04-09"/>
    <n v="9"/>
    <x v="7"/>
    <n v="2025"/>
    <m/>
    <x v="1"/>
    <n v="560098"/>
    <x v="0"/>
    <x v="0"/>
    <n v="300.97087379999999"/>
    <n v="9"/>
    <x v="472"/>
    <n v="66.019417480000001"/>
    <x v="0"/>
  </r>
  <r>
    <x v="1207"/>
    <s v="2025-04-30"/>
    <n v="30"/>
    <x v="7"/>
    <n v="2025"/>
    <m/>
    <x v="1"/>
    <n v="261135"/>
    <x v="0"/>
    <x v="0"/>
    <n v="152.42718450000001"/>
    <n v="4"/>
    <x v="391"/>
    <n v="48.543689319999999"/>
    <x v="7"/>
  </r>
  <r>
    <x v="1208"/>
    <s v="2025-04-19"/>
    <n v="19"/>
    <x v="7"/>
    <n v="2025"/>
    <m/>
    <x v="3"/>
    <n v="744101"/>
    <x v="0"/>
    <x v="0"/>
    <n v="162.1359223"/>
    <n v="4"/>
    <x v="434"/>
    <n v="44.660194169999997"/>
    <x v="18"/>
  </r>
  <r>
    <x v="1209"/>
    <s v="2025-04-28"/>
    <n v="28"/>
    <x v="7"/>
    <n v="2025"/>
    <m/>
    <x v="2"/>
    <n v="509338"/>
    <x v="0"/>
    <x v="0"/>
    <n v="312.62135919999997"/>
    <n v="9"/>
    <x v="473"/>
    <n v="77.669902910000005"/>
    <x v="18"/>
  </r>
  <r>
    <x v="1210"/>
    <s v="2025-04-30"/>
    <n v="30"/>
    <x v="7"/>
    <n v="2025"/>
    <m/>
    <x v="1"/>
    <n v="221712"/>
    <x v="0"/>
    <x v="0"/>
    <n v="167.96116499999999"/>
    <n v="5"/>
    <x v="409"/>
    <n v="46.601941750000002"/>
    <x v="0"/>
  </r>
  <r>
    <x v="1211"/>
    <s v="2025-04-27"/>
    <n v="27"/>
    <x v="7"/>
    <n v="2025"/>
    <m/>
    <x v="2"/>
    <n v="324008"/>
    <x v="0"/>
    <x v="0"/>
    <n v="157.28155340000001"/>
    <n v="4"/>
    <x v="427"/>
    <n v="53.398058249999998"/>
    <x v="5"/>
  </r>
  <r>
    <x v="1212"/>
    <s v="2025-04-15"/>
    <n v="15"/>
    <x v="7"/>
    <n v="2025"/>
    <m/>
    <x v="5"/>
    <n v="800010"/>
    <x v="0"/>
    <x v="0"/>
    <n v="137.8640777"/>
    <n v="4"/>
    <x v="402"/>
    <n v="53.398058249999998"/>
    <x v="18"/>
  </r>
  <r>
    <x v="1213"/>
    <s v="2025-04-05"/>
    <n v="5"/>
    <x v="7"/>
    <n v="2025"/>
    <m/>
    <x v="3"/>
    <n v="412312"/>
    <x v="0"/>
    <x v="0"/>
    <n v="162.1359223"/>
    <n v="4"/>
    <x v="434"/>
    <n v="40.776699030000003"/>
    <x v="7"/>
  </r>
  <r>
    <x v="1214"/>
    <s v="2025-04-28"/>
    <n v="28"/>
    <x v="7"/>
    <n v="2025"/>
    <m/>
    <x v="1"/>
    <n v="500020"/>
    <x v="0"/>
    <x v="0"/>
    <n v="157.28155340000001"/>
    <n v="4"/>
    <x v="427"/>
    <n v="53.398058249999998"/>
    <x v="17"/>
  </r>
  <r>
    <x v="1215"/>
    <s v="2025-04-10"/>
    <n v="10"/>
    <x v="7"/>
    <n v="2025"/>
    <m/>
    <x v="3"/>
    <n v="225403"/>
    <x v="0"/>
    <x v="0"/>
    <n v="170.8737864"/>
    <n v="5"/>
    <x v="214"/>
    <n v="53.398058249999998"/>
    <x v="13"/>
  </r>
  <r>
    <x v="1216"/>
    <s v="2025-04-10"/>
    <n v="10"/>
    <x v="7"/>
    <n v="2025"/>
    <m/>
    <x v="1"/>
    <n v="273212"/>
    <x v="0"/>
    <x v="0"/>
    <n v="150.4854369"/>
    <n v="4"/>
    <x v="419"/>
    <n v="53.398058249999998"/>
    <x v="17"/>
  </r>
  <r>
    <x v="1217"/>
    <s v="2025-04-26"/>
    <n v="26"/>
    <x v="7"/>
    <n v="2025"/>
    <m/>
    <x v="3"/>
    <n v="110043"/>
    <x v="0"/>
    <x v="0"/>
    <n v="169.90291260000001"/>
    <n v="5"/>
    <x v="382"/>
    <n v="48.543689319999999"/>
    <x v="9"/>
  </r>
  <r>
    <x v="1218"/>
    <s v="2025-04-27"/>
    <n v="27"/>
    <x v="7"/>
    <n v="2025"/>
    <m/>
    <x v="2"/>
    <n v="752038"/>
    <x v="0"/>
    <x v="0"/>
    <n v="202.91262140000001"/>
    <n v="6"/>
    <x v="462"/>
    <n v="81.553398060000006"/>
    <x v="5"/>
  </r>
  <r>
    <x v="1219"/>
    <s v="2025-04-26"/>
    <n v="26"/>
    <x v="7"/>
    <n v="2025"/>
    <m/>
    <x v="1"/>
    <n v="845401"/>
    <x v="0"/>
    <x v="0"/>
    <n v="202.91262140000001"/>
    <n v="6"/>
    <x v="462"/>
    <n v="81.553398060000006"/>
    <x v="0"/>
  </r>
  <r>
    <x v="1220"/>
    <s v="2025-04-29"/>
    <n v="29"/>
    <x v="7"/>
    <n v="2025"/>
    <m/>
    <x v="0"/>
    <n v="110091"/>
    <x v="0"/>
    <x v="0"/>
    <n v="171.84466019999999"/>
    <n v="5"/>
    <x v="459"/>
    <n v="50.485436890000003"/>
    <x v="4"/>
  </r>
  <r>
    <x v="1221"/>
    <s v="2025-04-29"/>
    <n v="29"/>
    <x v="7"/>
    <n v="2025"/>
    <m/>
    <x v="2"/>
    <n v="324008"/>
    <x v="0"/>
    <x v="0"/>
    <n v="139.80582519999999"/>
    <n v="4"/>
    <x v="407"/>
    <n v="42.7184466"/>
    <x v="4"/>
  </r>
  <r>
    <x v="1222"/>
    <s v="2025-04-04"/>
    <n v="4"/>
    <x v="7"/>
    <n v="2025"/>
    <m/>
    <x v="5"/>
    <n v="700040"/>
    <x v="0"/>
    <x v="0"/>
    <n v="91.262135900000004"/>
    <n v="2"/>
    <x v="30"/>
    <n v="43.689320389999999"/>
    <x v="12"/>
  </r>
  <r>
    <x v="1223"/>
    <s v="2025-04-20"/>
    <n v="20"/>
    <x v="7"/>
    <n v="2025"/>
    <m/>
    <x v="1"/>
    <n v="798620"/>
    <x v="0"/>
    <x v="0"/>
    <n v="174.7572816"/>
    <n v="5"/>
    <x v="436"/>
    <n v="53.398058249999998"/>
    <x v="13"/>
  </r>
  <r>
    <x v="1224"/>
    <s v="2025-04-15"/>
    <n v="15"/>
    <x v="7"/>
    <n v="2025"/>
    <m/>
    <x v="1"/>
    <n v="824102"/>
    <x v="0"/>
    <x v="0"/>
    <n v="165.04854370000001"/>
    <n v="4"/>
    <x v="444"/>
    <n v="43.689320389999999"/>
    <x v="2"/>
  </r>
  <r>
    <x v="1225"/>
    <s v="2025-04-15"/>
    <n v="15"/>
    <x v="7"/>
    <n v="2025"/>
    <m/>
    <x v="1"/>
    <n v="804407"/>
    <x v="0"/>
    <x v="0"/>
    <n v="152.42718450000001"/>
    <n v="4"/>
    <x v="391"/>
    <n v="34.951456309999998"/>
    <x v="9"/>
  </r>
  <r>
    <x v="1226"/>
    <s v="2025-04-06"/>
    <n v="6"/>
    <x v="7"/>
    <n v="2025"/>
    <m/>
    <x v="2"/>
    <n v="212601"/>
    <x v="0"/>
    <x v="0"/>
    <n v="149.5145631"/>
    <n v="4"/>
    <x v="423"/>
    <n v="37.86407767"/>
    <x v="0"/>
  </r>
  <r>
    <x v="1227"/>
    <s v="2025-04-20"/>
    <n v="20"/>
    <x v="7"/>
    <n v="2025"/>
    <m/>
    <x v="1"/>
    <n v="110040"/>
    <x v="0"/>
    <x v="0"/>
    <n v="179.6116505"/>
    <n v="5"/>
    <x v="468"/>
    <n v="75.728155340000001"/>
    <x v="5"/>
  </r>
  <r>
    <x v="1228"/>
    <s v="2025-04-29"/>
    <n v="29"/>
    <x v="7"/>
    <n v="2025"/>
    <m/>
    <x v="1"/>
    <n v="223226"/>
    <x v="0"/>
    <x v="0"/>
    <n v="171.84466019999999"/>
    <n v="5"/>
    <x v="459"/>
    <n v="53.398058249999998"/>
    <x v="1"/>
  </r>
  <r>
    <x v="1229"/>
    <s v="2025-04-04"/>
    <n v="4"/>
    <x v="7"/>
    <n v="2025"/>
    <m/>
    <x v="1"/>
    <n v="802312"/>
    <x v="0"/>
    <x v="0"/>
    <n v="128.15533980000001"/>
    <n v="3"/>
    <x v="452"/>
    <n v="33.980582519999999"/>
    <x v="20"/>
  </r>
  <r>
    <x v="1230"/>
    <s v="2025-04-01"/>
    <n v="1"/>
    <x v="7"/>
    <n v="2025"/>
    <m/>
    <x v="6"/>
    <n v="711106"/>
    <x v="0"/>
    <x v="0"/>
    <n v="155.33980579999999"/>
    <n v="4"/>
    <x v="439"/>
    <n v="37.86407767"/>
    <x v="0"/>
  </r>
  <r>
    <x v="1231"/>
    <s v="2025-04-18"/>
    <n v="18"/>
    <x v="7"/>
    <n v="2025"/>
    <m/>
    <x v="1"/>
    <n v="313027"/>
    <x v="0"/>
    <x v="0"/>
    <n v="174.7572816"/>
    <n v="5"/>
    <x v="436"/>
    <n v="53.398058249999998"/>
    <x v="11"/>
  </r>
  <r>
    <x v="1232"/>
    <s v="2025-04-08"/>
    <n v="8"/>
    <x v="7"/>
    <n v="2025"/>
    <m/>
    <x v="1"/>
    <n v="683110"/>
    <x v="0"/>
    <x v="0"/>
    <n v="219.41747570000001"/>
    <n v="6"/>
    <x v="474"/>
    <n v="93.203883500000003"/>
    <x v="13"/>
  </r>
  <r>
    <x v="1233"/>
    <s v="2025-04-28"/>
    <n v="28"/>
    <x v="7"/>
    <n v="2025"/>
    <m/>
    <x v="1"/>
    <n v="144601"/>
    <x v="0"/>
    <x v="0"/>
    <n v="163.1067961"/>
    <n v="4"/>
    <x v="384"/>
    <n v="41.747572820000002"/>
    <x v="0"/>
  </r>
  <r>
    <x v="1234"/>
    <s v="2025-04-12"/>
    <n v="12"/>
    <x v="7"/>
    <n v="2025"/>
    <m/>
    <x v="1"/>
    <n v="600112"/>
    <x v="0"/>
    <x v="0"/>
    <n v="155.33980579999999"/>
    <n v="4"/>
    <x v="439"/>
    <n v="37.86407767"/>
    <x v="4"/>
  </r>
  <r>
    <x v="1235"/>
    <s v="2025-04-30"/>
    <n v="30"/>
    <x v="7"/>
    <n v="2025"/>
    <m/>
    <x v="3"/>
    <n v="522101"/>
    <x v="0"/>
    <x v="0"/>
    <n v="167.96116499999999"/>
    <n v="5"/>
    <x v="409"/>
    <n v="46.601941750000002"/>
    <x v="0"/>
  </r>
  <r>
    <x v="1236"/>
    <s v="2025-04-28"/>
    <n v="28"/>
    <x v="7"/>
    <n v="2025"/>
    <m/>
    <x v="1"/>
    <n v="245304"/>
    <x v="0"/>
    <x v="0"/>
    <n v="182.52427180000001"/>
    <n v="5"/>
    <x v="475"/>
    <n v="41.747572820000002"/>
    <x v="0"/>
  </r>
  <r>
    <x v="1237"/>
    <s v="2025-04-29"/>
    <n v="29"/>
    <x v="7"/>
    <n v="2025"/>
    <m/>
    <x v="0"/>
    <n v="282007"/>
    <x v="0"/>
    <x v="0"/>
    <n v="165.04854370000001"/>
    <n v="4"/>
    <x v="444"/>
    <n v="47.57281553"/>
    <x v="24"/>
  </r>
  <r>
    <x v="1238"/>
    <s v="2025-04-30"/>
    <n v="30"/>
    <x v="7"/>
    <n v="2025"/>
    <m/>
    <x v="1"/>
    <n v="425502"/>
    <x v="0"/>
    <x v="0"/>
    <n v="160.19417480000001"/>
    <n v="4"/>
    <x v="432"/>
    <n v="42.7184466"/>
    <x v="0"/>
  </r>
  <r>
    <x v="1239"/>
    <s v="2025-04-22"/>
    <n v="22"/>
    <x v="7"/>
    <n v="2025"/>
    <m/>
    <x v="1"/>
    <n v="263148"/>
    <x v="0"/>
    <x v="0"/>
    <n v="164.07766989999999"/>
    <n v="4"/>
    <x v="438"/>
    <n v="42.7184466"/>
    <x v="13"/>
  </r>
  <r>
    <x v="1240"/>
    <s v="2025-04-08"/>
    <n v="8"/>
    <x v="7"/>
    <n v="2025"/>
    <m/>
    <x v="1"/>
    <n v="500034"/>
    <x v="0"/>
    <x v="0"/>
    <n v="161.16504850000001"/>
    <n v="4"/>
    <x v="393"/>
    <n v="39.805825239999997"/>
    <x v="5"/>
  </r>
  <r>
    <x v="1241"/>
    <s v="2025-04-04"/>
    <n v="4"/>
    <x v="7"/>
    <n v="2025"/>
    <m/>
    <x v="3"/>
    <n v="277213"/>
    <x v="0"/>
    <x v="0"/>
    <n v="182.52427180000001"/>
    <n v="5"/>
    <x v="475"/>
    <n v="61.165048540000001"/>
    <x v="30"/>
  </r>
  <r>
    <x v="1242"/>
    <s v="2025-04-22"/>
    <n v="22"/>
    <x v="7"/>
    <n v="2025"/>
    <m/>
    <x v="1"/>
    <n v="202135"/>
    <x v="0"/>
    <x v="0"/>
    <n v="157.28155340000001"/>
    <n v="4"/>
    <x v="427"/>
    <n v="53.398058249999998"/>
    <x v="5"/>
  </r>
  <r>
    <x v="1243"/>
    <s v="2025-04-12"/>
    <n v="12"/>
    <x v="7"/>
    <n v="2025"/>
    <m/>
    <x v="1"/>
    <n v="803116"/>
    <x v="0"/>
    <x v="0"/>
    <n v="156.31067959999999"/>
    <n v="4"/>
    <x v="415"/>
    <n v="38.834951459999999"/>
    <x v="0"/>
  </r>
  <r>
    <x v="1244"/>
    <s v="2025-04-04"/>
    <n v="4"/>
    <x v="7"/>
    <n v="2025"/>
    <m/>
    <x v="5"/>
    <n v="224201"/>
    <x v="0"/>
    <x v="0"/>
    <n v="186.40776700000001"/>
    <n v="5"/>
    <x v="460"/>
    <n v="46.601941750000002"/>
    <x v="0"/>
  </r>
  <r>
    <x v="1245"/>
    <s v="2025-04-19"/>
    <n v="19"/>
    <x v="7"/>
    <n v="2025"/>
    <m/>
    <x v="5"/>
    <n v="585401"/>
    <x v="0"/>
    <x v="0"/>
    <n v="285.43689319999999"/>
    <n v="8"/>
    <x v="476"/>
    <n v="97.087378639999997"/>
    <x v="33"/>
  </r>
  <r>
    <x v="1246"/>
    <s v="2025-04-08"/>
    <n v="8"/>
    <x v="7"/>
    <n v="2025"/>
    <m/>
    <x v="1"/>
    <n v="250004"/>
    <x v="0"/>
    <x v="0"/>
    <n v="140.77669900000001"/>
    <n v="4"/>
    <x v="469"/>
    <n v="37.86407767"/>
    <x v="16"/>
  </r>
  <r>
    <x v="1247"/>
    <s v="2025-04-14"/>
    <n v="14"/>
    <x v="7"/>
    <n v="2025"/>
    <m/>
    <x v="1"/>
    <n v="788720"/>
    <x v="0"/>
    <x v="0"/>
    <n v="187.3786408"/>
    <n v="5"/>
    <x v="437"/>
    <n v="32.038834950000002"/>
    <x v="16"/>
  </r>
  <r>
    <x v="1248"/>
    <s v="2025-04-12"/>
    <n v="12"/>
    <x v="7"/>
    <n v="2025"/>
    <m/>
    <x v="1"/>
    <n v="673014"/>
    <x v="0"/>
    <x v="0"/>
    <n v="156.31067959999999"/>
    <n v="4"/>
    <x v="415"/>
    <n v="52.42718447"/>
    <x v="11"/>
  </r>
  <r>
    <x v="1249"/>
    <s v="2025-04-09"/>
    <n v="9"/>
    <x v="7"/>
    <n v="2025"/>
    <m/>
    <x v="1"/>
    <n v="500034"/>
    <x v="0"/>
    <x v="0"/>
    <n v="160.19417480000001"/>
    <n v="4"/>
    <x v="432"/>
    <n v="33.980582519999999"/>
    <x v="15"/>
  </r>
  <r>
    <x v="1250"/>
    <s v="2025-04-10"/>
    <n v="10"/>
    <x v="7"/>
    <n v="2025"/>
    <m/>
    <x v="0"/>
    <n v="402103"/>
    <x v="0"/>
    <x v="0"/>
    <n v="136.8932039"/>
    <n v="4"/>
    <x v="390"/>
    <n v="49.514563109999997"/>
    <x v="6"/>
  </r>
  <r>
    <x v="1251"/>
    <s v="2025-04-26"/>
    <n v="26"/>
    <x v="7"/>
    <n v="2025"/>
    <m/>
    <x v="1"/>
    <n v="621701"/>
    <x v="0"/>
    <x v="0"/>
    <n v="174.7572816"/>
    <n v="5"/>
    <x v="436"/>
    <n v="57.2815534"/>
    <x v="7"/>
  </r>
  <r>
    <x v="1252"/>
    <s v="2025-04-30"/>
    <n v="30"/>
    <x v="7"/>
    <n v="2025"/>
    <m/>
    <x v="5"/>
    <n v="244231"/>
    <x v="0"/>
    <x v="0"/>
    <n v="171.84466019999999"/>
    <n v="5"/>
    <x v="459"/>
    <n v="50.485436890000003"/>
    <x v="5"/>
  </r>
  <r>
    <x v="1253"/>
    <s v="2025-04-09"/>
    <n v="9"/>
    <x v="7"/>
    <n v="2025"/>
    <m/>
    <x v="1"/>
    <n v="328001"/>
    <x v="0"/>
    <x v="0"/>
    <n v="179.6116505"/>
    <n v="5"/>
    <x v="468"/>
    <n v="53.398058249999998"/>
    <x v="5"/>
  </r>
  <r>
    <x v="1254"/>
    <s v="2025-04-06"/>
    <n v="6"/>
    <x v="7"/>
    <n v="2025"/>
    <m/>
    <x v="1"/>
    <n v="412312"/>
    <x v="0"/>
    <x v="0"/>
    <n v="124.2718447"/>
    <n v="3"/>
    <x v="458"/>
    <n v="33.980582519999999"/>
    <x v="15"/>
  </r>
  <r>
    <x v="1255"/>
    <s v="2025-04-16"/>
    <n v="16"/>
    <x v="7"/>
    <n v="2025"/>
    <m/>
    <x v="5"/>
    <n v="735220"/>
    <x v="0"/>
    <x v="0"/>
    <n v="171.84466019999999"/>
    <n v="5"/>
    <x v="459"/>
    <n v="50.485436890000003"/>
    <x v="5"/>
  </r>
  <r>
    <x v="1256"/>
    <s v="2025-04-22"/>
    <n v="22"/>
    <x v="7"/>
    <n v="2025"/>
    <m/>
    <x v="1"/>
    <n v="131001"/>
    <x v="0"/>
    <x v="0"/>
    <n v="189.32038829999999"/>
    <n v="5"/>
    <x v="477"/>
    <n v="71.844660189999999"/>
    <x v="10"/>
  </r>
  <r>
    <x v="1257"/>
    <s v="2025-04-10"/>
    <n v="10"/>
    <x v="7"/>
    <n v="2025"/>
    <m/>
    <x v="3"/>
    <n v="852214"/>
    <x v="0"/>
    <x v="0"/>
    <n v="156.31067959999999"/>
    <n v="4"/>
    <x v="415"/>
    <n v="52.42718447"/>
    <x v="11"/>
  </r>
  <r>
    <x v="1258"/>
    <s v="2025-04-30"/>
    <n v="30"/>
    <x v="7"/>
    <n v="2025"/>
    <m/>
    <x v="0"/>
    <n v="243201"/>
    <x v="0"/>
    <x v="0"/>
    <n v="184.46601939999999"/>
    <n v="5"/>
    <x v="404"/>
    <n v="43.689320389999999"/>
    <x v="8"/>
  </r>
  <r>
    <x v="1259"/>
    <s v="2025-04-30"/>
    <n v="30"/>
    <x v="7"/>
    <n v="2025"/>
    <m/>
    <x v="5"/>
    <n v="802132"/>
    <x v="0"/>
    <x v="0"/>
    <n v="182.52427180000001"/>
    <n v="5"/>
    <x v="475"/>
    <n v="41.747572820000002"/>
    <x v="0"/>
  </r>
  <r>
    <x v="1260"/>
    <s v="2025-04-05"/>
    <n v="5"/>
    <x v="7"/>
    <n v="2025"/>
    <m/>
    <x v="3"/>
    <n v="362266"/>
    <x v="0"/>
    <x v="0"/>
    <n v="169.90291260000001"/>
    <n v="5"/>
    <x v="382"/>
    <n v="52.42718447"/>
    <x v="0"/>
  </r>
  <r>
    <x v="1261"/>
    <s v="2025-04-16"/>
    <n v="16"/>
    <x v="7"/>
    <n v="2025"/>
    <m/>
    <x v="3"/>
    <n v="143001"/>
    <x v="0"/>
    <x v="0"/>
    <n v="162.1359223"/>
    <n v="4"/>
    <x v="434"/>
    <n v="40.776699030000003"/>
    <x v="14"/>
  </r>
  <r>
    <x v="1262"/>
    <s v="2025-04-26"/>
    <n v="26"/>
    <x v="7"/>
    <n v="2025"/>
    <m/>
    <x v="2"/>
    <n v="843313"/>
    <x v="0"/>
    <x v="0"/>
    <n v="174.7572816"/>
    <n v="5"/>
    <x v="436"/>
    <n v="53.398058249999998"/>
    <x v="7"/>
  </r>
  <r>
    <x v="1263"/>
    <s v="2025-04-10"/>
    <n v="10"/>
    <x v="7"/>
    <n v="2025"/>
    <m/>
    <x v="1"/>
    <n v="281004"/>
    <x v="0"/>
    <x v="0"/>
    <n v="149.5145631"/>
    <n v="4"/>
    <x v="423"/>
    <n v="52.42718447"/>
    <x v="12"/>
  </r>
  <r>
    <x v="1264"/>
    <s v="2025-04-09"/>
    <n v="9"/>
    <x v="7"/>
    <n v="2025"/>
    <m/>
    <x v="1"/>
    <n v="400037"/>
    <x v="4"/>
    <x v="1"/>
    <n v="216.9491525"/>
    <n v="39"/>
    <x v="478"/>
    <n v="32.203389829999999"/>
    <x v="0"/>
  </r>
  <r>
    <x v="1265"/>
    <s v="2025-04-22"/>
    <n v="22"/>
    <x v="7"/>
    <n v="2025"/>
    <m/>
    <x v="1"/>
    <n v="560064"/>
    <x v="0"/>
    <x v="0"/>
    <n v="141.7475728"/>
    <n v="4"/>
    <x v="385"/>
    <n v="37.86407767"/>
    <x v="0"/>
  </r>
  <r>
    <x v="1266"/>
    <s v="2025-04-10"/>
    <n v="10"/>
    <x v="7"/>
    <n v="2025"/>
    <m/>
    <x v="1"/>
    <n v="403720"/>
    <x v="0"/>
    <x v="0"/>
    <n v="149.5145631"/>
    <n v="4"/>
    <x v="423"/>
    <n v="52.42718447"/>
    <x v="12"/>
  </r>
  <r>
    <x v="1267"/>
    <s v="2025-04-05"/>
    <n v="5"/>
    <x v="7"/>
    <n v="2025"/>
    <m/>
    <x v="1"/>
    <n v="110029"/>
    <x v="0"/>
    <x v="0"/>
    <n v="151.45631069999999"/>
    <n v="4"/>
    <x v="392"/>
    <n v="39.805825239999997"/>
    <x v="0"/>
  </r>
  <r>
    <x v="1268"/>
    <s v="2025-04-05"/>
    <n v="5"/>
    <x v="7"/>
    <n v="2025"/>
    <m/>
    <x v="1"/>
    <n v="110019"/>
    <x v="0"/>
    <x v="0"/>
    <n v="163.1067961"/>
    <n v="4"/>
    <x v="384"/>
    <n v="45.631067960000003"/>
    <x v="9"/>
  </r>
  <r>
    <x v="1269"/>
    <s v="2025-04-10"/>
    <n v="10"/>
    <x v="7"/>
    <n v="2025"/>
    <m/>
    <x v="2"/>
    <n v="140507"/>
    <x v="0"/>
    <x v="0"/>
    <n v="157.28155340000001"/>
    <n v="4"/>
    <x v="427"/>
    <n v="39.805825239999997"/>
    <x v="0"/>
  </r>
  <r>
    <x v="1270"/>
    <s v="2025-04-13"/>
    <n v="13"/>
    <x v="7"/>
    <n v="2025"/>
    <m/>
    <x v="1"/>
    <n v="110084"/>
    <x v="0"/>
    <x v="0"/>
    <n v="201.94174760000001"/>
    <n v="6"/>
    <x v="479"/>
    <n v="46.601941750000002"/>
    <x v="15"/>
  </r>
  <r>
    <x v="1271"/>
    <s v="2025-04-16"/>
    <n v="16"/>
    <x v="7"/>
    <n v="2025"/>
    <m/>
    <x v="1"/>
    <n v="500034"/>
    <x v="0"/>
    <x v="0"/>
    <n v="141.7475728"/>
    <n v="4"/>
    <x v="385"/>
    <n v="37.86407767"/>
    <x v="0"/>
  </r>
  <r>
    <x v="1272"/>
    <s v="2025-04-01"/>
    <n v="1"/>
    <x v="7"/>
    <n v="2025"/>
    <m/>
    <x v="0"/>
    <n v="497220"/>
    <x v="0"/>
    <x v="0"/>
    <n v="339.80582520000002"/>
    <n v="10"/>
    <x v="480"/>
    <n v="104.85436893000001"/>
    <x v="1"/>
  </r>
  <r>
    <x v="1273"/>
    <s v="2025-04-05"/>
    <n v="5"/>
    <x v="7"/>
    <n v="2025"/>
    <m/>
    <x v="2"/>
    <n v="122001"/>
    <x v="0"/>
    <x v="0"/>
    <n v="139.80582519999999"/>
    <n v="4"/>
    <x v="407"/>
    <n v="45.631067960000003"/>
    <x v="9"/>
  </r>
  <r>
    <x v="1274"/>
    <s v="2025-04-21"/>
    <n v="21"/>
    <x v="7"/>
    <n v="2025"/>
    <m/>
    <x v="1"/>
    <n v="244412"/>
    <x v="0"/>
    <x v="0"/>
    <n v="158.2524272"/>
    <n v="4"/>
    <x v="406"/>
    <n v="61.165048540000001"/>
    <x v="24"/>
  </r>
  <r>
    <x v="1275"/>
    <s v="2025-04-28"/>
    <n v="28"/>
    <x v="7"/>
    <n v="2025"/>
    <m/>
    <x v="1"/>
    <n v="233303"/>
    <x v="0"/>
    <x v="0"/>
    <n v="156.31067959999999"/>
    <n v="4"/>
    <x v="415"/>
    <n v="38.834951459999999"/>
    <x v="2"/>
  </r>
  <r>
    <x v="1276"/>
    <s v="2025-04-28"/>
    <n v="28"/>
    <x v="7"/>
    <n v="2025"/>
    <m/>
    <x v="3"/>
    <n v="232102"/>
    <x v="0"/>
    <x v="0"/>
    <n v="172.81553400000001"/>
    <n v="5"/>
    <x v="420"/>
    <n v="68.932038829999996"/>
    <x v="5"/>
  </r>
  <r>
    <x v="1277"/>
    <s v="2025-04-02"/>
    <n v="2"/>
    <x v="7"/>
    <n v="2025"/>
    <m/>
    <x v="4"/>
    <n v="502110"/>
    <x v="0"/>
    <x v="0"/>
    <n v="159.22330099999999"/>
    <n v="4"/>
    <x v="388"/>
    <n v="37.86407767"/>
    <x v="6"/>
  </r>
  <r>
    <x v="1278"/>
    <s v="2025-04-22"/>
    <n v="22"/>
    <x v="7"/>
    <n v="2025"/>
    <m/>
    <x v="1"/>
    <n v="273402"/>
    <x v="0"/>
    <x v="0"/>
    <n v="158.2524272"/>
    <n v="4"/>
    <x v="406"/>
    <n v="40.776699030000003"/>
    <x v="5"/>
  </r>
  <r>
    <x v="1279"/>
    <s v="2025-04-19"/>
    <n v="19"/>
    <x v="7"/>
    <n v="2025"/>
    <m/>
    <x v="1"/>
    <n v="761009"/>
    <x v="0"/>
    <x v="0"/>
    <n v="151.45631069999999"/>
    <n v="4"/>
    <x v="392"/>
    <n v="33.980582519999999"/>
    <x v="0"/>
  </r>
  <r>
    <x v="1280"/>
    <s v="2025-04-14"/>
    <n v="14"/>
    <x v="7"/>
    <n v="2025"/>
    <m/>
    <x v="1"/>
    <n v="500064"/>
    <x v="0"/>
    <x v="0"/>
    <n v="156.31067959999999"/>
    <n v="4"/>
    <x v="415"/>
    <n v="38.834951459999999"/>
    <x v="6"/>
  </r>
  <r>
    <x v="1281"/>
    <s v="2025-04-17"/>
    <n v="17"/>
    <x v="7"/>
    <n v="2025"/>
    <m/>
    <x v="1"/>
    <n v="222303"/>
    <x v="0"/>
    <x v="0"/>
    <n v="160.19417480000001"/>
    <n v="4"/>
    <x v="432"/>
    <n v="38.834951459999999"/>
    <x v="7"/>
  </r>
  <r>
    <x v="1282"/>
    <s v="2025-04-02"/>
    <n v="2"/>
    <x v="7"/>
    <n v="2025"/>
    <m/>
    <x v="2"/>
    <n v="752111"/>
    <x v="0"/>
    <x v="0"/>
    <n v="141.7475728"/>
    <n v="4"/>
    <x v="385"/>
    <n v="37.86407767"/>
    <x v="11"/>
  </r>
  <r>
    <x v="1283"/>
    <s v="2025-04-02"/>
    <n v="2"/>
    <x v="7"/>
    <n v="2025"/>
    <m/>
    <x v="1"/>
    <n v="854202"/>
    <x v="0"/>
    <x v="0"/>
    <n v="155.33980579999999"/>
    <n v="4"/>
    <x v="439"/>
    <n v="37.86407767"/>
    <x v="13"/>
  </r>
  <r>
    <x v="1284"/>
    <s v="2025-04-04"/>
    <n v="4"/>
    <x v="7"/>
    <n v="2025"/>
    <m/>
    <x v="3"/>
    <n v="829144"/>
    <x v="0"/>
    <x v="0"/>
    <n v="91.262135900000004"/>
    <n v="2"/>
    <x v="30"/>
    <n v="43.689320389999999"/>
    <x v="12"/>
  </r>
  <r>
    <x v="1285"/>
    <s v="2025-04-27"/>
    <n v="27"/>
    <x v="7"/>
    <n v="2025"/>
    <m/>
    <x v="1"/>
    <n v="572101"/>
    <x v="0"/>
    <x v="0"/>
    <n v="165.04854370000001"/>
    <n v="4"/>
    <x v="444"/>
    <n v="53.398058249999998"/>
    <x v="9"/>
  </r>
  <r>
    <x v="1286"/>
    <s v="2025-04-02"/>
    <n v="2"/>
    <x v="7"/>
    <n v="2025"/>
    <m/>
    <x v="3"/>
    <n v="229202"/>
    <x v="0"/>
    <x v="0"/>
    <n v="145.631068"/>
    <n v="4"/>
    <x v="408"/>
    <n v="51.456310680000001"/>
    <x v="15"/>
  </r>
  <r>
    <x v="1287"/>
    <s v="2025-04-11"/>
    <n v="11"/>
    <x v="7"/>
    <n v="2025"/>
    <m/>
    <x v="5"/>
    <n v="581118"/>
    <x v="0"/>
    <x v="0"/>
    <n v="132.03883500000001"/>
    <n v="3"/>
    <x v="381"/>
    <n v="37.86407767"/>
    <x v="2"/>
  </r>
  <r>
    <x v="1288"/>
    <s v="2025-04-01"/>
    <n v="1"/>
    <x v="7"/>
    <n v="2025"/>
    <m/>
    <x v="3"/>
    <n v="413112"/>
    <x v="0"/>
    <x v="0"/>
    <n v="147.57281549999999"/>
    <n v="4"/>
    <x v="425"/>
    <n v="53.398058249999998"/>
    <x v="17"/>
  </r>
  <r>
    <x v="1289"/>
    <s v="2025-04-01"/>
    <n v="1"/>
    <x v="7"/>
    <n v="2025"/>
    <m/>
    <x v="1"/>
    <n v="828130"/>
    <x v="0"/>
    <x v="0"/>
    <n v="165.04854370000001"/>
    <n v="4"/>
    <x v="444"/>
    <n v="43.689320389999999"/>
    <x v="2"/>
  </r>
  <r>
    <x v="1290"/>
    <s v="2025-04-22"/>
    <n v="22"/>
    <x v="7"/>
    <n v="2025"/>
    <m/>
    <x v="1"/>
    <n v="488333"/>
    <x v="0"/>
    <x v="0"/>
    <n v="136.8932039"/>
    <n v="4"/>
    <x v="390"/>
    <n v="33.980582519999999"/>
    <x v="15"/>
  </r>
  <r>
    <x v="1291"/>
    <s v="2025-04-21"/>
    <n v="21"/>
    <x v="7"/>
    <n v="2025"/>
    <m/>
    <x v="1"/>
    <n v="440022"/>
    <x v="0"/>
    <x v="0"/>
    <n v="256.31067960000001"/>
    <n v="7"/>
    <x v="481"/>
    <n v="67.961165050000005"/>
    <x v="0"/>
  </r>
  <r>
    <x v="1292"/>
    <s v="2025-04-01"/>
    <n v="1"/>
    <x v="7"/>
    <n v="2025"/>
    <m/>
    <x v="2"/>
    <n v="805107"/>
    <x v="0"/>
    <x v="0"/>
    <n v="178.6407767"/>
    <n v="5"/>
    <x v="482"/>
    <n v="57.2815534"/>
    <x v="5"/>
  </r>
  <r>
    <x v="1293"/>
    <s v="2025-04-21"/>
    <n v="21"/>
    <x v="7"/>
    <n v="2025"/>
    <m/>
    <x v="1"/>
    <n v="305801"/>
    <x v="0"/>
    <x v="0"/>
    <n v="162.1359223"/>
    <n v="4"/>
    <x v="434"/>
    <n v="43.689320389999999"/>
    <x v="1"/>
  </r>
  <r>
    <x v="1294"/>
    <s v="2025-04-01"/>
    <n v="1"/>
    <x v="7"/>
    <n v="2025"/>
    <m/>
    <x v="1"/>
    <n v="700018"/>
    <x v="0"/>
    <x v="0"/>
    <n v="132.03883500000001"/>
    <n v="3"/>
    <x v="381"/>
    <n v="52.42718447"/>
    <x v="5"/>
  </r>
  <r>
    <x v="1295"/>
    <s v="2025-04-14"/>
    <n v="14"/>
    <x v="7"/>
    <n v="2025"/>
    <m/>
    <x v="2"/>
    <n v="302029"/>
    <x v="0"/>
    <x v="0"/>
    <n v="167.96116499999999"/>
    <n v="5"/>
    <x v="409"/>
    <n v="46.601941750000002"/>
    <x v="9"/>
  </r>
  <r>
    <x v="1296"/>
    <s v="2025-04-19"/>
    <n v="19"/>
    <x v="7"/>
    <n v="2025"/>
    <m/>
    <x v="1"/>
    <n v="563127"/>
    <x v="0"/>
    <x v="0"/>
    <n v="165.04854370000001"/>
    <n v="4"/>
    <x v="444"/>
    <n v="47.57281553"/>
    <x v="0"/>
  </r>
  <r>
    <x v="1297"/>
    <s v="2025-04-26"/>
    <n v="26"/>
    <x v="7"/>
    <n v="2025"/>
    <m/>
    <x v="1"/>
    <n v="444806"/>
    <x v="0"/>
    <x v="0"/>
    <n v="182.52427180000001"/>
    <n v="5"/>
    <x v="475"/>
    <n v="61.165048540000001"/>
    <x v="13"/>
  </r>
  <r>
    <x v="1298"/>
    <s v="2025-04-06"/>
    <n v="6"/>
    <x v="7"/>
    <n v="2025"/>
    <m/>
    <x v="1"/>
    <n v="221304"/>
    <x v="0"/>
    <x v="0"/>
    <n v="190.29126210000001"/>
    <n v="5"/>
    <x v="429"/>
    <n v="56.310679610000001"/>
    <x v="15"/>
  </r>
  <r>
    <x v="1299"/>
    <s v="2025-04-03"/>
    <n v="3"/>
    <x v="7"/>
    <n v="2025"/>
    <m/>
    <x v="3"/>
    <n v="804432"/>
    <x v="0"/>
    <x v="0"/>
    <n v="151.45631069999999"/>
    <n v="4"/>
    <x v="392"/>
    <n v="33.980582519999999"/>
    <x v="16"/>
  </r>
  <r>
    <x v="1300"/>
    <s v="2025-04-07"/>
    <n v="7"/>
    <x v="7"/>
    <n v="2025"/>
    <m/>
    <x v="6"/>
    <n v="824211"/>
    <x v="0"/>
    <x v="0"/>
    <n v="170.8737864"/>
    <n v="5"/>
    <x v="214"/>
    <n v="49.514563109999997"/>
    <x v="7"/>
  </r>
  <r>
    <x v="1301"/>
    <s v="2025-04-04"/>
    <n v="4"/>
    <x v="7"/>
    <n v="2025"/>
    <m/>
    <x v="2"/>
    <n v="474006"/>
    <x v="0"/>
    <x v="0"/>
    <n v="139.80582519999999"/>
    <n v="4"/>
    <x v="407"/>
    <n v="52.42718447"/>
    <x v="4"/>
  </r>
  <r>
    <x v="1302"/>
    <s v="2025-04-08"/>
    <n v="8"/>
    <x v="7"/>
    <n v="2025"/>
    <m/>
    <x v="3"/>
    <n v="524322"/>
    <x v="0"/>
    <x v="0"/>
    <n v="228.15533980000001"/>
    <n v="6"/>
    <x v="483"/>
    <n v="63.106796119999998"/>
    <x v="5"/>
  </r>
  <r>
    <x v="1303"/>
    <s v="2025-04-24"/>
    <n v="24"/>
    <x v="7"/>
    <n v="2025"/>
    <m/>
    <x v="3"/>
    <n v="802218"/>
    <x v="0"/>
    <x v="0"/>
    <n v="180.58252429999999"/>
    <n v="5"/>
    <x v="445"/>
    <n v="59.223300969999997"/>
    <x v="18"/>
  </r>
  <r>
    <x v="1304"/>
    <s v="2025-04-08"/>
    <n v="8"/>
    <x v="7"/>
    <n v="2025"/>
    <m/>
    <x v="0"/>
    <n v="766018"/>
    <x v="0"/>
    <x v="0"/>
    <n v="150.4854369"/>
    <n v="4"/>
    <x v="419"/>
    <n v="33.009708740000001"/>
    <x v="0"/>
  </r>
  <r>
    <x v="1305"/>
    <s v="2025-04-06"/>
    <n v="6"/>
    <x v="7"/>
    <n v="2025"/>
    <m/>
    <x v="0"/>
    <n v="232110"/>
    <x v="0"/>
    <x v="0"/>
    <n v="151.45631069999999"/>
    <n v="4"/>
    <x v="392"/>
    <n v="52.42718447"/>
    <x v="7"/>
  </r>
  <r>
    <x v="1306"/>
    <s v="2025-04-08"/>
    <n v="8"/>
    <x v="7"/>
    <n v="2025"/>
    <m/>
    <x v="5"/>
    <n v="700145"/>
    <x v="0"/>
    <x v="0"/>
    <n v="184.46601939999999"/>
    <n v="5"/>
    <x v="404"/>
    <n v="63.106796119999998"/>
    <x v="7"/>
  </r>
  <r>
    <x v="1307"/>
    <s v="2025-04-08"/>
    <n v="8"/>
    <x v="7"/>
    <n v="2025"/>
    <m/>
    <x v="3"/>
    <n v="825412"/>
    <x v="0"/>
    <x v="0"/>
    <n v="216.5048544"/>
    <n v="6"/>
    <x v="484"/>
    <n v="51.456310680000001"/>
    <x v="0"/>
  </r>
  <r>
    <x v="1308"/>
    <s v="2025-04-22"/>
    <n v="22"/>
    <x v="7"/>
    <n v="2025"/>
    <m/>
    <x v="1"/>
    <n v="847115"/>
    <x v="0"/>
    <x v="0"/>
    <n v="166.9902913"/>
    <n v="5"/>
    <x v="387"/>
    <n v="49.514563109999997"/>
    <x v="13"/>
  </r>
  <r>
    <x v="1309"/>
    <s v="2025-04-06"/>
    <n v="6"/>
    <x v="7"/>
    <n v="2025"/>
    <m/>
    <x v="0"/>
    <n v="560026"/>
    <x v="0"/>
    <x v="0"/>
    <n v="186.40776700000001"/>
    <n v="5"/>
    <x v="460"/>
    <n v="70.873786409999994"/>
    <x v="10"/>
  </r>
  <r>
    <x v="1310"/>
    <s v="2025-04-22"/>
    <n v="22"/>
    <x v="7"/>
    <n v="2025"/>
    <m/>
    <x v="1"/>
    <n v="641654"/>
    <x v="0"/>
    <x v="0"/>
    <n v="161.16504850000001"/>
    <n v="4"/>
    <x v="393"/>
    <n v="39.805825239999997"/>
    <x v="4"/>
  </r>
  <r>
    <x v="1311"/>
    <s v="2025-04-14"/>
    <n v="14"/>
    <x v="7"/>
    <n v="2025"/>
    <m/>
    <x v="1"/>
    <n v="282007"/>
    <x v="0"/>
    <x v="0"/>
    <n v="203.8834951"/>
    <n v="6"/>
    <x v="150"/>
    <n v="38.834951459999999"/>
    <x v="17"/>
  </r>
  <r>
    <x v="1312"/>
    <s v="2025-04-03"/>
    <n v="3"/>
    <x v="7"/>
    <n v="2025"/>
    <m/>
    <x v="0"/>
    <n v="285122"/>
    <x v="0"/>
    <x v="0"/>
    <n v="165.04854370000001"/>
    <n v="4"/>
    <x v="444"/>
    <n v="47.57281553"/>
    <x v="15"/>
  </r>
  <r>
    <x v="1313"/>
    <s v="2025-04-11"/>
    <n v="11"/>
    <x v="7"/>
    <n v="2025"/>
    <m/>
    <x v="1"/>
    <n v="522257"/>
    <x v="0"/>
    <x v="0"/>
    <n v="166.9902913"/>
    <n v="5"/>
    <x v="387"/>
    <n v="45.631067960000003"/>
    <x v="7"/>
  </r>
  <r>
    <x v="1314"/>
    <s v="2025-04-13"/>
    <n v="13"/>
    <x v="7"/>
    <n v="2025"/>
    <m/>
    <x v="3"/>
    <n v="413112"/>
    <x v="0"/>
    <x v="0"/>
    <n v="163.1067961"/>
    <n v="4"/>
    <x v="384"/>
    <n v="45.631067960000003"/>
    <x v="9"/>
  </r>
  <r>
    <x v="1315"/>
    <s v="2025-04-14"/>
    <n v="14"/>
    <x v="7"/>
    <n v="2025"/>
    <m/>
    <x v="1"/>
    <n v="841428"/>
    <x v="0"/>
    <x v="0"/>
    <n v="152.42718450000001"/>
    <n v="4"/>
    <x v="391"/>
    <n v="34.951456309999998"/>
    <x v="15"/>
  </r>
  <r>
    <x v="1316"/>
    <s v="2025-04-25"/>
    <n v="25"/>
    <x v="7"/>
    <n v="2025"/>
    <m/>
    <x v="1"/>
    <n v="273304"/>
    <x v="0"/>
    <x v="0"/>
    <n v="162.1359223"/>
    <n v="4"/>
    <x v="434"/>
    <n v="44.660194169999997"/>
    <x v="9"/>
  </r>
  <r>
    <x v="1317"/>
    <s v="2025-04-14"/>
    <n v="14"/>
    <x v="7"/>
    <n v="2025"/>
    <m/>
    <x v="1"/>
    <n v="805111"/>
    <x v="0"/>
    <x v="0"/>
    <n v="151.45631069999999"/>
    <n v="4"/>
    <x v="392"/>
    <n v="33.980582519999999"/>
    <x v="0"/>
  </r>
  <r>
    <x v="1318"/>
    <s v="2025-04-02"/>
    <n v="2"/>
    <x v="7"/>
    <n v="2025"/>
    <m/>
    <x v="2"/>
    <n v="562138"/>
    <x v="0"/>
    <x v="0"/>
    <n v="141.7475728"/>
    <n v="4"/>
    <x v="385"/>
    <n v="47.57281553"/>
    <x v="2"/>
  </r>
  <r>
    <x v="1319"/>
    <s v="2025-05-09"/>
    <n v="9"/>
    <x v="8"/>
    <n v="2025"/>
    <m/>
    <x v="0"/>
    <n v="843334"/>
    <x v="0"/>
    <x v="0"/>
    <n v="172.81553400000001"/>
    <n v="5"/>
    <x v="420"/>
    <n v="51.456310680000001"/>
    <x v="7"/>
  </r>
  <r>
    <x v="1320"/>
    <s v="2025-05-29"/>
    <n v="29"/>
    <x v="8"/>
    <n v="2025"/>
    <m/>
    <x v="6"/>
    <n v="222136"/>
    <x v="0"/>
    <x v="0"/>
    <n v="172.81553400000001"/>
    <n v="5"/>
    <x v="420"/>
    <n v="55.339805830000003"/>
    <x v="11"/>
  </r>
  <r>
    <x v="1321"/>
    <s v="2025-05-21"/>
    <n v="21"/>
    <x v="8"/>
    <n v="2025"/>
    <m/>
    <x v="6"/>
    <n v="581402"/>
    <x v="0"/>
    <x v="0"/>
    <n v="137.8640777"/>
    <n v="4"/>
    <x v="402"/>
    <n v="40.776699030000003"/>
    <x v="4"/>
  </r>
  <r>
    <x v="1322"/>
    <s v="2025-05-08"/>
    <n v="8"/>
    <x v="8"/>
    <n v="2025"/>
    <m/>
    <x v="2"/>
    <n v="400607"/>
    <x v="0"/>
    <x v="0"/>
    <n v="169.90291260000001"/>
    <n v="5"/>
    <x v="382"/>
    <n v="48.543689319999999"/>
    <x v="7"/>
  </r>
  <r>
    <x v="1323"/>
    <s v="2025-05-27"/>
    <n v="27"/>
    <x v="8"/>
    <n v="2025"/>
    <m/>
    <x v="1"/>
    <n v="522402"/>
    <x v="4"/>
    <x v="1"/>
    <n v="185.59322030000001"/>
    <n v="33"/>
    <x v="485"/>
    <n v="45.762711860000003"/>
    <x v="0"/>
  </r>
  <r>
    <x v="1324"/>
    <s v="2025-05-02"/>
    <n v="2"/>
    <x v="8"/>
    <n v="2025"/>
    <m/>
    <x v="1"/>
    <n v="516454"/>
    <x v="0"/>
    <x v="0"/>
    <n v="164.07766989999999"/>
    <n v="4"/>
    <x v="438"/>
    <n v="42.7184466"/>
    <x v="0"/>
  </r>
  <r>
    <x v="1325"/>
    <s v="2025-05-04"/>
    <n v="4"/>
    <x v="8"/>
    <n v="2025"/>
    <m/>
    <x v="1"/>
    <n v="533105"/>
    <x v="0"/>
    <x v="0"/>
    <n v="160.19417480000001"/>
    <n v="4"/>
    <x v="432"/>
    <n v="63.106796119999998"/>
    <x v="5"/>
  </r>
  <r>
    <x v="1326"/>
    <s v="2025-05-01"/>
    <n v="1"/>
    <x v="8"/>
    <n v="2025"/>
    <m/>
    <x v="0"/>
    <n v="496111"/>
    <x v="0"/>
    <x v="0"/>
    <n v="198.05825239999999"/>
    <n v="5"/>
    <x v="486"/>
    <n v="76.69902913"/>
    <x v="7"/>
  </r>
  <r>
    <x v="1327"/>
    <s v="2025-05-03"/>
    <n v="3"/>
    <x v="8"/>
    <n v="2025"/>
    <m/>
    <x v="1"/>
    <n v="845459"/>
    <x v="0"/>
    <x v="0"/>
    <n v="179.6116505"/>
    <n v="5"/>
    <x v="468"/>
    <n v="38.834951459999999"/>
    <x v="0"/>
  </r>
  <r>
    <x v="1328"/>
    <s v="2025-05-20"/>
    <n v="20"/>
    <x v="8"/>
    <n v="2025"/>
    <m/>
    <x v="1"/>
    <n v="852214"/>
    <x v="0"/>
    <x v="0"/>
    <n v="112.6213592"/>
    <n v="3"/>
    <x v="487"/>
    <n v="33.009708740000001"/>
    <x v="0"/>
  </r>
  <r>
    <x v="1329"/>
    <s v="2025-05-01"/>
    <n v="1"/>
    <x v="8"/>
    <n v="2025"/>
    <m/>
    <x v="0"/>
    <n v="600039"/>
    <x v="0"/>
    <x v="0"/>
    <n v="177.66990290000001"/>
    <n v="5"/>
    <x v="399"/>
    <n v="56.310679610000001"/>
    <x v="5"/>
  </r>
  <r>
    <x v="1330"/>
    <s v="2025-05-16"/>
    <n v="16"/>
    <x v="8"/>
    <n v="2025"/>
    <m/>
    <x v="3"/>
    <n v="841428"/>
    <x v="0"/>
    <x v="0"/>
    <n v="152.42718450000001"/>
    <n v="4"/>
    <x v="391"/>
    <n v="33.980582519999999"/>
    <x v="12"/>
  </r>
  <r>
    <x v="1331"/>
    <s v="2025-05-04"/>
    <n v="4"/>
    <x v="8"/>
    <n v="2025"/>
    <m/>
    <x v="1"/>
    <n v="502307"/>
    <x v="0"/>
    <x v="0"/>
    <n v="157.28155340000001"/>
    <n v="4"/>
    <x v="427"/>
    <n v="43.689320389999999"/>
    <x v="13"/>
  </r>
  <r>
    <x v="1332"/>
    <s v="2025-05-18"/>
    <n v="18"/>
    <x v="8"/>
    <n v="2025"/>
    <m/>
    <x v="0"/>
    <n v="700150"/>
    <x v="0"/>
    <x v="0"/>
    <n v="160.19417480000001"/>
    <n v="4"/>
    <x v="432"/>
    <n v="38.834951459999999"/>
    <x v="5"/>
  </r>
  <r>
    <x v="1333"/>
    <s v="2025-05-14"/>
    <n v="14"/>
    <x v="8"/>
    <n v="2025"/>
    <m/>
    <x v="1"/>
    <n v="229127"/>
    <x v="0"/>
    <x v="0"/>
    <n v="148.54368930000001"/>
    <n v="4"/>
    <x v="465"/>
    <n v="40.776699030000003"/>
    <x v="6"/>
  </r>
  <r>
    <x v="1334"/>
    <s v="2025-05-24"/>
    <n v="24"/>
    <x v="8"/>
    <n v="2025"/>
    <m/>
    <x v="1"/>
    <n v="276201"/>
    <x v="0"/>
    <x v="0"/>
    <n v="157.28155340000001"/>
    <n v="4"/>
    <x v="427"/>
    <n v="39.805825239999997"/>
    <x v="4"/>
  </r>
  <r>
    <x v="1335"/>
    <s v="2025-05-27"/>
    <n v="27"/>
    <x v="8"/>
    <n v="2025"/>
    <m/>
    <x v="0"/>
    <n v="721305"/>
    <x v="0"/>
    <x v="0"/>
    <n v="194.17475730000001"/>
    <n v="5"/>
    <x v="488"/>
    <n v="53.398058249999998"/>
    <x v="18"/>
  </r>
  <r>
    <x v="1336"/>
    <s v="2025-05-27"/>
    <n v="27"/>
    <x v="8"/>
    <n v="2025"/>
    <m/>
    <x v="0"/>
    <n v="560076"/>
    <x v="0"/>
    <x v="0"/>
    <n v="172.81553400000001"/>
    <n v="5"/>
    <x v="420"/>
    <n v="55.339805830000003"/>
    <x v="8"/>
  </r>
  <r>
    <x v="1337"/>
    <s v="2025-05-25"/>
    <n v="25"/>
    <x v="8"/>
    <n v="2025"/>
    <m/>
    <x v="1"/>
    <n v="400011"/>
    <x v="0"/>
    <x v="0"/>
    <n v="171.84466019999999"/>
    <n v="5"/>
    <x v="459"/>
    <n v="50.485436890000003"/>
    <x v="15"/>
  </r>
  <r>
    <x v="1338"/>
    <s v="2025-05-27"/>
    <n v="27"/>
    <x v="8"/>
    <n v="2025"/>
    <m/>
    <x v="2"/>
    <n v="842002"/>
    <x v="0"/>
    <x v="0"/>
    <n v="166.0194175"/>
    <n v="4"/>
    <x v="405"/>
    <n v="47.57281553"/>
    <x v="5"/>
  </r>
  <r>
    <x v="1339"/>
    <s v="2025-05-21"/>
    <n v="21"/>
    <x v="8"/>
    <n v="2025"/>
    <m/>
    <x v="3"/>
    <n v="413211"/>
    <x v="0"/>
    <x v="0"/>
    <n v="174.7572816"/>
    <n v="5"/>
    <x v="436"/>
    <n v="53.398058249999998"/>
    <x v="18"/>
  </r>
  <r>
    <x v="1340"/>
    <s v="2025-05-17"/>
    <n v="17"/>
    <x v="8"/>
    <n v="2025"/>
    <m/>
    <x v="2"/>
    <n v="136026"/>
    <x v="0"/>
    <x v="0"/>
    <n v="159.22330099999999"/>
    <n v="4"/>
    <x v="388"/>
    <n v="47.57281553"/>
    <x v="0"/>
  </r>
  <r>
    <x v="1341"/>
    <s v="2025-05-01"/>
    <n v="1"/>
    <x v="8"/>
    <n v="2025"/>
    <m/>
    <x v="1"/>
    <n v="210126"/>
    <x v="0"/>
    <x v="0"/>
    <n v="158.2524272"/>
    <n v="4"/>
    <x v="406"/>
    <n v="40.776699030000003"/>
    <x v="5"/>
  </r>
  <r>
    <x v="1342"/>
    <s v="2025-05-08"/>
    <n v="8"/>
    <x v="8"/>
    <n v="2025"/>
    <m/>
    <x v="3"/>
    <n v="535593"/>
    <x v="0"/>
    <x v="0"/>
    <n v="180.58252429999999"/>
    <n v="5"/>
    <x v="445"/>
    <n v="39.805825239999997"/>
    <x v="8"/>
  </r>
  <r>
    <x v="1343"/>
    <s v="2025-05-21"/>
    <n v="21"/>
    <x v="8"/>
    <n v="2025"/>
    <m/>
    <x v="3"/>
    <n v="203396"/>
    <x v="0"/>
    <x v="0"/>
    <n v="212.6213592"/>
    <n v="6"/>
    <x v="485"/>
    <n v="47.57281553"/>
    <x v="0"/>
  </r>
  <r>
    <x v="1344"/>
    <s v="2025-05-14"/>
    <n v="14"/>
    <x v="8"/>
    <n v="2025"/>
    <m/>
    <x v="3"/>
    <n v="855108"/>
    <x v="0"/>
    <x v="0"/>
    <n v="277.66990290000001"/>
    <n v="8"/>
    <x v="489"/>
    <n v="54.368932039999997"/>
    <x v="5"/>
  </r>
  <r>
    <x v="1345"/>
    <s v="2025-05-29"/>
    <n v="29"/>
    <x v="8"/>
    <n v="2025"/>
    <m/>
    <x v="2"/>
    <n v="271801"/>
    <x v="0"/>
    <x v="0"/>
    <n v="137.8640777"/>
    <n v="4"/>
    <x v="402"/>
    <n v="33.980582519999999"/>
    <x v="4"/>
  </r>
  <r>
    <x v="1346"/>
    <s v="2025-05-25"/>
    <n v="25"/>
    <x v="8"/>
    <n v="2025"/>
    <m/>
    <x v="0"/>
    <n v="122508"/>
    <x v="0"/>
    <x v="0"/>
    <n v="285.43689319999999"/>
    <n v="8"/>
    <x v="476"/>
    <n v="97.087378639999997"/>
    <x v="15"/>
  </r>
  <r>
    <x v="1347"/>
    <s v="2025-05-30"/>
    <n v="30"/>
    <x v="8"/>
    <n v="2025"/>
    <m/>
    <x v="3"/>
    <n v="444806"/>
    <x v="0"/>
    <x v="0"/>
    <n v="163.1067961"/>
    <n v="4"/>
    <x v="384"/>
    <n v="45.631067960000003"/>
    <x v="0"/>
  </r>
  <r>
    <x v="1348"/>
    <s v="2025-05-22"/>
    <n v="22"/>
    <x v="8"/>
    <n v="2025"/>
    <m/>
    <x v="0"/>
    <n v="361315"/>
    <x v="0"/>
    <x v="0"/>
    <n v="267.96116499999999"/>
    <n v="8"/>
    <x v="490"/>
    <n v="54.368932039999997"/>
    <x v="5"/>
  </r>
  <r>
    <x v="1349"/>
    <s v="2025-05-27"/>
    <n v="27"/>
    <x v="8"/>
    <n v="2025"/>
    <m/>
    <x v="1"/>
    <n v="324001"/>
    <x v="0"/>
    <x v="0"/>
    <n v="153.3980583"/>
    <n v="4"/>
    <x v="430"/>
    <n v="49.514563109999997"/>
    <x v="5"/>
  </r>
  <r>
    <x v="1350"/>
    <s v="2025-05-14"/>
    <n v="14"/>
    <x v="8"/>
    <n v="2025"/>
    <m/>
    <x v="1"/>
    <n v="516127"/>
    <x v="0"/>
    <x v="0"/>
    <n v="166.9902913"/>
    <n v="5"/>
    <x v="387"/>
    <n v="45.631067960000003"/>
    <x v="0"/>
  </r>
  <r>
    <x v="1351"/>
    <s v="2025-05-13"/>
    <n v="13"/>
    <x v="8"/>
    <n v="2025"/>
    <m/>
    <x v="3"/>
    <n v="532001"/>
    <x v="0"/>
    <x v="0"/>
    <n v="169.90291260000001"/>
    <n v="5"/>
    <x v="382"/>
    <n v="48.543689319999999"/>
    <x v="12"/>
  </r>
  <r>
    <x v="1352"/>
    <s v="2025-05-18"/>
    <n v="18"/>
    <x v="8"/>
    <n v="2025"/>
    <m/>
    <x v="1"/>
    <n v="209729"/>
    <x v="0"/>
    <x v="0"/>
    <n v="164.07766989999999"/>
    <n v="4"/>
    <x v="438"/>
    <n v="46.601941750000002"/>
    <x v="0"/>
  </r>
  <r>
    <x v="1353"/>
    <s v="2025-05-29"/>
    <n v="29"/>
    <x v="8"/>
    <n v="2025"/>
    <m/>
    <x v="1"/>
    <n v="400103"/>
    <x v="0"/>
    <x v="0"/>
    <n v="157.28155340000001"/>
    <n v="4"/>
    <x v="427"/>
    <n v="38.834951459999999"/>
    <x v="12"/>
  </r>
  <r>
    <x v="1354"/>
    <s v="2025-05-03"/>
    <n v="3"/>
    <x v="8"/>
    <n v="2025"/>
    <m/>
    <x v="2"/>
    <n v="852210"/>
    <x v="0"/>
    <x v="0"/>
    <n v="146.6019417"/>
    <n v="4"/>
    <x v="448"/>
    <n v="42.7184466"/>
    <x v="0"/>
  </r>
  <r>
    <x v="1355"/>
    <s v="2025-05-03"/>
    <n v="3"/>
    <x v="8"/>
    <n v="2025"/>
    <m/>
    <x v="1"/>
    <n v="284002"/>
    <x v="0"/>
    <x v="0"/>
    <n v="177.66990290000001"/>
    <n v="5"/>
    <x v="399"/>
    <n v="56.310679610000001"/>
    <x v="18"/>
  </r>
  <r>
    <x v="1356"/>
    <s v="2025-05-14"/>
    <n v="14"/>
    <x v="8"/>
    <n v="2025"/>
    <m/>
    <x v="1"/>
    <n v="261001"/>
    <x v="0"/>
    <x v="0"/>
    <n v="146.6019417"/>
    <n v="4"/>
    <x v="448"/>
    <n v="42.7184466"/>
    <x v="0"/>
  </r>
  <r>
    <x v="1357"/>
    <s v="2025-05-06"/>
    <n v="6"/>
    <x v="8"/>
    <n v="2025"/>
    <m/>
    <x v="5"/>
    <n v="228001"/>
    <x v="0"/>
    <x v="0"/>
    <n v="155.33980579999999"/>
    <n v="4"/>
    <x v="439"/>
    <n v="51.456310680000001"/>
    <x v="12"/>
  </r>
  <r>
    <x v="1358"/>
    <s v="2025-05-31"/>
    <n v="31"/>
    <x v="8"/>
    <n v="2025"/>
    <m/>
    <x v="4"/>
    <n v="560066"/>
    <x v="0"/>
    <x v="0"/>
    <n v="152.42718450000001"/>
    <n v="4"/>
    <x v="391"/>
    <n v="55.339805830000003"/>
    <x v="2"/>
  </r>
  <r>
    <x v="1359"/>
    <s v="2025-05-04"/>
    <n v="4"/>
    <x v="8"/>
    <n v="2025"/>
    <m/>
    <x v="1"/>
    <n v="276403"/>
    <x v="0"/>
    <x v="0"/>
    <n v="166.9902913"/>
    <n v="5"/>
    <x v="387"/>
    <n v="53.398058249999998"/>
    <x v="3"/>
  </r>
  <r>
    <x v="1360"/>
    <s v="2025-05-02"/>
    <n v="2"/>
    <x v="8"/>
    <n v="2025"/>
    <m/>
    <x v="0"/>
    <n v="845426"/>
    <x v="0"/>
    <x v="0"/>
    <n v="169.90291260000001"/>
    <n v="5"/>
    <x v="382"/>
    <n v="48.543689319999999"/>
    <x v="5"/>
  </r>
  <r>
    <x v="1361"/>
    <s v="2025-05-01"/>
    <n v="1"/>
    <x v="8"/>
    <n v="2025"/>
    <m/>
    <x v="0"/>
    <n v="560058"/>
    <x v="0"/>
    <x v="0"/>
    <n v="174.7572816"/>
    <n v="5"/>
    <x v="436"/>
    <n v="53.398058249999998"/>
    <x v="6"/>
  </r>
  <r>
    <x v="1362"/>
    <s v="2025-05-01"/>
    <n v="1"/>
    <x v="8"/>
    <n v="2025"/>
    <m/>
    <x v="2"/>
    <n v="144004"/>
    <x v="0"/>
    <x v="0"/>
    <n v="157.28155340000001"/>
    <n v="4"/>
    <x v="427"/>
    <n v="53.398058249999998"/>
    <x v="2"/>
  </r>
  <r>
    <x v="1363"/>
    <s v="2025-05-02"/>
    <n v="2"/>
    <x v="8"/>
    <n v="2025"/>
    <m/>
    <x v="1"/>
    <n v="284202"/>
    <x v="0"/>
    <x v="0"/>
    <n v="164.07766989999999"/>
    <n v="4"/>
    <x v="438"/>
    <n v="46.601941750000002"/>
    <x v="9"/>
  </r>
  <r>
    <x v="1364"/>
    <s v="2025-05-03"/>
    <n v="3"/>
    <x v="8"/>
    <n v="2025"/>
    <m/>
    <x v="1"/>
    <n v="222137"/>
    <x v="0"/>
    <x v="0"/>
    <n v="164.07766989999999"/>
    <n v="4"/>
    <x v="438"/>
    <n v="42.7184466"/>
    <x v="13"/>
  </r>
  <r>
    <x v="1365"/>
    <s v="2025-05-18"/>
    <n v="18"/>
    <x v="8"/>
    <n v="2025"/>
    <m/>
    <x v="1"/>
    <n v="143001"/>
    <x v="0"/>
    <x v="0"/>
    <n v="208.7378641"/>
    <n v="6"/>
    <x v="491"/>
    <n v="53.398058249999998"/>
    <x v="5"/>
  </r>
  <r>
    <x v="1366"/>
    <s v="2025-05-12"/>
    <n v="12"/>
    <x v="8"/>
    <n v="2025"/>
    <m/>
    <x v="1"/>
    <n v="455336"/>
    <x v="0"/>
    <x v="0"/>
    <n v="167.96116499999999"/>
    <n v="5"/>
    <x v="409"/>
    <n v="46.601941750000002"/>
    <x v="0"/>
  </r>
  <r>
    <x v="1367"/>
    <s v="2025-05-14"/>
    <n v="14"/>
    <x v="8"/>
    <n v="2025"/>
    <m/>
    <x v="1"/>
    <n v="276404"/>
    <x v="0"/>
    <x v="0"/>
    <n v="193.20388349999999"/>
    <n v="5"/>
    <x v="400"/>
    <n v="71.844660189999999"/>
    <x v="29"/>
  </r>
  <r>
    <x v="1368"/>
    <s v="2025-05-02"/>
    <n v="2"/>
    <x v="8"/>
    <n v="2025"/>
    <m/>
    <x v="1"/>
    <n v="485666"/>
    <x v="0"/>
    <x v="0"/>
    <n v="153.3980583"/>
    <n v="4"/>
    <x v="430"/>
    <n v="49.514563109999997"/>
    <x v="4"/>
  </r>
  <r>
    <x v="1369"/>
    <s v="2025-05-27"/>
    <n v="27"/>
    <x v="8"/>
    <n v="2025"/>
    <m/>
    <x v="0"/>
    <n v="221005"/>
    <x v="0"/>
    <x v="0"/>
    <n v="156.31067959999999"/>
    <n v="4"/>
    <x v="415"/>
    <n v="38.834951459999999"/>
    <x v="7"/>
  </r>
  <r>
    <x v="1370"/>
    <s v="2025-05-10"/>
    <n v="10"/>
    <x v="8"/>
    <n v="2025"/>
    <m/>
    <x v="5"/>
    <n v="743126"/>
    <x v="0"/>
    <x v="0"/>
    <n v="174.7572816"/>
    <n v="5"/>
    <x v="436"/>
    <n v="53.398058249999998"/>
    <x v="0"/>
  </r>
  <r>
    <x v="1371"/>
    <s v="2025-05-03"/>
    <n v="3"/>
    <x v="8"/>
    <n v="2025"/>
    <m/>
    <x v="1"/>
    <n v="246149"/>
    <x v="0"/>
    <x v="0"/>
    <n v="168.93203879999999"/>
    <n v="5"/>
    <x v="395"/>
    <n v="47.57281553"/>
    <x v="8"/>
  </r>
  <r>
    <x v="1372"/>
    <s v="2025-05-20"/>
    <n v="20"/>
    <x v="8"/>
    <n v="2025"/>
    <m/>
    <x v="0"/>
    <n v="743234"/>
    <x v="0"/>
    <x v="0"/>
    <n v="150.4854369"/>
    <n v="4"/>
    <x v="419"/>
    <n v="53.398058249999998"/>
    <x v="12"/>
  </r>
  <r>
    <x v="1373"/>
    <s v="2025-05-29"/>
    <n v="29"/>
    <x v="8"/>
    <n v="2025"/>
    <m/>
    <x v="0"/>
    <n v="276207"/>
    <x v="0"/>
    <x v="0"/>
    <n v="166.9902913"/>
    <n v="5"/>
    <x v="387"/>
    <n v="49.514563109999997"/>
    <x v="7"/>
  </r>
  <r>
    <x v="1374"/>
    <s v="2025-05-05"/>
    <n v="5"/>
    <x v="8"/>
    <n v="2025"/>
    <m/>
    <x v="1"/>
    <n v="743312"/>
    <x v="0"/>
    <x v="1"/>
    <n v="121.18644070000001"/>
    <n v="21"/>
    <x v="492"/>
    <n v="43.220338980000001"/>
    <x v="33"/>
  </r>
  <r>
    <x v="1375"/>
    <s v="2025-05-25"/>
    <n v="25"/>
    <x v="8"/>
    <n v="2025"/>
    <m/>
    <x v="5"/>
    <n v="121005"/>
    <x v="0"/>
    <x v="0"/>
    <n v="160.19417480000001"/>
    <n v="4"/>
    <x v="432"/>
    <n v="38.834951459999999"/>
    <x v="17"/>
  </r>
  <r>
    <x v="1376"/>
    <s v="2025-05-14"/>
    <n v="14"/>
    <x v="8"/>
    <n v="2025"/>
    <m/>
    <x v="2"/>
    <n v="801503"/>
    <x v="0"/>
    <x v="0"/>
    <n v="163.1067961"/>
    <n v="4"/>
    <x v="384"/>
    <n v="45.631067960000003"/>
    <x v="0"/>
  </r>
  <r>
    <x v="1377"/>
    <s v="2025-05-03"/>
    <n v="3"/>
    <x v="8"/>
    <n v="2025"/>
    <m/>
    <x v="0"/>
    <n v="392001"/>
    <x v="4"/>
    <x v="1"/>
    <n v="202.5423729"/>
    <n v="36"/>
    <x v="493"/>
    <n v="45.762711860000003"/>
    <x v="3"/>
  </r>
  <r>
    <x v="1378"/>
    <s v="2025-05-12"/>
    <n v="12"/>
    <x v="8"/>
    <n v="2025"/>
    <m/>
    <x v="0"/>
    <n v="123001"/>
    <x v="0"/>
    <x v="1"/>
    <n v="127.1186441"/>
    <n v="22"/>
    <x v="408"/>
    <n v="36.440677970000003"/>
    <x v="27"/>
  </r>
  <r>
    <x v="1379"/>
    <s v="2025-05-03"/>
    <n v="3"/>
    <x v="8"/>
    <n v="2025"/>
    <m/>
    <x v="1"/>
    <n v="180010"/>
    <x v="0"/>
    <x v="0"/>
    <n v="174.7572816"/>
    <n v="5"/>
    <x v="436"/>
    <n v="53.398058249999998"/>
    <x v="4"/>
  </r>
  <r>
    <x v="1380"/>
    <s v="2025-05-04"/>
    <n v="4"/>
    <x v="8"/>
    <n v="2025"/>
    <m/>
    <x v="3"/>
    <n v="560027"/>
    <x v="0"/>
    <x v="0"/>
    <n v="168.93203879999999"/>
    <n v="5"/>
    <x v="395"/>
    <n v="37.86407767"/>
    <x v="27"/>
  </r>
  <r>
    <x v="1381"/>
    <s v="2025-05-21"/>
    <n v="21"/>
    <x v="8"/>
    <n v="2025"/>
    <m/>
    <x v="2"/>
    <n v="228001"/>
    <x v="0"/>
    <x v="0"/>
    <n v="235.92233010000001"/>
    <n v="7"/>
    <x v="494"/>
    <n v="39.805825239999997"/>
    <x v="7"/>
  </r>
  <r>
    <x v="1382"/>
    <s v="2025-05-01"/>
    <n v="1"/>
    <x v="8"/>
    <n v="2025"/>
    <m/>
    <x v="0"/>
    <n v="423203"/>
    <x v="0"/>
    <x v="0"/>
    <n v="174.7572816"/>
    <n v="5"/>
    <x v="436"/>
    <n v="53.398058249999998"/>
    <x v="17"/>
  </r>
  <r>
    <x v="1383"/>
    <s v="2025-05-09"/>
    <n v="9"/>
    <x v="8"/>
    <n v="2025"/>
    <m/>
    <x v="3"/>
    <n v="416122"/>
    <x v="0"/>
    <x v="0"/>
    <n v="172.81553400000001"/>
    <n v="5"/>
    <x v="420"/>
    <n v="51.456310680000001"/>
    <x v="7"/>
  </r>
  <r>
    <x v="1384"/>
    <s v="2025-05-03"/>
    <n v="3"/>
    <x v="8"/>
    <n v="2025"/>
    <m/>
    <x v="1"/>
    <n v="788101"/>
    <x v="0"/>
    <x v="0"/>
    <n v="165.04854370000001"/>
    <n v="4"/>
    <x v="444"/>
    <n v="43.689320389999999"/>
    <x v="8"/>
  </r>
  <r>
    <x v="1385"/>
    <s v="2025-05-10"/>
    <n v="10"/>
    <x v="8"/>
    <n v="2025"/>
    <m/>
    <x v="1"/>
    <n v="600077"/>
    <x v="0"/>
    <x v="0"/>
    <n v="370.87378639999997"/>
    <n v="11"/>
    <x v="495"/>
    <n v="79.611650490000002"/>
    <x v="0"/>
  </r>
  <r>
    <x v="1386"/>
    <s v="2025-05-15"/>
    <n v="15"/>
    <x v="8"/>
    <n v="2025"/>
    <m/>
    <x v="1"/>
    <n v="176092"/>
    <x v="0"/>
    <x v="0"/>
    <n v="157.28155340000001"/>
    <n v="4"/>
    <x v="427"/>
    <n v="53.398058249999998"/>
    <x v="12"/>
  </r>
  <r>
    <x v="1387"/>
    <s v="2025-05-10"/>
    <n v="10"/>
    <x v="8"/>
    <n v="2025"/>
    <m/>
    <x v="3"/>
    <n v="562138"/>
    <x v="0"/>
    <x v="0"/>
    <n v="143.68932040000001"/>
    <n v="4"/>
    <x v="417"/>
    <n v="39.805825239999997"/>
    <x v="12"/>
  </r>
  <r>
    <x v="1388"/>
    <s v="2025-05-22"/>
    <n v="22"/>
    <x v="8"/>
    <n v="2025"/>
    <m/>
    <x v="3"/>
    <n v="284202"/>
    <x v="0"/>
    <x v="0"/>
    <n v="165.04854370000001"/>
    <n v="4"/>
    <x v="444"/>
    <n v="61.165048540000001"/>
    <x v="8"/>
  </r>
  <r>
    <x v="1389"/>
    <s v="2025-05-14"/>
    <n v="14"/>
    <x v="8"/>
    <n v="2025"/>
    <m/>
    <x v="3"/>
    <n v="412306"/>
    <x v="0"/>
    <x v="0"/>
    <n v="224.2718447"/>
    <n v="6"/>
    <x v="496"/>
    <n v="59.223300969999997"/>
    <x v="4"/>
  </r>
  <r>
    <x v="1390"/>
    <s v="2025-05-19"/>
    <n v="19"/>
    <x v="8"/>
    <n v="2025"/>
    <m/>
    <x v="3"/>
    <n v="516127"/>
    <x v="0"/>
    <x v="0"/>
    <n v="214.56310680000001"/>
    <n v="6"/>
    <x v="451"/>
    <n v="60.194174760000003"/>
    <x v="13"/>
  </r>
  <r>
    <x v="1391"/>
    <s v="2025-05-13"/>
    <n v="13"/>
    <x v="8"/>
    <n v="2025"/>
    <m/>
    <x v="3"/>
    <n v="441210"/>
    <x v="4"/>
    <x v="1"/>
    <n v="202.5423729"/>
    <n v="36"/>
    <x v="493"/>
    <n v="45.762711860000003"/>
    <x v="0"/>
  </r>
  <r>
    <x v="1392"/>
    <s v="2025-05-25"/>
    <n v="25"/>
    <x v="8"/>
    <n v="2025"/>
    <m/>
    <x v="5"/>
    <n v="206001"/>
    <x v="0"/>
    <x v="0"/>
    <n v="129.1262136"/>
    <n v="3"/>
    <x v="401"/>
    <n v="34.951456309999998"/>
    <x v="15"/>
  </r>
  <r>
    <x v="1393"/>
    <s v="2025-05-05"/>
    <n v="5"/>
    <x v="8"/>
    <n v="2025"/>
    <m/>
    <x v="1"/>
    <n v="131102"/>
    <x v="0"/>
    <x v="0"/>
    <n v="174.7572816"/>
    <n v="5"/>
    <x v="436"/>
    <n v="53.398058249999998"/>
    <x v="1"/>
  </r>
  <r>
    <x v="1394"/>
    <s v="2025-05-16"/>
    <n v="16"/>
    <x v="8"/>
    <n v="2025"/>
    <m/>
    <x v="1"/>
    <n v="835207"/>
    <x v="0"/>
    <x v="0"/>
    <n v="174.7572816"/>
    <n v="5"/>
    <x v="436"/>
    <n v="53.398058249999998"/>
    <x v="12"/>
  </r>
  <r>
    <x v="1395"/>
    <s v="2025-05-21"/>
    <n v="21"/>
    <x v="8"/>
    <n v="2025"/>
    <m/>
    <x v="1"/>
    <n v="361325"/>
    <x v="0"/>
    <x v="0"/>
    <n v="133.0097087"/>
    <n v="3"/>
    <x v="471"/>
    <n v="53.398058249999998"/>
    <x v="20"/>
  </r>
  <r>
    <x v="1396"/>
    <s v="2025-05-17"/>
    <n v="17"/>
    <x v="8"/>
    <n v="2025"/>
    <m/>
    <x v="3"/>
    <n v="462041"/>
    <x v="0"/>
    <x v="0"/>
    <n v="142.71844659999999"/>
    <n v="4"/>
    <x v="440"/>
    <n v="38.834951459999999"/>
    <x v="5"/>
  </r>
  <r>
    <x v="1397"/>
    <s v="2025-05-15"/>
    <n v="15"/>
    <x v="8"/>
    <n v="2025"/>
    <m/>
    <x v="3"/>
    <n v="614303"/>
    <x v="0"/>
    <x v="0"/>
    <n v="224.2718447"/>
    <n v="6"/>
    <x v="496"/>
    <n v="59.223300969999997"/>
    <x v="4"/>
  </r>
  <r>
    <x v="1398"/>
    <s v="2025-05-26"/>
    <n v="26"/>
    <x v="8"/>
    <n v="2025"/>
    <m/>
    <x v="1"/>
    <n v="841424"/>
    <x v="0"/>
    <x v="0"/>
    <n v="166.0194175"/>
    <n v="4"/>
    <x v="405"/>
    <n v="71.844660189999999"/>
    <x v="32"/>
  </r>
  <r>
    <x v="1399"/>
    <s v="2025-05-07"/>
    <n v="7"/>
    <x v="8"/>
    <n v="2025"/>
    <m/>
    <x v="1"/>
    <n v="752094"/>
    <x v="0"/>
    <x v="0"/>
    <n v="166.0194175"/>
    <n v="4"/>
    <x v="405"/>
    <n v="44.660194169999997"/>
    <x v="0"/>
  </r>
  <r>
    <x v="1400"/>
    <s v="2025-05-01"/>
    <n v="1"/>
    <x v="8"/>
    <n v="2025"/>
    <m/>
    <x v="3"/>
    <n v="440001"/>
    <x v="0"/>
    <x v="0"/>
    <n v="212.6213592"/>
    <n v="6"/>
    <x v="485"/>
    <n v="47.57281553"/>
    <x v="8"/>
  </r>
  <r>
    <x v="1401"/>
    <s v="2025-05-17"/>
    <n v="17"/>
    <x v="8"/>
    <n v="2025"/>
    <m/>
    <x v="4"/>
    <n v="533468"/>
    <x v="0"/>
    <x v="0"/>
    <n v="157.28155340000001"/>
    <n v="4"/>
    <x v="427"/>
    <n v="53.398058249999998"/>
    <x v="1"/>
  </r>
  <r>
    <x v="1402"/>
    <s v="2025-05-22"/>
    <n v="22"/>
    <x v="8"/>
    <n v="2025"/>
    <m/>
    <x v="1"/>
    <n v="522101"/>
    <x v="0"/>
    <x v="0"/>
    <n v="140.77669900000001"/>
    <n v="4"/>
    <x v="469"/>
    <n v="53.398058249999998"/>
    <x v="18"/>
  </r>
  <r>
    <x v="1403"/>
    <s v="2025-05-18"/>
    <n v="18"/>
    <x v="8"/>
    <n v="2025"/>
    <m/>
    <x v="6"/>
    <n v="535593"/>
    <x v="0"/>
    <x v="0"/>
    <n v="186.40776700000001"/>
    <n v="5"/>
    <x v="460"/>
    <n v="45.631067960000003"/>
    <x v="0"/>
  </r>
  <r>
    <x v="1404"/>
    <s v="2025-05-16"/>
    <n v="16"/>
    <x v="8"/>
    <n v="2025"/>
    <m/>
    <x v="1"/>
    <n v="201201"/>
    <x v="0"/>
    <x v="0"/>
    <n v="213.59223299999999"/>
    <n v="6"/>
    <x v="497"/>
    <n v="72.815533979999998"/>
    <x v="10"/>
  </r>
  <r>
    <x v="1405"/>
    <s v="2025-05-29"/>
    <n v="29"/>
    <x v="8"/>
    <n v="2025"/>
    <m/>
    <x v="1"/>
    <n v="151001"/>
    <x v="0"/>
    <x v="0"/>
    <n v="174.7572816"/>
    <n v="5"/>
    <x v="436"/>
    <n v="53.398058249999998"/>
    <x v="18"/>
  </r>
  <r>
    <x v="1406"/>
    <s v="2025-05-27"/>
    <n v="27"/>
    <x v="8"/>
    <n v="2025"/>
    <m/>
    <x v="2"/>
    <n v="852214"/>
    <x v="0"/>
    <x v="0"/>
    <n v="193.20388349999999"/>
    <n v="5"/>
    <x v="400"/>
    <n v="71.844660189999999"/>
    <x v="10"/>
  </r>
  <r>
    <x v="1407"/>
    <s v="2025-05-27"/>
    <n v="27"/>
    <x v="8"/>
    <n v="2025"/>
    <m/>
    <x v="1"/>
    <n v="126115"/>
    <x v="0"/>
    <x v="0"/>
    <n v="163.1067961"/>
    <n v="4"/>
    <x v="384"/>
    <n v="45.631067960000003"/>
    <x v="0"/>
  </r>
  <r>
    <x v="1408"/>
    <s v="2025-05-07"/>
    <n v="7"/>
    <x v="8"/>
    <n v="2025"/>
    <m/>
    <x v="3"/>
    <n v="841426"/>
    <x v="0"/>
    <x v="0"/>
    <n v="166.0194175"/>
    <n v="4"/>
    <x v="405"/>
    <n v="44.660194169999997"/>
    <x v="0"/>
  </r>
  <r>
    <x v="1409"/>
    <s v="2025-05-07"/>
    <n v="7"/>
    <x v="8"/>
    <n v="2025"/>
    <m/>
    <x v="2"/>
    <n v="184143"/>
    <x v="0"/>
    <x v="0"/>
    <n v="182.52427180000001"/>
    <n v="5"/>
    <x v="475"/>
    <n v="61.165048540000001"/>
    <x v="29"/>
  </r>
  <r>
    <x v="1410"/>
    <s v="2025-05-08"/>
    <n v="8"/>
    <x v="8"/>
    <n v="2025"/>
    <m/>
    <x v="4"/>
    <n v="532430"/>
    <x v="0"/>
    <x v="0"/>
    <n v="160.19417480000001"/>
    <n v="4"/>
    <x v="432"/>
    <n v="38.834951459999999"/>
    <x v="0"/>
  </r>
  <r>
    <x v="1411"/>
    <s v="2025-05-06"/>
    <n v="6"/>
    <x v="8"/>
    <n v="2025"/>
    <m/>
    <x v="3"/>
    <n v="829119"/>
    <x v="0"/>
    <x v="0"/>
    <n v="169.90291260000001"/>
    <n v="5"/>
    <x v="382"/>
    <n v="48.543689319999999"/>
    <x v="2"/>
  </r>
  <r>
    <x v="1412"/>
    <s v="2025-05-12"/>
    <n v="12"/>
    <x v="8"/>
    <n v="2025"/>
    <m/>
    <x v="1"/>
    <n v="143001"/>
    <x v="0"/>
    <x v="0"/>
    <n v="154.368932"/>
    <n v="4"/>
    <x v="410"/>
    <n v="46.601941750000002"/>
    <x v="0"/>
  </r>
  <r>
    <x v="1413"/>
    <s v="2025-05-31"/>
    <n v="31"/>
    <x v="8"/>
    <n v="2025"/>
    <m/>
    <x v="0"/>
    <n v="803201"/>
    <x v="0"/>
    <x v="0"/>
    <n v="193.20388349999999"/>
    <n v="5"/>
    <x v="400"/>
    <n v="71.844660189999999"/>
    <x v="29"/>
  </r>
  <r>
    <x v="1414"/>
    <s v="2025-06-21"/>
    <n v="21"/>
    <x v="9"/>
    <n v="2025"/>
    <m/>
    <x v="3"/>
    <n v="533435"/>
    <x v="0"/>
    <x v="0"/>
    <n v="170.8737864"/>
    <n v="5"/>
    <x v="214"/>
    <n v="52.42718447"/>
    <x v="18"/>
  </r>
  <r>
    <x v="1415"/>
    <s v="2025-06-18"/>
    <n v="18"/>
    <x v="9"/>
    <n v="2025"/>
    <m/>
    <x v="1"/>
    <n v="132103"/>
    <x v="0"/>
    <x v="0"/>
    <n v="205.82524269999999"/>
    <n v="6"/>
    <x v="498"/>
    <n v="69.902912619999995"/>
    <x v="35"/>
  </r>
  <r>
    <x v="1416"/>
    <s v="2025-06-14"/>
    <n v="14"/>
    <x v="9"/>
    <n v="2025"/>
    <m/>
    <x v="6"/>
    <n v="711106"/>
    <x v="0"/>
    <x v="0"/>
    <n v="168.93203879999999"/>
    <n v="5"/>
    <x v="395"/>
    <n v="47.57281553"/>
    <x v="5"/>
  </r>
  <r>
    <x v="1417"/>
    <s v="2025-06-10"/>
    <n v="10"/>
    <x v="9"/>
    <n v="2025"/>
    <m/>
    <x v="1"/>
    <n v="560067"/>
    <x v="0"/>
    <x v="0"/>
    <n v="154.368932"/>
    <n v="4"/>
    <x v="410"/>
    <n v="36.893203880000002"/>
    <x v="4"/>
  </r>
  <r>
    <x v="1418"/>
    <s v="2025-06-29"/>
    <n v="29"/>
    <x v="9"/>
    <n v="2025"/>
    <m/>
    <x v="0"/>
    <n v="390001"/>
    <x v="0"/>
    <x v="0"/>
    <n v="165.04854370000001"/>
    <n v="4"/>
    <x v="444"/>
    <n v="47.57281553"/>
    <x v="16"/>
  </r>
  <r>
    <x v="1419"/>
    <s v="2025-06-06"/>
    <n v="6"/>
    <x v="9"/>
    <n v="2025"/>
    <m/>
    <x v="3"/>
    <n v="413112"/>
    <x v="0"/>
    <x v="0"/>
    <n v="157.28155340000001"/>
    <n v="4"/>
    <x v="427"/>
    <n v="39.805825239999997"/>
    <x v="0"/>
  </r>
  <r>
    <x v="1420"/>
    <s v="2025-06-08"/>
    <n v="8"/>
    <x v="9"/>
    <n v="2025"/>
    <m/>
    <x v="1"/>
    <n v="413112"/>
    <x v="0"/>
    <x v="0"/>
    <n v="133.9805825"/>
    <n v="4"/>
    <x v="428"/>
    <n v="39.805825239999997"/>
    <x v="18"/>
  </r>
  <r>
    <x v="1421"/>
    <s v="2025-06-08"/>
    <n v="8"/>
    <x v="9"/>
    <n v="2025"/>
    <m/>
    <x v="3"/>
    <n v="813106"/>
    <x v="0"/>
    <x v="0"/>
    <n v="165.04854370000001"/>
    <n v="4"/>
    <x v="444"/>
    <n v="35.922330100000003"/>
    <x v="5"/>
  </r>
  <r>
    <x v="1422"/>
    <s v="2025-06-25"/>
    <n v="25"/>
    <x v="9"/>
    <n v="2025"/>
    <m/>
    <x v="1"/>
    <n v="500008"/>
    <x v="0"/>
    <x v="0"/>
    <n v="149.5145631"/>
    <n v="4"/>
    <x v="423"/>
    <n v="32.038834950000002"/>
    <x v="0"/>
  </r>
  <r>
    <x v="1423"/>
    <s v="2025-06-22"/>
    <n v="22"/>
    <x v="9"/>
    <n v="2025"/>
    <m/>
    <x v="1"/>
    <n v="670611"/>
    <x v="0"/>
    <x v="0"/>
    <n v="159.22330099999999"/>
    <n v="4"/>
    <x v="388"/>
    <n v="37.86407767"/>
    <x v="5"/>
  </r>
  <r>
    <x v="1424"/>
    <s v="2025-06-12"/>
    <n v="12"/>
    <x v="9"/>
    <n v="2025"/>
    <m/>
    <x v="1"/>
    <n v="152021"/>
    <x v="0"/>
    <x v="0"/>
    <n v="161.16504850000001"/>
    <n v="4"/>
    <x v="393"/>
    <n v="43.689320389999999"/>
    <x v="7"/>
  </r>
  <r>
    <x v="1425"/>
    <s v="2025-06-08"/>
    <n v="8"/>
    <x v="9"/>
    <n v="2025"/>
    <m/>
    <x v="1"/>
    <n v="813106"/>
    <x v="0"/>
    <x v="0"/>
    <n v="133.9805825"/>
    <n v="4"/>
    <x v="428"/>
    <n v="39.805825239999997"/>
    <x v="13"/>
  </r>
  <r>
    <x v="1426"/>
    <s v="2025-06-12"/>
    <n v="12"/>
    <x v="9"/>
    <n v="2025"/>
    <m/>
    <x v="2"/>
    <n v="284002"/>
    <x v="0"/>
    <x v="0"/>
    <n v="149.5145631"/>
    <n v="4"/>
    <x v="423"/>
    <n v="32.038834950000002"/>
    <x v="1"/>
  </r>
  <r>
    <x v="1427"/>
    <s v="2025-06-01"/>
    <n v="1"/>
    <x v="9"/>
    <n v="2025"/>
    <m/>
    <x v="1"/>
    <n v="509210"/>
    <x v="0"/>
    <x v="0"/>
    <n v="171.84466019999999"/>
    <n v="5"/>
    <x v="459"/>
    <n v="54.368932039999997"/>
    <x v="18"/>
  </r>
  <r>
    <x v="1428"/>
    <s v="2025-06-21"/>
    <n v="21"/>
    <x v="9"/>
    <n v="2025"/>
    <m/>
    <x v="3"/>
    <n v="751024"/>
    <x v="0"/>
    <x v="0"/>
    <n v="191.2621359"/>
    <n v="5"/>
    <x v="449"/>
    <n v="69.902912619999995"/>
    <x v="29"/>
  </r>
  <r>
    <x v="1429"/>
    <s v="2025-06-07"/>
    <n v="7"/>
    <x v="9"/>
    <n v="2025"/>
    <m/>
    <x v="4"/>
    <n v="845451"/>
    <x v="0"/>
    <x v="0"/>
    <n v="460.19417479999998"/>
    <n v="13"/>
    <x v="499"/>
    <n v="107.76699029"/>
    <x v="5"/>
  </r>
  <r>
    <x v="1430"/>
    <s v="2025-06-15"/>
    <n v="15"/>
    <x v="9"/>
    <n v="2025"/>
    <m/>
    <x v="2"/>
    <n v="600055"/>
    <x v="0"/>
    <x v="0"/>
    <n v="172.81553400000001"/>
    <n v="5"/>
    <x v="420"/>
    <n v="55.339805830000003"/>
    <x v="4"/>
  </r>
  <r>
    <x v="1431"/>
    <s v="2025-06-09"/>
    <n v="9"/>
    <x v="9"/>
    <n v="2025"/>
    <m/>
    <x v="2"/>
    <n v="825336"/>
    <x v="0"/>
    <x v="0"/>
    <n v="175.7281553"/>
    <n v="5"/>
    <x v="457"/>
    <n v="58.252427179999998"/>
    <x v="4"/>
  </r>
  <r>
    <x v="1432"/>
    <s v="2025-06-18"/>
    <n v="18"/>
    <x v="9"/>
    <n v="2025"/>
    <m/>
    <x v="3"/>
    <n v="813106"/>
    <x v="0"/>
    <x v="0"/>
    <n v="224.2718447"/>
    <n v="6"/>
    <x v="496"/>
    <n v="69.902912619999995"/>
    <x v="10"/>
  </r>
  <r>
    <x v="1433"/>
    <s v="2025-06-15"/>
    <n v="15"/>
    <x v="9"/>
    <n v="2025"/>
    <m/>
    <x v="0"/>
    <n v="301020"/>
    <x v="0"/>
    <x v="0"/>
    <n v="162.1359223"/>
    <n v="4"/>
    <x v="434"/>
    <n v="44.660194169999997"/>
    <x v="0"/>
  </r>
  <r>
    <x v="1434"/>
    <s v="2025-06-15"/>
    <n v="15"/>
    <x v="9"/>
    <n v="2025"/>
    <m/>
    <x v="1"/>
    <n v="534112"/>
    <x v="0"/>
    <x v="0"/>
    <n v="131.06796120000001"/>
    <n v="3"/>
    <x v="500"/>
    <n v="36.893203880000002"/>
    <x v="4"/>
  </r>
  <r>
    <x v="1435"/>
    <s v="2025-06-20"/>
    <n v="20"/>
    <x v="9"/>
    <n v="2025"/>
    <m/>
    <x v="1"/>
    <n v="110059"/>
    <x v="0"/>
    <x v="0"/>
    <n v="155.33980579999999"/>
    <n v="4"/>
    <x v="439"/>
    <n v="37.86407767"/>
    <x v="18"/>
  </r>
  <r>
    <x v="1436"/>
    <s v="2025-06-14"/>
    <n v="14"/>
    <x v="9"/>
    <n v="2025"/>
    <m/>
    <x v="1"/>
    <n v="828112"/>
    <x v="0"/>
    <x v="0"/>
    <n v="151.45631069999999"/>
    <n v="4"/>
    <x v="392"/>
    <n v="47.57281553"/>
    <x v="5"/>
  </r>
  <r>
    <x v="1437"/>
    <s v="2025-06-07"/>
    <n v="7"/>
    <x v="9"/>
    <n v="2025"/>
    <m/>
    <x v="1"/>
    <n v="500030"/>
    <x v="0"/>
    <x v="0"/>
    <n v="169.90291260000001"/>
    <n v="5"/>
    <x v="382"/>
    <n v="48.543689319999999"/>
    <x v="15"/>
  </r>
  <r>
    <x v="1438"/>
    <s v="2025-06-01"/>
    <n v="1"/>
    <x v="9"/>
    <n v="2025"/>
    <m/>
    <x v="3"/>
    <n v="486331"/>
    <x v="0"/>
    <x v="0"/>
    <n v="162.1359223"/>
    <n v="4"/>
    <x v="434"/>
    <n v="48.543689319999999"/>
    <x v="0"/>
  </r>
  <r>
    <x v="1439"/>
    <s v="2025-06-21"/>
    <n v="21"/>
    <x v="9"/>
    <n v="2025"/>
    <m/>
    <x v="1"/>
    <n v="841226"/>
    <x v="0"/>
    <x v="0"/>
    <n v="164.07766989999999"/>
    <n v="4"/>
    <x v="438"/>
    <n v="46.601941750000002"/>
    <x v="4"/>
  </r>
  <r>
    <x v="1440"/>
    <s v="2025-06-08"/>
    <n v="8"/>
    <x v="9"/>
    <n v="2025"/>
    <m/>
    <x v="1"/>
    <n v="421002"/>
    <x v="0"/>
    <x v="0"/>
    <n v="153.3980583"/>
    <n v="4"/>
    <x v="430"/>
    <n v="35.922330100000003"/>
    <x v="20"/>
  </r>
  <r>
    <x v="1441"/>
    <s v="2025-06-08"/>
    <n v="8"/>
    <x v="9"/>
    <n v="2025"/>
    <m/>
    <x v="1"/>
    <n v="852109"/>
    <x v="4"/>
    <x v="1"/>
    <n v="202.5423729"/>
    <n v="36"/>
    <x v="493"/>
    <n v="45.762711860000003"/>
    <x v="3"/>
  </r>
  <r>
    <x v="1442"/>
    <s v="2025-06-08"/>
    <n v="8"/>
    <x v="9"/>
    <n v="2025"/>
    <m/>
    <x v="3"/>
    <n v="403521"/>
    <x v="0"/>
    <x v="0"/>
    <n v="147.57281549999999"/>
    <n v="4"/>
    <x v="425"/>
    <n v="53.398058249999998"/>
    <x v="8"/>
  </r>
  <r>
    <x v="1443"/>
    <s v="2025-06-29"/>
    <n v="29"/>
    <x v="9"/>
    <n v="2025"/>
    <m/>
    <x v="1"/>
    <n v="804432"/>
    <x v="0"/>
    <x v="0"/>
    <n v="188.34951459999999"/>
    <n v="5"/>
    <x v="501"/>
    <n v="70.873786409999994"/>
    <x v="18"/>
  </r>
  <r>
    <x v="1444"/>
    <s v="2025-06-01"/>
    <n v="1"/>
    <x v="9"/>
    <n v="2025"/>
    <m/>
    <x v="5"/>
    <n v="495004"/>
    <x v="0"/>
    <x v="0"/>
    <n v="162.1359223"/>
    <n v="4"/>
    <x v="434"/>
    <n v="48.543689319999999"/>
    <x v="0"/>
  </r>
  <r>
    <x v="1445"/>
    <s v="2025-06-03"/>
    <n v="3"/>
    <x v="9"/>
    <n v="2025"/>
    <m/>
    <x v="1"/>
    <n v="335501"/>
    <x v="0"/>
    <x v="0"/>
    <n v="147.57281549999999"/>
    <n v="4"/>
    <x v="425"/>
    <n v="53.398058249999998"/>
    <x v="1"/>
  </r>
  <r>
    <x v="1446"/>
    <s v="2025-06-24"/>
    <n v="24"/>
    <x v="9"/>
    <n v="2025"/>
    <m/>
    <x v="0"/>
    <n v="829301"/>
    <x v="0"/>
    <x v="0"/>
    <n v="111.65048539999999"/>
    <n v="3"/>
    <x v="502"/>
    <n v="44.660194169999997"/>
    <x v="0"/>
  </r>
  <r>
    <x v="1447"/>
    <s v="2025-06-19"/>
    <n v="19"/>
    <x v="9"/>
    <n v="2025"/>
    <m/>
    <x v="1"/>
    <n v="534437"/>
    <x v="0"/>
    <x v="0"/>
    <n v="146.6019417"/>
    <n v="4"/>
    <x v="448"/>
    <n v="66.990291260000006"/>
    <x v="4"/>
  </r>
  <r>
    <x v="1448"/>
    <s v="2025-06-08"/>
    <n v="8"/>
    <x v="9"/>
    <n v="2025"/>
    <m/>
    <x v="1"/>
    <n v="811315"/>
    <x v="0"/>
    <x v="0"/>
    <n v="214.56310680000001"/>
    <n v="6"/>
    <x v="451"/>
    <n v="60.194174760000003"/>
    <x v="13"/>
  </r>
  <r>
    <x v="1449"/>
    <s v="2025-06-07"/>
    <n v="7"/>
    <x v="9"/>
    <n v="2025"/>
    <m/>
    <x v="0"/>
    <n v="281501"/>
    <x v="0"/>
    <x v="0"/>
    <n v="161.16504850000001"/>
    <n v="4"/>
    <x v="393"/>
    <n v="43.689320389999999"/>
    <x v="17"/>
  </r>
  <r>
    <x v="1450"/>
    <s v="2025-06-18"/>
    <n v="18"/>
    <x v="9"/>
    <n v="2025"/>
    <m/>
    <x v="0"/>
    <n v="814152"/>
    <x v="0"/>
    <x v="0"/>
    <n v="170.8737864"/>
    <n v="5"/>
    <x v="214"/>
    <n v="53.398058249999998"/>
    <x v="1"/>
  </r>
  <r>
    <x v="1451"/>
    <s v="2025-06-20"/>
    <n v="20"/>
    <x v="9"/>
    <n v="2025"/>
    <m/>
    <x v="0"/>
    <n v="531024"/>
    <x v="0"/>
    <x v="0"/>
    <n v="193.20388349999999"/>
    <n v="5"/>
    <x v="400"/>
    <n v="52.42718447"/>
    <x v="8"/>
  </r>
  <r>
    <x v="1452"/>
    <s v="2025-06-02"/>
    <n v="2"/>
    <x v="9"/>
    <n v="2025"/>
    <m/>
    <x v="1"/>
    <n v="431501"/>
    <x v="0"/>
    <x v="0"/>
    <n v="122.3300971"/>
    <n v="3"/>
    <x v="455"/>
    <n v="28.155339810000001"/>
    <x v="15"/>
  </r>
  <r>
    <x v="1453"/>
    <s v="2025-06-21"/>
    <n v="21"/>
    <x v="9"/>
    <n v="2025"/>
    <m/>
    <x v="1"/>
    <n v="140402"/>
    <x v="0"/>
    <x v="0"/>
    <n v="152.42718450000001"/>
    <n v="4"/>
    <x v="391"/>
    <n v="48.543689319999999"/>
    <x v="5"/>
  </r>
  <r>
    <x v="1454"/>
    <s v="2025-06-14"/>
    <n v="14"/>
    <x v="9"/>
    <n v="2025"/>
    <m/>
    <x v="1"/>
    <n v="501218"/>
    <x v="0"/>
    <x v="0"/>
    <n v="166.0194175"/>
    <n v="4"/>
    <x v="405"/>
    <n v="44.660194169999997"/>
    <x v="0"/>
  </r>
  <r>
    <x v="1455"/>
    <s v="2025-06-12"/>
    <n v="12"/>
    <x v="9"/>
    <n v="2025"/>
    <m/>
    <x v="3"/>
    <n v="273006"/>
    <x v="0"/>
    <x v="0"/>
    <n v="160.19417480000001"/>
    <n v="4"/>
    <x v="432"/>
    <n v="42.7184466"/>
    <x v="0"/>
  </r>
  <r>
    <x v="1456"/>
    <s v="2025-06-22"/>
    <n v="22"/>
    <x v="9"/>
    <n v="2025"/>
    <m/>
    <x v="1"/>
    <n v="440034"/>
    <x v="0"/>
    <x v="0"/>
    <n v="174.7572816"/>
    <n v="5"/>
    <x v="436"/>
    <n v="33.009708740000001"/>
    <x v="9"/>
  </r>
  <r>
    <x v="1457"/>
    <s v="2025-06-08"/>
    <n v="8"/>
    <x v="9"/>
    <n v="2025"/>
    <m/>
    <x v="1"/>
    <n v="276205"/>
    <x v="0"/>
    <x v="0"/>
    <n v="165.04854370000001"/>
    <n v="4"/>
    <x v="444"/>
    <n v="47.57281553"/>
    <x v="9"/>
  </r>
  <r>
    <x v="1458"/>
    <s v="2025-06-01"/>
    <n v="1"/>
    <x v="9"/>
    <n v="2025"/>
    <m/>
    <x v="1"/>
    <n v="303712"/>
    <x v="4"/>
    <x v="1"/>
    <n v="176.2711864"/>
    <n v="31"/>
    <x v="479"/>
    <n v="45.762711860000003"/>
    <x v="0"/>
  </r>
  <r>
    <x v="1459"/>
    <s v="2025-06-25"/>
    <n v="25"/>
    <x v="9"/>
    <n v="2025"/>
    <m/>
    <x v="1"/>
    <n v="493118"/>
    <x v="0"/>
    <x v="0"/>
    <n v="128.15533980000001"/>
    <n v="3"/>
    <x v="452"/>
    <n v="33.980582519999999"/>
    <x v="15"/>
  </r>
  <r>
    <x v="1460"/>
    <s v="2025-06-14"/>
    <n v="14"/>
    <x v="9"/>
    <n v="2025"/>
    <m/>
    <x v="2"/>
    <n v="145025"/>
    <x v="0"/>
    <x v="0"/>
    <n v="151.45631069999999"/>
    <n v="4"/>
    <x v="392"/>
    <n v="47.57281553"/>
    <x v="5"/>
  </r>
  <r>
    <x v="1461"/>
    <s v="2025-06-15"/>
    <n v="15"/>
    <x v="9"/>
    <n v="2025"/>
    <m/>
    <x v="3"/>
    <n v="121003"/>
    <x v="0"/>
    <x v="0"/>
    <n v="207.7669903"/>
    <n v="6"/>
    <x v="503"/>
    <n v="53.398058249999998"/>
    <x v="2"/>
  </r>
  <r>
    <x v="1462"/>
    <s v="2025-06-29"/>
    <n v="29"/>
    <x v="9"/>
    <n v="2025"/>
    <m/>
    <x v="1"/>
    <n v="207242"/>
    <x v="0"/>
    <x v="0"/>
    <n v="169.90291260000001"/>
    <n v="5"/>
    <x v="382"/>
    <n v="52.42718447"/>
    <x v="24"/>
  </r>
  <r>
    <x v="1463"/>
    <s v="2025-06-22"/>
    <n v="22"/>
    <x v="9"/>
    <n v="2025"/>
    <m/>
    <x v="1"/>
    <n v="788001"/>
    <x v="0"/>
    <x v="0"/>
    <n v="171.84466019999999"/>
    <n v="5"/>
    <x v="459"/>
    <n v="54.368932039999997"/>
    <x v="13"/>
  </r>
  <r>
    <x v="1464"/>
    <s v="2025-06-15"/>
    <n v="15"/>
    <x v="9"/>
    <n v="2025"/>
    <m/>
    <x v="1"/>
    <n v="501501"/>
    <x v="0"/>
    <x v="0"/>
    <n v="263.1067961"/>
    <n v="7"/>
    <x v="504"/>
    <n v="66.990291260000006"/>
    <x v="12"/>
  </r>
  <r>
    <x v="1465"/>
    <s v="2025-06-30"/>
    <n v="30"/>
    <x v="9"/>
    <n v="2025"/>
    <m/>
    <x v="3"/>
    <n v="847240"/>
    <x v="0"/>
    <x v="0"/>
    <n v="114.5631068"/>
    <n v="3"/>
    <x v="463"/>
    <n v="47.57281553"/>
    <x v="3"/>
  </r>
  <r>
    <x v="1466"/>
    <s v="2025-06-16"/>
    <n v="16"/>
    <x v="9"/>
    <n v="2025"/>
    <m/>
    <x v="1"/>
    <n v="844115"/>
    <x v="0"/>
    <x v="0"/>
    <n v="146.6019417"/>
    <n v="4"/>
    <x v="448"/>
    <n v="29.126213589999999"/>
    <x v="0"/>
  </r>
  <r>
    <x v="1467"/>
    <s v="2025-06-09"/>
    <n v="9"/>
    <x v="9"/>
    <n v="2025"/>
    <m/>
    <x v="1"/>
    <n v="276123"/>
    <x v="4"/>
    <x v="1"/>
    <n v="205.93220339999999"/>
    <n v="37"/>
    <x v="494"/>
    <n v="49.152542369999999"/>
    <x v="20"/>
  </r>
  <r>
    <x v="1468"/>
    <s v="2025-06-25"/>
    <n v="25"/>
    <x v="9"/>
    <n v="2025"/>
    <m/>
    <x v="3"/>
    <n v="761105"/>
    <x v="0"/>
    <x v="0"/>
    <n v="147.57281549999999"/>
    <n v="4"/>
    <x v="425"/>
    <n v="53.398058249999998"/>
    <x v="7"/>
  </r>
  <r>
    <x v="1469"/>
    <s v="2025-06-02"/>
    <n v="2"/>
    <x v="9"/>
    <n v="2025"/>
    <m/>
    <x v="0"/>
    <n v="400053"/>
    <x v="0"/>
    <x v="0"/>
    <n v="166.9902913"/>
    <n v="5"/>
    <x v="387"/>
    <n v="45.631067960000003"/>
    <x v="0"/>
  </r>
  <r>
    <x v="1470"/>
    <s v="2025-06-14"/>
    <n v="14"/>
    <x v="9"/>
    <n v="2025"/>
    <m/>
    <x v="2"/>
    <n v="845451"/>
    <x v="0"/>
    <x v="0"/>
    <n v="159.22330099999999"/>
    <n v="4"/>
    <x v="388"/>
    <n v="37.86407767"/>
    <x v="8"/>
  </r>
  <r>
    <x v="1471"/>
    <s v="2025-06-16"/>
    <n v="16"/>
    <x v="9"/>
    <n v="2025"/>
    <m/>
    <x v="1"/>
    <n v="332719"/>
    <x v="0"/>
    <x v="0"/>
    <n v="150.4854369"/>
    <n v="4"/>
    <x v="419"/>
    <n v="33.009708740000001"/>
    <x v="14"/>
  </r>
  <r>
    <x v="1472"/>
    <s v="2025-06-06"/>
    <n v="6"/>
    <x v="9"/>
    <n v="2025"/>
    <m/>
    <x v="2"/>
    <n v="281501"/>
    <x v="0"/>
    <x v="0"/>
    <n v="204.8543689"/>
    <n v="6"/>
    <x v="505"/>
    <n v="49.514563109999997"/>
    <x v="20"/>
  </r>
  <r>
    <x v="1473"/>
    <s v="2025-06-26"/>
    <n v="26"/>
    <x v="9"/>
    <n v="2025"/>
    <m/>
    <x v="0"/>
    <n v="263126"/>
    <x v="0"/>
    <x v="0"/>
    <n v="112.6213592"/>
    <n v="3"/>
    <x v="487"/>
    <n v="45.631067960000003"/>
    <x v="0"/>
  </r>
  <r>
    <x v="1474"/>
    <s v="2025-06-30"/>
    <n v="30"/>
    <x v="9"/>
    <n v="2025"/>
    <m/>
    <x v="1"/>
    <n v="312601"/>
    <x v="0"/>
    <x v="0"/>
    <n v="176.69902909999999"/>
    <n v="5"/>
    <x v="396"/>
    <n v="55.339805830000003"/>
    <x v="1"/>
  </r>
  <r>
    <x v="1475"/>
    <s v="2025-06-27"/>
    <n v="27"/>
    <x v="9"/>
    <n v="2025"/>
    <m/>
    <x v="1"/>
    <n v="110053"/>
    <x v="0"/>
    <x v="0"/>
    <n v="167.96116499999999"/>
    <n v="5"/>
    <x v="409"/>
    <n v="36.893203880000002"/>
    <x v="2"/>
  </r>
  <r>
    <x v="1476"/>
    <s v="2025-06-30"/>
    <n v="30"/>
    <x v="9"/>
    <n v="2025"/>
    <m/>
    <x v="3"/>
    <n v="277123"/>
    <x v="0"/>
    <x v="0"/>
    <n v="163.1067961"/>
    <n v="4"/>
    <x v="384"/>
    <n v="45.631067960000003"/>
    <x v="3"/>
  </r>
  <r>
    <x v="1477"/>
    <s v="2025-06-19"/>
    <n v="19"/>
    <x v="9"/>
    <n v="2025"/>
    <m/>
    <x v="1"/>
    <n v="700119"/>
    <x v="0"/>
    <x v="0"/>
    <n v="208.7378641"/>
    <n v="6"/>
    <x v="491"/>
    <n v="54.368932039999997"/>
    <x v="13"/>
  </r>
  <r>
    <x v="1478"/>
    <s v="2025-06-19"/>
    <n v="19"/>
    <x v="9"/>
    <n v="2025"/>
    <m/>
    <x v="1"/>
    <n v="440017"/>
    <x v="0"/>
    <x v="0"/>
    <n v="141.7475728"/>
    <n v="4"/>
    <x v="385"/>
    <n v="47.57281553"/>
    <x v="9"/>
  </r>
  <r>
    <x v="1479"/>
    <s v="2025-06-30"/>
    <n v="30"/>
    <x v="9"/>
    <n v="2025"/>
    <m/>
    <x v="3"/>
    <n v="232327"/>
    <x v="0"/>
    <x v="0"/>
    <n v="191.2621359"/>
    <n v="5"/>
    <x v="449"/>
    <n v="69.902912619999995"/>
    <x v="33"/>
  </r>
  <r>
    <x v="1480"/>
    <s v="2025-06-29"/>
    <n v="29"/>
    <x v="9"/>
    <n v="2025"/>
    <m/>
    <x v="3"/>
    <n v="144001"/>
    <x v="0"/>
    <x v="0"/>
    <n v="147.57281549999999"/>
    <n v="4"/>
    <x v="425"/>
    <n v="53.398058249999998"/>
    <x v="11"/>
  </r>
  <r>
    <x v="1481"/>
    <s v="2025-06-25"/>
    <n v="25"/>
    <x v="9"/>
    <n v="2025"/>
    <m/>
    <x v="0"/>
    <n v="766100"/>
    <x v="0"/>
    <x v="0"/>
    <n v="186.40776700000001"/>
    <n v="5"/>
    <x v="460"/>
    <n v="32.038834950000002"/>
    <x v="0"/>
  </r>
  <r>
    <x v="1482"/>
    <s v="2025-06-09"/>
    <n v="9"/>
    <x v="9"/>
    <n v="2025"/>
    <m/>
    <x v="3"/>
    <n v="276123"/>
    <x v="0"/>
    <x v="0"/>
    <n v="153.3980583"/>
    <n v="4"/>
    <x v="430"/>
    <n v="35.922330100000003"/>
    <x v="15"/>
  </r>
  <r>
    <x v="1483"/>
    <s v="2025-07-20"/>
    <n v="20"/>
    <x v="10"/>
    <n v="2025"/>
    <m/>
    <x v="3"/>
    <n v="591234"/>
    <x v="0"/>
    <x v="0"/>
    <n v="166.9902913"/>
    <n v="5"/>
    <x v="387"/>
    <n v="45.631067960000003"/>
    <x v="0"/>
  </r>
  <r>
    <x v="1484"/>
    <s v="2025-07-17"/>
    <n v="17"/>
    <x v="10"/>
    <n v="2025"/>
    <m/>
    <x v="5"/>
    <n v="844102"/>
    <x v="4"/>
    <x v="1"/>
    <n v="413.55932200000001"/>
    <n v="74"/>
    <x v="506"/>
    <n v="133.89830508"/>
    <x v="33"/>
  </r>
  <r>
    <x v="1485"/>
    <s v="2025-07-19"/>
    <n v="19"/>
    <x v="10"/>
    <n v="2025"/>
    <m/>
    <x v="3"/>
    <n v="274702"/>
    <x v="0"/>
    <x v="0"/>
    <n v="174.7572816"/>
    <n v="5"/>
    <x v="436"/>
    <n v="53.398058249999998"/>
    <x v="6"/>
  </r>
  <r>
    <x v="1486"/>
    <s v="2025-07-07"/>
    <n v="7"/>
    <x v="10"/>
    <n v="2025"/>
    <m/>
    <x v="3"/>
    <n v="825408"/>
    <x v="0"/>
    <x v="0"/>
    <n v="177.66990290000001"/>
    <n v="5"/>
    <x v="399"/>
    <n v="36.893203880000002"/>
    <x v="12"/>
  </r>
  <r>
    <x v="1487"/>
    <s v="2025-07-06"/>
    <n v="6"/>
    <x v="10"/>
    <n v="2025"/>
    <m/>
    <x v="0"/>
    <n v="307024"/>
    <x v="0"/>
    <x v="0"/>
    <n v="137.8640777"/>
    <n v="4"/>
    <x v="402"/>
    <n v="48.543689319999999"/>
    <x v="0"/>
  </r>
  <r>
    <x v="1488"/>
    <s v="2025-07-01"/>
    <n v="1"/>
    <x v="10"/>
    <n v="2025"/>
    <m/>
    <x v="1"/>
    <n v="532430"/>
    <x v="0"/>
    <x v="0"/>
    <n v="168.93203879999999"/>
    <n v="5"/>
    <x v="395"/>
    <n v="47.57281553"/>
    <x v="3"/>
  </r>
  <r>
    <x v="1489"/>
    <s v="2025-07-18"/>
    <n v="18"/>
    <x v="10"/>
    <n v="2025"/>
    <m/>
    <x v="1"/>
    <n v="208021"/>
    <x v="4"/>
    <x v="1"/>
    <n v="202.5423729"/>
    <n v="36"/>
    <x v="493"/>
    <n v="45.762711860000003"/>
    <x v="20"/>
  </r>
  <r>
    <x v="1490"/>
    <s v="2025-07-26"/>
    <n v="26"/>
    <x v="10"/>
    <n v="2025"/>
    <m/>
    <x v="3"/>
    <n v="803114"/>
    <x v="0"/>
    <x v="0"/>
    <n v="175.7281553"/>
    <n v="5"/>
    <x v="457"/>
    <n v="54.368932039999997"/>
    <x v="4"/>
  </r>
  <r>
    <x v="1491"/>
    <s v="2025-07-21"/>
    <n v="21"/>
    <x v="10"/>
    <n v="2025"/>
    <m/>
    <x v="3"/>
    <n v="825409"/>
    <x v="0"/>
    <x v="0"/>
    <n v="189.32038829999999"/>
    <n v="5"/>
    <x v="477"/>
    <n v="71.844660189999999"/>
    <x v="33"/>
  </r>
  <r>
    <x v="1492"/>
    <s v="2025-07-02"/>
    <n v="2"/>
    <x v="10"/>
    <n v="2025"/>
    <m/>
    <x v="2"/>
    <n v="481880"/>
    <x v="0"/>
    <x v="0"/>
    <n v="148.54368930000001"/>
    <n v="4"/>
    <x v="465"/>
    <n v="44.660194169999997"/>
    <x v="17"/>
  </r>
  <r>
    <x v="1493"/>
    <s v="2025-07-03"/>
    <n v="3"/>
    <x v="10"/>
    <n v="2025"/>
    <m/>
    <x v="1"/>
    <n v="638152"/>
    <x v="0"/>
    <x v="0"/>
    <n v="273.78640780000001"/>
    <n v="8"/>
    <x v="507"/>
    <n v="77.669902910000005"/>
    <x v="12"/>
  </r>
  <r>
    <x v="1494"/>
    <s v="2025-07-15"/>
    <n v="15"/>
    <x v="10"/>
    <n v="2025"/>
    <m/>
    <x v="0"/>
    <n v="141006"/>
    <x v="0"/>
    <x v="0"/>
    <n v="227.18446599999999"/>
    <n v="6"/>
    <x v="508"/>
    <n v="33.009708740000001"/>
    <x v="0"/>
  </r>
  <r>
    <x v="1495"/>
    <s v="2025-07-26"/>
    <n v="26"/>
    <x v="10"/>
    <n v="2025"/>
    <m/>
    <x v="1"/>
    <n v="841436"/>
    <x v="0"/>
    <x v="0"/>
    <n v="166.0194175"/>
    <n v="4"/>
    <x v="405"/>
    <n v="48.543689319999999"/>
    <x v="5"/>
  </r>
  <r>
    <x v="1496"/>
    <s v="2025-07-22"/>
    <n v="22"/>
    <x v="10"/>
    <n v="2025"/>
    <m/>
    <x v="3"/>
    <n v="591234"/>
    <x v="0"/>
    <x v="0"/>
    <n v="145.631068"/>
    <n v="4"/>
    <x v="408"/>
    <n v="48.543689319999999"/>
    <x v="0"/>
  </r>
  <r>
    <x v="1497"/>
    <s v="2025-07-19"/>
    <n v="19"/>
    <x v="10"/>
    <n v="2025"/>
    <m/>
    <x v="0"/>
    <n v="601201"/>
    <x v="4"/>
    <x v="1"/>
    <n v="190.67796609999999"/>
    <n v="34"/>
    <x v="454"/>
    <n v="54.237288139999997"/>
    <x v="4"/>
  </r>
  <r>
    <x v="1498"/>
    <s v="2025-07-07"/>
    <n v="7"/>
    <x v="10"/>
    <n v="2025"/>
    <m/>
    <x v="3"/>
    <n v="822117"/>
    <x v="4"/>
    <x v="1"/>
    <n v="186.44067799999999"/>
    <n v="33"/>
    <x v="497"/>
    <n v="46.610169489999997"/>
    <x v="0"/>
  </r>
  <r>
    <x v="1499"/>
    <s v="2025-07-01"/>
    <n v="1"/>
    <x v="10"/>
    <n v="2025"/>
    <m/>
    <x v="3"/>
    <n v="493445"/>
    <x v="0"/>
    <x v="0"/>
    <n v="193.20388349999999"/>
    <n v="5"/>
    <x v="400"/>
    <n v="52.42718447"/>
    <x v="8"/>
  </r>
  <r>
    <x v="1500"/>
    <s v="2025-07-29"/>
    <n v="29"/>
    <x v="10"/>
    <n v="2025"/>
    <m/>
    <x v="1"/>
    <n v="272194"/>
    <x v="0"/>
    <x v="0"/>
    <n v="166.9902913"/>
    <n v="5"/>
    <x v="387"/>
    <n v="45.631067960000003"/>
    <x v="0"/>
  </r>
  <r>
    <x v="1501"/>
    <s v="2025-07-05"/>
    <n v="5"/>
    <x v="10"/>
    <n v="2025"/>
    <m/>
    <x v="1"/>
    <n v="272191"/>
    <x v="0"/>
    <x v="0"/>
    <n v="174.7572816"/>
    <n v="5"/>
    <x v="436"/>
    <n v="53.398058249999998"/>
    <x v="6"/>
  </r>
  <r>
    <x v="1502"/>
    <s v="2025-07-09"/>
    <n v="9"/>
    <x v="10"/>
    <n v="2025"/>
    <m/>
    <x v="1"/>
    <n v="455001"/>
    <x v="0"/>
    <x v="0"/>
    <n v="174.7572816"/>
    <n v="5"/>
    <x v="436"/>
    <n v="53.398058249999998"/>
    <x v="5"/>
  </r>
  <r>
    <x v="1503"/>
    <s v="2025-07-24"/>
    <n v="24"/>
    <x v="10"/>
    <n v="2025"/>
    <m/>
    <x v="2"/>
    <n v="212659"/>
    <x v="0"/>
    <x v="0"/>
    <n v="158.2524272"/>
    <n v="4"/>
    <x v="406"/>
    <n v="54.368932039999997"/>
    <x v="5"/>
  </r>
  <r>
    <x v="1504"/>
    <s v="2025-07-01"/>
    <n v="1"/>
    <x v="10"/>
    <n v="2025"/>
    <m/>
    <x v="6"/>
    <n v="442905"/>
    <x v="0"/>
    <x v="0"/>
    <n v="250.4854369"/>
    <n v="7"/>
    <x v="509"/>
    <n v="54.368932039999997"/>
    <x v="7"/>
  </r>
  <r>
    <x v="1505"/>
    <s v="2025-07-28"/>
    <n v="28"/>
    <x v="10"/>
    <n v="2025"/>
    <m/>
    <x v="1"/>
    <n v="799264"/>
    <x v="0"/>
    <x v="0"/>
    <n v="171.84466019999999"/>
    <n v="5"/>
    <x v="459"/>
    <n v="54.368932039999997"/>
    <x v="8"/>
  </r>
  <r>
    <x v="1506"/>
    <s v="2025-07-31"/>
    <n v="31"/>
    <x v="10"/>
    <n v="2025"/>
    <m/>
    <x v="3"/>
    <n v="284204"/>
    <x v="0"/>
    <x v="0"/>
    <n v="135.92233010000001"/>
    <n v="4"/>
    <x v="418"/>
    <n v="38.834951459999999"/>
    <x v="8"/>
  </r>
  <r>
    <x v="1507"/>
    <s v="2025-07-02"/>
    <n v="2"/>
    <x v="10"/>
    <n v="2025"/>
    <m/>
    <x v="1"/>
    <n v="243005"/>
    <x v="0"/>
    <x v="0"/>
    <n v="181.55339810000001"/>
    <n v="5"/>
    <x v="412"/>
    <n v="60.194174760000003"/>
    <x v="12"/>
  </r>
  <r>
    <x v="1508"/>
    <s v="2025-07-02"/>
    <n v="2"/>
    <x v="10"/>
    <n v="2025"/>
    <m/>
    <x v="1"/>
    <n v="475675"/>
    <x v="0"/>
    <x v="0"/>
    <n v="166.0194175"/>
    <n v="4"/>
    <x v="405"/>
    <n v="44.660194169999997"/>
    <x v="0"/>
  </r>
  <r>
    <x v="1509"/>
    <s v="2025-07-16"/>
    <n v="16"/>
    <x v="10"/>
    <n v="2025"/>
    <m/>
    <x v="6"/>
    <n v="824211"/>
    <x v="0"/>
    <x v="0"/>
    <n v="166.9902913"/>
    <n v="5"/>
    <x v="387"/>
    <n v="45.631067960000003"/>
    <x v="0"/>
  </r>
  <r>
    <x v="1510"/>
    <s v="2025-07-31"/>
    <n v="31"/>
    <x v="10"/>
    <n v="2025"/>
    <m/>
    <x v="3"/>
    <n v="123029"/>
    <x v="0"/>
    <x v="0"/>
    <n v="145.631068"/>
    <n v="4"/>
    <x v="408"/>
    <n v="48.543689319999999"/>
    <x v="0"/>
  </r>
  <r>
    <x v="1511"/>
    <s v="2025-07-22"/>
    <n v="22"/>
    <x v="10"/>
    <n v="2025"/>
    <m/>
    <x v="1"/>
    <n v="768110"/>
    <x v="0"/>
    <x v="0"/>
    <n v="166.0194175"/>
    <n v="4"/>
    <x v="405"/>
    <n v="48.543689319999999"/>
    <x v="0"/>
  </r>
  <r>
    <x v="1512"/>
    <s v="2025-07-31"/>
    <n v="31"/>
    <x v="10"/>
    <n v="2025"/>
    <m/>
    <x v="3"/>
    <n v="110074"/>
    <x v="0"/>
    <x v="0"/>
    <n v="169.90291260000001"/>
    <n v="5"/>
    <x v="382"/>
    <n v="48.543689319999999"/>
    <x v="6"/>
  </r>
  <r>
    <x v="1513"/>
    <s v="2025-08-31"/>
    <n v="31"/>
    <x v="11"/>
    <n v="2025"/>
    <m/>
    <x v="3"/>
    <n v="390010"/>
    <x v="0"/>
    <x v="0"/>
    <n v="145.631068"/>
    <n v="4"/>
    <x v="408"/>
    <n v="51.456310680000001"/>
    <x v="15"/>
  </r>
  <r>
    <x v="1514"/>
    <s v="2025-08-25"/>
    <n v="25"/>
    <x v="11"/>
    <n v="2025"/>
    <m/>
    <x v="2"/>
    <n v="445301"/>
    <x v="0"/>
    <x v="0"/>
    <n v="168.93203879999999"/>
    <n v="5"/>
    <x v="395"/>
    <n v="51.456310680000001"/>
    <x v="3"/>
  </r>
  <r>
    <x v="1515"/>
    <s v="2025-08-19"/>
    <n v="19"/>
    <x v="11"/>
    <n v="2025"/>
    <m/>
    <x v="2"/>
    <n v="743504"/>
    <x v="0"/>
    <x v="0"/>
    <n v="287.37864080000003"/>
    <n v="8"/>
    <x v="510"/>
    <n v="38.834951459999999"/>
    <x v="18"/>
  </r>
  <r>
    <x v="1516"/>
    <s v="2025-08-24"/>
    <n v="24"/>
    <x v="11"/>
    <n v="2025"/>
    <m/>
    <x v="1"/>
    <n v="500067"/>
    <x v="0"/>
    <x v="0"/>
    <n v="150.4854369"/>
    <n v="4"/>
    <x v="419"/>
    <n v="40.776699030000003"/>
    <x v="5"/>
  </r>
  <r>
    <x v="1517"/>
    <s v="2025-08-14"/>
    <n v="14"/>
    <x v="11"/>
    <n v="2025"/>
    <m/>
    <x v="5"/>
    <n v="517408"/>
    <x v="0"/>
    <x v="0"/>
    <n v="131.06796120000001"/>
    <n v="3"/>
    <x v="500"/>
    <n v="36.893203880000002"/>
    <x v="18"/>
  </r>
  <r>
    <x v="1518"/>
    <s v="2025-08-12"/>
    <n v="12"/>
    <x v="11"/>
    <n v="2025"/>
    <m/>
    <x v="1"/>
    <n v="281005"/>
    <x v="0"/>
    <x v="0"/>
    <n v="219.41747570000001"/>
    <n v="6"/>
    <x v="474"/>
    <n v="57.2815534"/>
    <x v="5"/>
  </r>
  <r>
    <x v="1519"/>
    <s v="2025-08-02"/>
    <n v="2"/>
    <x v="11"/>
    <n v="2025"/>
    <m/>
    <x v="1"/>
    <n v="624710"/>
    <x v="0"/>
    <x v="0"/>
    <n v="166.0194175"/>
    <n v="4"/>
    <x v="405"/>
    <n v="56.310679610000001"/>
    <x v="1"/>
  </r>
  <r>
    <x v="1520"/>
    <s v="2025-08-07"/>
    <n v="7"/>
    <x v="11"/>
    <n v="2025"/>
    <m/>
    <x v="1"/>
    <n v="828402"/>
    <x v="0"/>
    <x v="0"/>
    <n v="174.7572816"/>
    <n v="5"/>
    <x v="436"/>
    <n v="57.2815534"/>
    <x v="12"/>
  </r>
  <r>
    <x v="1521"/>
    <s v="2025-08-05"/>
    <n v="5"/>
    <x v="11"/>
    <n v="2025"/>
    <m/>
    <x v="3"/>
    <n v="440016"/>
    <x v="0"/>
    <x v="0"/>
    <n v="146.6019417"/>
    <n v="4"/>
    <x v="448"/>
    <n v="29.126213589999999"/>
    <x v="5"/>
  </r>
  <r>
    <x v="1522"/>
    <s v="2025-08-23"/>
    <n v="23"/>
    <x v="11"/>
    <n v="2025"/>
    <m/>
    <x v="1"/>
    <n v="782105"/>
    <x v="0"/>
    <x v="0"/>
    <n v="199.02912620000001"/>
    <n v="5"/>
    <x v="433"/>
    <n v="58.252427179999998"/>
    <x v="8"/>
  </r>
  <r>
    <x v="1523"/>
    <s v="2025-08-09"/>
    <n v="9"/>
    <x v="11"/>
    <n v="2025"/>
    <m/>
    <x v="1"/>
    <n v="621719"/>
    <x v="0"/>
    <x v="0"/>
    <n v="153.3980583"/>
    <n v="4"/>
    <x v="430"/>
    <n v="35.922330100000003"/>
    <x v="4"/>
  </r>
  <r>
    <x v="1524"/>
    <s v="2025-08-19"/>
    <n v="19"/>
    <x v="11"/>
    <n v="2025"/>
    <m/>
    <x v="1"/>
    <n v="332025"/>
    <x v="4"/>
    <x v="1"/>
    <n v="187.2881356"/>
    <n v="33"/>
    <x v="451"/>
    <n v="30.508474580000001"/>
    <x v="0"/>
  </r>
  <r>
    <x v="1525"/>
    <s v="2025-08-24"/>
    <n v="24"/>
    <x v="11"/>
    <n v="2025"/>
    <m/>
    <x v="1"/>
    <n v="508222"/>
    <x v="0"/>
    <x v="0"/>
    <n v="149.5145631"/>
    <n v="4"/>
    <x v="423"/>
    <n v="39.805825239999997"/>
    <x v="17"/>
  </r>
  <r>
    <x v="1526"/>
    <s v="2025-08-23"/>
    <n v="23"/>
    <x v="11"/>
    <n v="2025"/>
    <m/>
    <x v="1"/>
    <n v="148023"/>
    <x v="0"/>
    <x v="0"/>
    <n v="151.45631069999999"/>
    <n v="4"/>
    <x v="392"/>
    <n v="33.980582519999999"/>
    <x v="9"/>
  </r>
  <r>
    <x v="1527"/>
    <s v="2025-08-23"/>
    <n v="23"/>
    <x v="11"/>
    <n v="2025"/>
    <m/>
    <x v="1"/>
    <n v="497225"/>
    <x v="0"/>
    <x v="0"/>
    <n v="167.96116499999999"/>
    <n v="5"/>
    <x v="409"/>
    <n v="50.485436890000003"/>
    <x v="9"/>
  </r>
  <r>
    <x v="1528"/>
    <s v="2025-08-02"/>
    <n v="2"/>
    <x v="11"/>
    <n v="2025"/>
    <m/>
    <x v="1"/>
    <n v="764073"/>
    <x v="0"/>
    <x v="0"/>
    <n v="159.22330099999999"/>
    <n v="4"/>
    <x v="388"/>
    <n v="58.252427179999998"/>
    <x v="18"/>
  </r>
  <r>
    <x v="1529"/>
    <s v="2025-08-22"/>
    <n v="22"/>
    <x v="11"/>
    <n v="2025"/>
    <m/>
    <x v="5"/>
    <n v="382418"/>
    <x v="0"/>
    <x v="0"/>
    <n v="174.7572816"/>
    <n v="5"/>
    <x v="436"/>
    <n v="57.2815534"/>
    <x v="5"/>
  </r>
  <r>
    <x v="1530"/>
    <s v="2025-08-12"/>
    <n v="12"/>
    <x v="11"/>
    <n v="2025"/>
    <m/>
    <x v="3"/>
    <n v="243751"/>
    <x v="0"/>
    <x v="0"/>
    <n v="151.45631069999999"/>
    <n v="4"/>
    <x v="392"/>
    <n v="33.980582519999999"/>
    <x v="0"/>
  </r>
  <r>
    <x v="1531"/>
    <s v="2025-08-10"/>
    <n v="10"/>
    <x v="11"/>
    <n v="2025"/>
    <m/>
    <x v="1"/>
    <n v="110081"/>
    <x v="0"/>
    <x v="0"/>
    <n v="167.96116499999999"/>
    <n v="5"/>
    <x v="409"/>
    <n v="50.485436890000003"/>
    <x v="20"/>
  </r>
  <r>
    <x v="1532"/>
    <s v="2025-08-19"/>
    <n v="19"/>
    <x v="11"/>
    <n v="2025"/>
    <m/>
    <x v="0"/>
    <n v="123501"/>
    <x v="0"/>
    <x v="0"/>
    <n v="150.4854369"/>
    <n v="4"/>
    <x v="419"/>
    <n v="33.009708740000001"/>
    <x v="9"/>
  </r>
  <r>
    <x v="1533"/>
    <s v="2025-08-15"/>
    <n v="15"/>
    <x v="11"/>
    <n v="2025"/>
    <m/>
    <x v="1"/>
    <n v="532421"/>
    <x v="0"/>
    <x v="0"/>
    <n v="131.06796120000001"/>
    <n v="3"/>
    <x v="500"/>
    <n v="36.893203880000002"/>
    <x v="13"/>
  </r>
  <r>
    <x v="1534"/>
    <s v="2025-08-28"/>
    <n v="28"/>
    <x v="11"/>
    <n v="2025"/>
    <m/>
    <x v="1"/>
    <n v="444107"/>
    <x v="0"/>
    <x v="0"/>
    <n v="136.8932039"/>
    <n v="4"/>
    <x v="390"/>
    <n v="42.7184466"/>
    <x v="24"/>
  </r>
  <r>
    <x v="1535"/>
    <s v="2025-08-24"/>
    <n v="24"/>
    <x v="11"/>
    <n v="2025"/>
    <m/>
    <x v="1"/>
    <n v="121003"/>
    <x v="0"/>
    <x v="0"/>
    <n v="178.6407767"/>
    <n v="5"/>
    <x v="482"/>
    <n v="49.514563109999997"/>
    <x v="15"/>
  </r>
  <r>
    <x v="1536"/>
    <s v="2025-08-14"/>
    <n v="14"/>
    <x v="11"/>
    <n v="2025"/>
    <m/>
    <x v="1"/>
    <n v="209733"/>
    <x v="0"/>
    <x v="0"/>
    <n v="171.84466019999999"/>
    <n v="5"/>
    <x v="459"/>
    <n v="50.485436890000003"/>
    <x v="16"/>
  </r>
  <r>
    <x v="1537"/>
    <s v="2025-08-29"/>
    <n v="29"/>
    <x v="11"/>
    <n v="2025"/>
    <m/>
    <x v="3"/>
    <n v="517424"/>
    <x v="0"/>
    <x v="0"/>
    <n v="155.33980579999999"/>
    <n v="4"/>
    <x v="439"/>
    <n v="58.252427179999998"/>
    <x v="4"/>
  </r>
  <r>
    <x v="1538"/>
    <s v="2025-08-01"/>
    <n v="1"/>
    <x v="11"/>
    <n v="2025"/>
    <m/>
    <x v="1"/>
    <n v="226022"/>
    <x v="0"/>
    <x v="0"/>
    <n v="168.93203879999999"/>
    <n v="5"/>
    <x v="395"/>
    <n v="47.57281553"/>
    <x v="9"/>
  </r>
  <r>
    <x v="1539"/>
    <s v="2025-08-19"/>
    <n v="19"/>
    <x v="11"/>
    <n v="2025"/>
    <m/>
    <x v="3"/>
    <n v="753001"/>
    <x v="0"/>
    <x v="0"/>
    <n v="176.69902909999999"/>
    <n v="5"/>
    <x v="396"/>
    <n v="55.339805830000003"/>
    <x v="12"/>
  </r>
  <r>
    <x v="1540"/>
    <s v="2025-08-20"/>
    <n v="20"/>
    <x v="11"/>
    <n v="2025"/>
    <m/>
    <x v="1"/>
    <n v="201102"/>
    <x v="0"/>
    <x v="0"/>
    <n v="161.16504850000001"/>
    <n v="4"/>
    <x v="393"/>
    <n v="57.2815534"/>
    <x v="6"/>
  </r>
  <r>
    <x v="1541"/>
    <s v="2025-08-30"/>
    <n v="30"/>
    <x v="11"/>
    <n v="2025"/>
    <m/>
    <x v="2"/>
    <n v="847402"/>
    <x v="0"/>
    <x v="0"/>
    <n v="130.09708739999999"/>
    <n v="3"/>
    <x v="511"/>
    <n v="35.922330100000003"/>
    <x v="6"/>
  </r>
  <r>
    <x v="1542"/>
    <s v="2025-08-10"/>
    <n v="10"/>
    <x v="11"/>
    <n v="2025"/>
    <m/>
    <x v="2"/>
    <n v="759122"/>
    <x v="0"/>
    <x v="0"/>
    <n v="149.5145631"/>
    <n v="4"/>
    <x v="423"/>
    <n v="55.339805830000003"/>
    <x v="8"/>
  </r>
  <r>
    <x v="1543"/>
    <s v="2025-08-27"/>
    <n v="27"/>
    <x v="11"/>
    <n v="2025"/>
    <m/>
    <x v="3"/>
    <n v="411039"/>
    <x v="0"/>
    <x v="0"/>
    <n v="148.54368930000001"/>
    <n v="4"/>
    <x v="465"/>
    <n v="38.834951459999999"/>
    <x v="13"/>
  </r>
  <r>
    <x v="1544"/>
    <s v="2025-08-17"/>
    <n v="17"/>
    <x v="11"/>
    <n v="2025"/>
    <m/>
    <x v="1"/>
    <n v="274409"/>
    <x v="0"/>
    <x v="0"/>
    <n v="141.7475728"/>
    <n v="4"/>
    <x v="385"/>
    <n v="55.339805830000003"/>
    <x v="7"/>
  </r>
  <r>
    <x v="1545"/>
    <s v="2025-08-24"/>
    <n v="24"/>
    <x v="11"/>
    <n v="2025"/>
    <m/>
    <x v="2"/>
    <n v="636905"/>
    <x v="0"/>
    <x v="0"/>
    <n v="138.83495149999999"/>
    <n v="4"/>
    <x v="492"/>
    <n v="50.485436890000003"/>
    <x v="5"/>
  </r>
  <r>
    <x v="1546"/>
    <s v="2025-08-26"/>
    <n v="26"/>
    <x v="11"/>
    <n v="2025"/>
    <m/>
    <x v="0"/>
    <n v="560026"/>
    <x v="0"/>
    <x v="0"/>
    <n v="174.7572816"/>
    <n v="5"/>
    <x v="436"/>
    <n v="57.2815534"/>
    <x v="8"/>
  </r>
  <r>
    <x v="1547"/>
    <s v="2025-08-17"/>
    <n v="17"/>
    <x v="11"/>
    <n v="2025"/>
    <m/>
    <x v="6"/>
    <n v="225409"/>
    <x v="0"/>
    <x v="0"/>
    <n v="143.68932040000001"/>
    <n v="4"/>
    <x v="417"/>
    <n v="33.980582519999999"/>
    <x v="9"/>
  </r>
  <r>
    <x v="1548"/>
    <s v="2025-08-14"/>
    <n v="14"/>
    <x v="11"/>
    <n v="2025"/>
    <m/>
    <x v="2"/>
    <n v="403516"/>
    <x v="0"/>
    <x v="0"/>
    <n v="134.95145629999999"/>
    <n v="4"/>
    <x v="403"/>
    <n v="37.86407767"/>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9">
  <r>
    <n v="7.179330784349E+16"/>
    <s v="2024-09-29"/>
    <x v="0"/>
    <x v="0"/>
    <n v="271904"/>
    <n v="7117"/>
    <n v="3"/>
    <n v="121.35922330097"/>
    <n v="3.9611650485436898"/>
    <n v="125.32038834951369"/>
    <n v="52.427184466019398"/>
    <s v="Uttar Pradesh"/>
  </r>
  <r>
    <n v="7.0965383275933904E+16"/>
    <s v="2024-09-27"/>
    <x v="0"/>
    <x v="0"/>
    <n v="361001"/>
    <n v="711790"/>
    <n v="18"/>
    <n v="108.474576271186"/>
    <n v="21.661016949152501"/>
    <n v="130.13559322033851"/>
    <n v="44.067796610169502"/>
    <s v="Gujarat"/>
  </r>
  <r>
    <n v="7.232841947134E+16"/>
    <s v="2024-09-30"/>
    <x v="0"/>
    <x v="0"/>
    <n v="721431"/>
    <n v="7117"/>
    <n v="3"/>
    <n v="105.82524271844601"/>
    <n v="3.1747572815534002"/>
    <n v="108.9999999999994"/>
    <n v="65.048543689320397"/>
    <s v="West Bengal"/>
  </r>
  <r>
    <n v="6.8779559920018096E+16"/>
    <s v="2024-09-21"/>
    <x v="0"/>
    <x v="1"/>
    <n v="143001"/>
    <n v="7117"/>
    <n v="18"/>
    <n v="75.423728813559293"/>
    <n v="17.694915254237198"/>
    <n v="93.118644067796495"/>
    <n v="33.0508474576271"/>
    <s v="Punjab"/>
  </r>
  <r>
    <n v="6.97351126269564E+16"/>
    <s v="2024-09-23"/>
    <x v="0"/>
    <x v="1"/>
    <n v="577203"/>
    <n v="711790"/>
    <n v="18"/>
    <n v="131.35593220338899"/>
    <n v="23.644067796610098"/>
    <n v="154.99999999999909"/>
    <n v="55.932203389830498"/>
    <s v="Karnataka"/>
  </r>
  <r>
    <n v="7.0710502195488896E+16"/>
    <s v="2024-09-26"/>
    <x v="0"/>
    <x v="2"/>
    <n v="800006"/>
    <n v="7117"/>
    <n v="18"/>
    <n v="143.22033898305"/>
    <n v="25.779661016949099"/>
    <n v="168.99999999999909"/>
    <n v="53.389830508474603"/>
    <s v="Bihar"/>
  </r>
  <r>
    <n v="7.17448524083324E+16"/>
    <s v="2024-09-29"/>
    <x v="0"/>
    <x v="0"/>
    <n v="495554"/>
    <n v="711790"/>
    <n v="18"/>
    <n v="120.33898305084701"/>
    <n v="21.661016949152501"/>
    <n v="141.99999999999952"/>
    <n v="55.932203389830498"/>
    <s v="Chhattisgarh"/>
  </r>
  <r>
    <n v="7.1959000808825504E+16"/>
    <s v="2024-09-29"/>
    <x v="0"/>
    <x v="0"/>
    <n v="160062"/>
    <n v="711790"/>
    <n v="18"/>
    <n v="103.38983050847401"/>
    <n v="21.661016949152501"/>
    <n v="125.0508474576265"/>
    <n v="38.983050847457598"/>
    <s v="Punjab"/>
  </r>
  <r>
    <n v="7.1603082940838096E+16"/>
    <s v="2024-09-28"/>
    <x v="0"/>
    <x v="3"/>
    <n v="226002"/>
    <n v="7117"/>
    <n v="3"/>
    <n v="106.796116504854"/>
    <n v="4.13592233009709"/>
    <n v="110.93203883495109"/>
    <n v="29.126213592233"/>
    <s v="Uttar Pradesh"/>
  </r>
  <r>
    <n v="7.2148570263397104E+16"/>
    <s v="2024-09-30"/>
    <x v="0"/>
    <x v="0"/>
    <n v="821101"/>
    <n v="7117"/>
    <n v="18"/>
    <n v="100"/>
    <n v="18.610169491525401"/>
    <n v="118.6101694915254"/>
    <n v="53.389830508474603"/>
    <s v="Bihar"/>
  </r>
  <r>
    <n v="7.18688916131316E+16"/>
    <s v="2024-09-29"/>
    <x v="0"/>
    <x v="3"/>
    <n v="462043"/>
    <n v="711790"/>
    <n v="18"/>
    <n v="120.33898305084701"/>
    <n v="21.661016949152501"/>
    <n v="141.99999999999952"/>
    <n v="55.932203389830498"/>
    <s v="Madhya Pradesh"/>
  </r>
  <r>
    <n v="6.9701173573410096E+16"/>
    <s v="2024-09-23"/>
    <x v="0"/>
    <x v="0"/>
    <n v="600117"/>
    <n v="711790"/>
    <n v="18"/>
    <n v="119.49152542372801"/>
    <n v="23.644067796610098"/>
    <n v="143.13559322033811"/>
    <n v="44.067796610169502"/>
    <s v="Tamil Nadu"/>
  </r>
  <r>
    <n v="7.12824642485912E+16"/>
    <s v="2024-09-27"/>
    <x v="0"/>
    <x v="1"/>
    <n v="110008"/>
    <n v="711790"/>
    <n v="18"/>
    <n v="92.372881355932194"/>
    <n v="19.677966101694899"/>
    <n v="112.0508474576271"/>
    <n v="38.983050847457598"/>
    <s v="Delhi"/>
  </r>
  <r>
    <n v="6.92765912678618E+16"/>
    <s v="2024-09-22"/>
    <x v="0"/>
    <x v="1"/>
    <n v="144022"/>
    <n v="711790"/>
    <n v="18"/>
    <n v="114.406779661017"/>
    <n v="23.644067796610098"/>
    <n v="138.0508474576271"/>
    <n v="38.983050847457598"/>
    <s v="Punjab"/>
  </r>
  <r>
    <n v="6.9441780096984704E+16"/>
    <s v="2024-09-22"/>
    <x v="0"/>
    <x v="1"/>
    <n v="700032"/>
    <n v="711790"/>
    <n v="18"/>
    <n v="118.64406779661"/>
    <n v="21.355932203389798"/>
    <n v="139.9999999999998"/>
    <n v="55.932203389830498"/>
    <s v="West Bengal"/>
  </r>
  <r>
    <n v="7.6989792849111904E+16"/>
    <s v="2024-10-13"/>
    <x v="1"/>
    <x v="3"/>
    <n v="700041"/>
    <n v="7117"/>
    <n v="3"/>
    <n v="93.203883495145604"/>
    <n v="3.3495145631068"/>
    <n v="96.553398058252398"/>
    <n v="60.194174757281601"/>
    <s v="West Bengal"/>
  </r>
  <r>
    <n v="8.10092355226284E+16"/>
    <s v="2024-10-24"/>
    <x v="1"/>
    <x v="3"/>
    <n v="201102"/>
    <n v="7117"/>
    <n v="3"/>
    <n v="127.184466019417"/>
    <n v="4.1067961165048503"/>
    <n v="131.29126213592184"/>
    <n v="58.252427184466001"/>
    <s v="Uttar Pradesh"/>
  </r>
  <r>
    <n v="8.323104954724E+16"/>
    <s v="2024-10-30"/>
    <x v="1"/>
    <x v="4"/>
    <n v="824203"/>
    <n v="7117"/>
    <n v="3"/>
    <n v="156.31067961164999"/>
    <n v="4.7766990291262097"/>
    <n v="161.08737864077619"/>
    <n v="55.339805825242699"/>
    <s v="Bihar"/>
  </r>
  <r>
    <n v="8.3493613057331808E+16"/>
    <s v="2024-10-31"/>
    <x v="1"/>
    <x v="4"/>
    <n v="786001"/>
    <n v="711790"/>
    <n v="3"/>
    <n v="124.27184466019401"/>
    <n v="4.5145631067961203"/>
    <n v="128.78640776699012"/>
    <n v="52.427184466019398"/>
    <s v="Assam"/>
  </r>
  <r>
    <n v="8.0298198937301792E+16"/>
    <s v="2024-10-22"/>
    <x v="1"/>
    <x v="1"/>
    <n v="825313"/>
    <n v="7117"/>
    <n v="3"/>
    <n v="141.747572815534"/>
    <n v="4.86407766990291"/>
    <n v="146.61165048543691"/>
    <n v="40.776699029126199"/>
    <s v="Jharkhand"/>
  </r>
  <r>
    <n v="8.34851173849464E+16"/>
    <s v="2024-10-31"/>
    <x v="1"/>
    <x v="0"/>
    <n v="506002"/>
    <n v="7117"/>
    <n v="3"/>
    <n v="156.31067961164999"/>
    <n v="4.6893203883495103"/>
    <n v="160.99999999999949"/>
    <n v="59.223300970873801"/>
    <s v="Andhra Pradesh"/>
  </r>
  <r>
    <n v="7.9950710581670208E+16"/>
    <s v="2024-10-21"/>
    <x v="1"/>
    <x v="3"/>
    <n v="400101"/>
    <n v="7117"/>
    <n v="3"/>
    <n v="158.252427184466"/>
    <n v="5.0970873786407802"/>
    <n v="163.34951456310679"/>
    <n v="63.106796116504903"/>
    <s v="Maharashtra"/>
  </r>
  <r>
    <n v="8.1011491404244608E+16"/>
    <s v="2024-10-24"/>
    <x v="1"/>
    <x v="3"/>
    <n v="144211"/>
    <n v="7117"/>
    <n v="3"/>
    <n v="151.45631067961099"/>
    <n v="4.7475728155339798"/>
    <n v="156.20388349514496"/>
    <n v="51.456310679611697"/>
    <s v="Punjab"/>
  </r>
  <r>
    <n v="8.2688279422047504E+16"/>
    <s v="2024-10-29"/>
    <x v="1"/>
    <x v="4"/>
    <n v="843119"/>
    <n v="7117"/>
    <n v="3"/>
    <n v="159.223300970873"/>
    <n v="4.7766990291262097"/>
    <n v="163.9999999999992"/>
    <n v="59.223300970873801"/>
    <s v="Bihar"/>
  </r>
  <r>
    <n v="7.7747994586917696E+16"/>
    <s v="2024-10-15"/>
    <x v="1"/>
    <x v="1"/>
    <n v="174001"/>
    <n v="7117"/>
    <n v="3"/>
    <n v="199.02912621359201"/>
    <n v="6.1747572815533998"/>
    <n v="205.20388349514542"/>
    <n v="52.427184466019398"/>
    <s v="Himachal Pradesh"/>
  </r>
  <r>
    <n v="7.9271913352581792E+16"/>
    <s v="2024-10-19"/>
    <x v="1"/>
    <x v="3"/>
    <n v="202002"/>
    <n v="7117"/>
    <n v="3"/>
    <n v="140.77669902912601"/>
    <n v="4.6310679611650496"/>
    <n v="145.40776699029107"/>
    <n v="50.485436893203897"/>
    <s v="Uttar Pradesh"/>
  </r>
  <r>
    <n v="8.36235633591256E+16"/>
    <s v="2024-10-31"/>
    <x v="1"/>
    <x v="4"/>
    <n v="151001"/>
    <n v="7117"/>
    <n v="3"/>
    <n v="139.80582524271799"/>
    <n v="4.86407766990291"/>
    <n v="144.6699029126209"/>
    <n v="36.893203883495197"/>
    <s v="Punjab"/>
  </r>
  <r>
    <n v="8.3527982179673696E+16"/>
    <s v="2024-10-31"/>
    <x v="1"/>
    <x v="0"/>
    <n v="301701"/>
    <n v="7117"/>
    <n v="3"/>
    <n v="153.39805825242701"/>
    <n v="4.7766990291262097"/>
    <n v="158.17475728155321"/>
    <n v="52.427184466019398"/>
    <s v="Rajasthan"/>
  </r>
  <r>
    <n v="8.3230092033660192E+16"/>
    <s v="2024-10-30"/>
    <x v="1"/>
    <x v="0"/>
    <n v="415604"/>
    <n v="7117"/>
    <n v="3"/>
    <n v="159.223300970873"/>
    <n v="4.7766990291262097"/>
    <n v="163.9999999999992"/>
    <n v="58.252427184466001"/>
    <s v="Maharashtra"/>
  </r>
  <r>
    <n v="8.0929583877729104E+16"/>
    <s v="2024-10-24"/>
    <x v="1"/>
    <x v="3"/>
    <n v="221010"/>
    <n v="7117"/>
    <n v="3"/>
    <n v="149.514563106796"/>
    <n v="4.7766990291262097"/>
    <n v="154.29126213592221"/>
    <n v="58.252427184466001"/>
    <s v="Uttar Pradesh"/>
  </r>
  <r>
    <n v="8.2316177325617904E+16"/>
    <s v="2024-10-28"/>
    <x v="1"/>
    <x v="0"/>
    <n v="570031"/>
    <n v="711790"/>
    <n v="3"/>
    <n v="145.631067961165"/>
    <n v="4.3689320388349504"/>
    <n v="149.99999999999994"/>
    <n v="59.223300970873801"/>
    <s v="Karnataka"/>
  </r>
  <r>
    <n v="8.2004798899155696E+16"/>
    <s v="2024-10-27"/>
    <x v="1"/>
    <x v="2"/>
    <n v="140307"/>
    <n v="7117"/>
    <n v="3"/>
    <n v="159.223300970873"/>
    <n v="4.7766990291262097"/>
    <n v="163.9999999999992"/>
    <n v="59.223300970873801"/>
    <s v="Punjab"/>
  </r>
  <r>
    <n v="8.2347505085977904E+16"/>
    <s v="2024-10-28"/>
    <x v="1"/>
    <x v="0"/>
    <n v="263153"/>
    <n v="7117"/>
    <n v="3"/>
    <n v="129.126213592233"/>
    <n v="4.1650485436893199"/>
    <n v="133.29126213592232"/>
    <n v="49.514563106796103"/>
    <s v="Uttarakhand"/>
  </r>
  <r>
    <n v="7.8607710778168608E+16"/>
    <s v="2024-10-18"/>
    <x v="1"/>
    <x v="1"/>
    <n v="700041"/>
    <n v="7117"/>
    <n v="3"/>
    <n v="91.262135922330103"/>
    <n v="2.7378640776698999"/>
    <n v="94"/>
    <n v="60.194174757281601"/>
    <s v="West Bengal"/>
  </r>
  <r>
    <n v="8.3261630063804608E+16"/>
    <s v="2024-10-30"/>
    <x v="1"/>
    <x v="0"/>
    <n v="515201"/>
    <n v="7117"/>
    <n v="3"/>
    <n v="136.893203883495"/>
    <n v="4.1067961165048503"/>
    <n v="140.99999999999986"/>
    <n v="58.252427184466001"/>
    <s v="Andhra Pradesh"/>
  </r>
  <r>
    <n v="8.3065320432136992E+16"/>
    <s v="2024-10-30"/>
    <x v="1"/>
    <x v="0"/>
    <n v="821301"/>
    <n v="7117"/>
    <n v="3"/>
    <n v="144.66019417475701"/>
    <n v="4.3980582524271803"/>
    <n v="149.05825242718419"/>
    <n v="57.2815533980583"/>
    <s v="Bihar"/>
  </r>
  <r>
    <n v="8.06745028073024E+16"/>
    <s v="2024-10-23"/>
    <x v="1"/>
    <x v="3"/>
    <n v="140603"/>
    <n v="7117"/>
    <n v="3"/>
    <n v="158.252427184466"/>
    <n v="5.0970873786407802"/>
    <n v="163.34951456310679"/>
    <n v="63.106796116504903"/>
    <s v="Punjab"/>
  </r>
  <r>
    <n v="8.26945943698768E+16"/>
    <s v="2024-10-29"/>
    <x v="1"/>
    <x v="3"/>
    <n v="283111"/>
    <n v="7117"/>
    <n v="3"/>
    <n v="166.01941747572801"/>
    <n v="5.15533980582524"/>
    <n v="171.17475728155324"/>
    <n v="59.223300970873801"/>
    <s v="Uttar Pradesh"/>
  </r>
  <r>
    <n v="7.96441696521304E+16"/>
    <s v="2024-10-21"/>
    <x v="1"/>
    <x v="5"/>
    <n v="110020"/>
    <n v="7117"/>
    <n v="3"/>
    <n v="158.252427184466"/>
    <n v="5.0970873786407802"/>
    <n v="163.34951456310679"/>
    <n v="51.456310679611697"/>
    <s v="Delhi"/>
  </r>
  <r>
    <n v="8.2031569451864704E+16"/>
    <s v="2024-10-27"/>
    <x v="1"/>
    <x v="3"/>
    <n v="843146"/>
    <n v="7117"/>
    <n v="3"/>
    <n v="140.77669902912601"/>
    <n v="4.2233009708737903"/>
    <n v="144.9999999999998"/>
    <n v="59.223300970873801"/>
    <s v="Bihar"/>
  </r>
  <r>
    <n v="8.2793384663574208E+16"/>
    <s v="2024-10-29"/>
    <x v="1"/>
    <x v="0"/>
    <n v="743355"/>
    <n v="7117"/>
    <n v="3"/>
    <n v="162.135922330097"/>
    <n v="4.86407766990291"/>
    <n v="166.99999999999991"/>
    <n v="59.223300970873801"/>
    <s v="West Bengal"/>
  </r>
  <r>
    <n v="7.9927044816941408E+16"/>
    <s v="2024-10-21"/>
    <x v="1"/>
    <x v="3"/>
    <n v="509376"/>
    <n v="7117"/>
    <n v="3"/>
    <n v="147.57281553397999"/>
    <n v="4.42718446601942"/>
    <n v="151.9999999999994"/>
    <n v="63.106796116504903"/>
    <s v="Telangana"/>
  </r>
  <r>
    <n v="8.0898761234048704E+16"/>
    <s v="2024-10-24"/>
    <x v="1"/>
    <x v="3"/>
    <n v="110043"/>
    <n v="7117"/>
    <n v="3"/>
    <n v="114.563106796116"/>
    <n v="4.1067961165048503"/>
    <n v="118.66990291262086"/>
    <n v="58.252427184466001"/>
    <s v="Delhi"/>
  </r>
  <r>
    <n v="8.0715750160608096E+16"/>
    <s v="2024-10-23"/>
    <x v="1"/>
    <x v="3"/>
    <n v="743165"/>
    <n v="7117"/>
    <n v="3"/>
    <n v="139.80582524271799"/>
    <n v="4.1941747572815498"/>
    <n v="143.99999999999955"/>
    <n v="61.165048543689302"/>
    <s v="West Bengal"/>
  </r>
  <r>
    <n v="7.90534890782032E+16"/>
    <s v="2024-10-19"/>
    <x v="1"/>
    <x v="3"/>
    <n v="852137"/>
    <n v="7117"/>
    <n v="3"/>
    <n v="162.135922330097"/>
    <n v="4.86407766990291"/>
    <n v="166.99999999999991"/>
    <n v="61.165048543689302"/>
    <s v="Bihar"/>
  </r>
  <r>
    <n v="8.3124939892970096E+16"/>
    <s v="2024-10-30"/>
    <x v="1"/>
    <x v="0"/>
    <n v="762010"/>
    <n v="7117"/>
    <n v="3"/>
    <n v="159.223300970873"/>
    <n v="4.7766990291262097"/>
    <n v="163.9999999999992"/>
    <n v="58.252427184466001"/>
    <s v="Odisha"/>
  </r>
  <r>
    <n v="8.34990318351484E+16"/>
    <s v="2024-10-31"/>
    <x v="1"/>
    <x v="0"/>
    <n v="276403"/>
    <n v="7117"/>
    <n v="3"/>
    <n v="149.514563106796"/>
    <n v="4.7766990291262097"/>
    <n v="154.29126213592221"/>
    <n v="48.543689320388303"/>
    <s v="Uttar Pradesh"/>
  </r>
  <r>
    <n v="8.0558104655942208E+16"/>
    <s v="2024-10-23"/>
    <x v="1"/>
    <x v="3"/>
    <n v="811302"/>
    <n v="7117"/>
    <n v="3"/>
    <n v="139.80582524271799"/>
    <n v="4.1941747572815498"/>
    <n v="143.99999999999955"/>
    <n v="61.165048543689302"/>
    <s v="Bihar"/>
  </r>
  <r>
    <n v="8.3373227876804192E+16"/>
    <s v="2024-10-31"/>
    <x v="1"/>
    <x v="4"/>
    <n v="805131"/>
    <n v="7117"/>
    <n v="3"/>
    <n v="159.223300970873"/>
    <n v="4.7766990291262097"/>
    <n v="163.9999999999992"/>
    <n v="58.252427184466001"/>
    <s v="Bihar"/>
  </r>
  <r>
    <n v="7.4558370767430304E+16"/>
    <s v="2024-10-06"/>
    <x v="1"/>
    <x v="1"/>
    <n v="190007"/>
    <n v="711790"/>
    <n v="18"/>
    <n v="99.152542372881399"/>
    <n v="21.966101694915199"/>
    <n v="121.11864406779659"/>
    <n v="45.762711864406803"/>
    <s v="Jammu &amp; Kashmir"/>
  </r>
  <r>
    <n v="8.0505500237179696E+16"/>
    <s v="2024-10-23"/>
    <x v="1"/>
    <x v="1"/>
    <n v="811213"/>
    <n v="7117"/>
    <n v="3"/>
    <n v="139.80582524271799"/>
    <n v="4.1941747572815498"/>
    <n v="143.99999999999955"/>
    <n v="61.165048543689302"/>
    <s v="Bihar"/>
  </r>
  <r>
    <n v="7.4895810210378208E+16"/>
    <s v="2024-10-07"/>
    <x v="1"/>
    <x v="1"/>
    <n v="229301"/>
    <n v="7117"/>
    <n v="3"/>
    <n v="125.242718446601"/>
    <n v="4.5145631067961203"/>
    <n v="129.75728155339712"/>
    <n v="34.951456310679603"/>
    <s v="Uttar Pradesh"/>
  </r>
  <r>
    <n v="8.0198616500859696E+16"/>
    <s v="2024-10-22"/>
    <x v="1"/>
    <x v="1"/>
    <n v="143521"/>
    <n v="7117"/>
    <n v="3"/>
    <n v="158.252427184466"/>
    <n v="5.0970873786407802"/>
    <n v="163.34951456310679"/>
    <n v="51.456310679611697"/>
    <s v="Punjab"/>
  </r>
  <r>
    <n v="7.9700916300670592E+16"/>
    <s v="2024-10-21"/>
    <x v="1"/>
    <x v="3"/>
    <n v="572137"/>
    <n v="7117"/>
    <n v="3"/>
    <n v="164.07766990291199"/>
    <n v="5.0970873786407802"/>
    <n v="169.17475728155279"/>
    <n v="63.106796116504903"/>
    <s v="Karnataka"/>
  </r>
  <r>
    <n v="8.20419730872784E+16"/>
    <s v="2024-10-27"/>
    <x v="1"/>
    <x v="3"/>
    <n v="175027"/>
    <n v="7117"/>
    <n v="3"/>
    <n v="165.04854368932001"/>
    <n v="5.15533980582524"/>
    <n v="170.20388349514525"/>
    <n v="52.427184466019398"/>
    <s v="Himachal Pradesh"/>
  </r>
  <r>
    <n v="8.3201548676115296E+16"/>
    <s v="2024-10-30"/>
    <x v="1"/>
    <x v="0"/>
    <n v="825325"/>
    <n v="7117"/>
    <n v="3"/>
    <n v="136.893203883495"/>
    <n v="4.1067961165048503"/>
    <n v="140.99999999999986"/>
    <n v="58.252427184466001"/>
    <s v="Jharkhand"/>
  </r>
  <r>
    <n v="8.0985738364726096E+16"/>
    <s v="2024-10-24"/>
    <x v="1"/>
    <x v="3"/>
    <n v="301701"/>
    <n v="7117"/>
    <n v="3"/>
    <n v="152.42718446601901"/>
    <n v="4.7766990291262097"/>
    <n v="157.20388349514522"/>
    <n v="58.252427184466001"/>
    <s v="Rajasthan"/>
  </r>
  <r>
    <n v="8.1671687061566208E+16"/>
    <s v="2024-10-26"/>
    <x v="1"/>
    <x v="0"/>
    <n v="853201"/>
    <n v="7117"/>
    <n v="3"/>
    <n v="162.135922330097"/>
    <n v="4.86407766990291"/>
    <n v="166.99999999999991"/>
    <n v="59.223300970873801"/>
    <s v="Bihar"/>
  </r>
  <r>
    <n v="8.0630115704435504E+16"/>
    <s v="2024-10-23"/>
    <x v="1"/>
    <x v="3"/>
    <n v="843129"/>
    <n v="7117"/>
    <n v="3"/>
    <n v="169.90291262135901"/>
    <n v="5.0970873786407802"/>
    <n v="174.9999999999998"/>
    <n v="63.106796116504903"/>
    <s v="Bihar"/>
  </r>
  <r>
    <n v="8.3364015876597408E+16"/>
    <s v="2024-10-31"/>
    <x v="1"/>
    <x v="0"/>
    <n v="534450"/>
    <n v="7117"/>
    <n v="3"/>
    <n v="156.31067961164999"/>
    <n v="4.6893203883495103"/>
    <n v="160.99999999999949"/>
    <n v="59.223300970873801"/>
    <s v="Andhra Pradesh"/>
  </r>
  <r>
    <n v="8.3181468154786592E+16"/>
    <s v="2024-10-30"/>
    <x v="1"/>
    <x v="3"/>
    <n v="721101"/>
    <n v="7117"/>
    <n v="3"/>
    <n v="159.223300970873"/>
    <n v="4.7766990291262097"/>
    <n v="163.9999999999992"/>
    <n v="58.252427184466001"/>
    <s v="West Bengal"/>
  </r>
  <r>
    <n v="8.3143725894792E+16"/>
    <s v="2024-10-30"/>
    <x v="1"/>
    <x v="0"/>
    <n v="813205"/>
    <n v="7117"/>
    <n v="3"/>
    <n v="136.893203883495"/>
    <n v="4.1067961165048503"/>
    <n v="140.99999999999986"/>
    <n v="58.252427184466001"/>
    <s v="Bihar"/>
  </r>
  <r>
    <n v="8.3150178651722304E+16"/>
    <s v="2024-10-30"/>
    <x v="1"/>
    <x v="0"/>
    <n v="228159"/>
    <n v="7117"/>
    <n v="3"/>
    <n v="149.514563106796"/>
    <n v="4.7766990291262097"/>
    <n v="154.29126213592221"/>
    <n v="48.543689320388303"/>
    <s v="Uttar Pradesh"/>
  </r>
  <r>
    <n v="8.3181789587171008E+16"/>
    <s v="2024-10-30"/>
    <x v="1"/>
    <x v="0"/>
    <n v="486340"/>
    <n v="7117"/>
    <n v="3"/>
    <n v="159.223300970873"/>
    <n v="4.7766990291262097"/>
    <n v="163.9999999999992"/>
    <n v="58.252427184466001"/>
    <s v="Madhya Pradesh"/>
  </r>
  <r>
    <n v="7.4518371911152096E+16"/>
    <s v="2024-10-06"/>
    <x v="1"/>
    <x v="1"/>
    <n v="201304"/>
    <n v="7117"/>
    <n v="3"/>
    <n v="106.796116504854"/>
    <n v="3.9029126213592198"/>
    <n v="110.69902912621322"/>
    <n v="35.922330097087404"/>
    <s v="Uttar Pradesh"/>
  </r>
  <r>
    <n v="8.0985967641105696E+16"/>
    <s v="2024-10-24"/>
    <x v="1"/>
    <x v="3"/>
    <n v="301701"/>
    <n v="7117"/>
    <n v="3"/>
    <n v="152.42718446601901"/>
    <n v="4.7766990291262097"/>
    <n v="157.20388349514522"/>
    <n v="58.252427184466001"/>
    <s v="Rajasthan"/>
  </r>
  <r>
    <n v="8.13006858964284E+16"/>
    <s v="2024-10-25"/>
    <x v="1"/>
    <x v="0"/>
    <n v="344001"/>
    <n v="7117"/>
    <n v="3"/>
    <n v="152.42718446601901"/>
    <n v="4.7766990291262097"/>
    <n v="157.20388349514522"/>
    <n v="52.427184466019398"/>
    <s v="Rajasthan"/>
  </r>
  <r>
    <n v="8.3520462140728992E+16"/>
    <s v="2024-10-31"/>
    <x v="1"/>
    <x v="3"/>
    <n v="110053"/>
    <n v="7117"/>
    <n v="3"/>
    <n v="149.514563106796"/>
    <n v="4.7766990291262097"/>
    <n v="154.29126213592221"/>
    <n v="58.252427184466001"/>
    <s v="Delhi"/>
  </r>
  <r>
    <n v="8.3422830386996896E+16"/>
    <s v="2024-10-31"/>
    <x v="1"/>
    <x v="4"/>
    <n v="522001"/>
    <n v="7117"/>
    <n v="3"/>
    <n v="159.223300970873"/>
    <n v="4.7766990291262097"/>
    <n v="163.9999999999992"/>
    <n v="58.252427184466001"/>
    <s v="Andhra Pradesh"/>
  </r>
  <r>
    <n v="8.3483804255119008E+16"/>
    <s v="2024-10-31"/>
    <x v="1"/>
    <x v="4"/>
    <n v="600012"/>
    <n v="7117"/>
    <n v="3"/>
    <n v="159.223300970873"/>
    <n v="4.7766990291262097"/>
    <n v="163.9999999999992"/>
    <n v="58.252427184466001"/>
    <s v="Tamil Nadu"/>
  </r>
  <r>
    <n v="7.5878708346383008E+16"/>
    <s v="2024-10-10"/>
    <x v="1"/>
    <x v="5"/>
    <n v="600057"/>
    <n v="7117"/>
    <n v="3"/>
    <n v="132.03883495145601"/>
    <n v="3.9611650485436898"/>
    <n v="135.99999999999969"/>
    <n v="63.106796116504903"/>
    <s v="Tamil Nadu"/>
  </r>
  <r>
    <n v="8.3552913922331904E+16"/>
    <s v="2024-10-31"/>
    <x v="1"/>
    <x v="4"/>
    <n v="277501"/>
    <n v="7117"/>
    <n v="3"/>
    <n v="127.184466019417"/>
    <n v="4.1067961165048503"/>
    <n v="131.29126213592184"/>
    <n v="48.543689320388303"/>
    <s v="Uttar Pradesh"/>
  </r>
  <r>
    <n v="8.09856034618048E+16"/>
    <s v="2024-10-24"/>
    <x v="1"/>
    <x v="3"/>
    <n v="301701"/>
    <n v="7117"/>
    <n v="3"/>
    <n v="152.42718446601901"/>
    <n v="4.7766990291262097"/>
    <n v="157.20388349514522"/>
    <n v="58.252427184466001"/>
    <s v="Rajasthan"/>
  </r>
  <r>
    <n v="7.7714882335222592E+16"/>
    <s v="2024-10-15"/>
    <x v="1"/>
    <x v="3"/>
    <n v="491995"/>
    <n v="7117"/>
    <n v="18"/>
    <n v="96.610169491525397"/>
    <n v="17.3898305084745"/>
    <n v="113.9999999999999"/>
    <n v="55.932203389830498"/>
    <s v="Chhattisgarh"/>
  </r>
  <r>
    <n v="7.3343276360393408E+16"/>
    <s v="2024-10-03"/>
    <x v="1"/>
    <x v="1"/>
    <n v="735214"/>
    <n v="711790"/>
    <n v="18"/>
    <n v="97.457627118644098"/>
    <n v="19.677966101694899"/>
    <n v="117.13559322033899"/>
    <n v="44.067796610169502"/>
    <s v="West Bengal"/>
  </r>
  <r>
    <n v="8.1008921508046496E+16"/>
    <s v="2024-10-24"/>
    <x v="1"/>
    <x v="0"/>
    <n v="534324"/>
    <n v="7117"/>
    <n v="3"/>
    <n v="159.223300970873"/>
    <n v="4.7766990291262097"/>
    <n v="163.9999999999992"/>
    <n v="58.252427184466001"/>
    <s v="Andhra Pradesh"/>
  </r>
  <r>
    <n v="7.9450479394542208E+16"/>
    <s v="2024-10-20"/>
    <x v="1"/>
    <x v="0"/>
    <n v="813203"/>
    <n v="7117"/>
    <n v="3"/>
    <n v="162.135922330097"/>
    <n v="4.86407766990291"/>
    <n v="166.99999999999991"/>
    <n v="61.165048543689302"/>
    <s v="Bihar"/>
  </r>
  <r>
    <n v="8.0205485680874096E+16"/>
    <s v="2024-10-22"/>
    <x v="1"/>
    <x v="0"/>
    <n v="121003"/>
    <n v="7117"/>
    <n v="3"/>
    <n v="152.42718446601901"/>
    <n v="4.86407766990291"/>
    <n v="157.29126213592193"/>
    <n v="51.456310679611697"/>
    <s v="Haryana"/>
  </r>
  <r>
    <n v="7.4129931055067296E+16"/>
    <s v="2024-10-05"/>
    <x v="1"/>
    <x v="2"/>
    <n v="422001"/>
    <n v="711790"/>
    <n v="18"/>
    <n v="120.33898305084701"/>
    <n v="21.661016949152501"/>
    <n v="141.99999999999952"/>
    <n v="55.932203389830498"/>
    <s v="Maharashtra"/>
  </r>
  <r>
    <n v="8.1986012343104304E+16"/>
    <s v="2024-10-27"/>
    <x v="1"/>
    <x v="3"/>
    <n v="221010"/>
    <n v="7117"/>
    <n v="3"/>
    <n v="135.92233009708701"/>
    <n v="4.8058252427184502"/>
    <n v="140.72815533980545"/>
    <n v="34.951456310679603"/>
    <s v="Uttar Pradesh"/>
  </r>
  <r>
    <n v="8.0918988634187392E+16"/>
    <s v="2024-10-24"/>
    <x v="1"/>
    <x v="3"/>
    <n v="841287"/>
    <n v="7117"/>
    <n v="3"/>
    <n v="158.252427184466"/>
    <n v="4.7475728155339798"/>
    <n v="162.99999999999997"/>
    <n v="58.252427184466001"/>
    <s v="Bihar"/>
  </r>
  <r>
    <n v="8.3267711284510896E+16"/>
    <s v="2024-10-31"/>
    <x v="1"/>
    <x v="3"/>
    <n v="110043"/>
    <n v="7117"/>
    <n v="3"/>
    <n v="127.184466019417"/>
    <n v="4.1067961165048503"/>
    <n v="131.29126213592184"/>
    <n v="58.252427184466001"/>
    <s v="Delhi"/>
  </r>
  <r>
    <n v="8.1015426120855808E+16"/>
    <s v="2024-10-24"/>
    <x v="1"/>
    <x v="1"/>
    <n v="500007"/>
    <n v="7117"/>
    <n v="3"/>
    <n v="124.27184466019401"/>
    <n v="4.2233009708737903"/>
    <n v="128.4951456310678"/>
    <n v="42.7184466019418"/>
    <s v="Telangana"/>
  </r>
  <r>
    <n v="8.3250618412176704E+16"/>
    <s v="2024-10-30"/>
    <x v="1"/>
    <x v="0"/>
    <n v="277001"/>
    <n v="7117"/>
    <n v="3"/>
    <n v="149.514563106796"/>
    <n v="4.7766990291262097"/>
    <n v="154.29126213592221"/>
    <n v="48.543689320388303"/>
    <s v="Uttar Pradesh"/>
  </r>
  <r>
    <n v="8.3267068167334704E+16"/>
    <s v="2024-10-31"/>
    <x v="1"/>
    <x v="4"/>
    <n v="110043"/>
    <n v="7117"/>
    <n v="3"/>
    <n v="254.368932038834"/>
    <n v="8.2135922330097095"/>
    <n v="262.58252427184374"/>
    <n v="97.087378640776706"/>
    <s v="Delhi"/>
  </r>
  <r>
    <n v="8.1013765383531296E+16"/>
    <s v="2024-10-24"/>
    <x v="1"/>
    <x v="1"/>
    <n v="497333"/>
    <n v="7117"/>
    <n v="3"/>
    <n v="128.15533980582501"/>
    <n v="4.13592233009709"/>
    <n v="132.2912621359221"/>
    <n v="48.543689320388303"/>
    <s v="Chhattisgarh"/>
  </r>
  <r>
    <n v="7.9955210979126096E+16"/>
    <s v="2024-10-21"/>
    <x v="1"/>
    <x v="2"/>
    <n v="455111"/>
    <n v="7117"/>
    <n v="3"/>
    <n v="162.135922330097"/>
    <n v="4.86407766990291"/>
    <n v="166.99999999999991"/>
    <n v="61.165048543689302"/>
    <s v="Madhya Pradesh"/>
  </r>
  <r>
    <n v="7.4734314328826496E+16"/>
    <s v="2024-10-07"/>
    <x v="1"/>
    <x v="1"/>
    <n v="201013"/>
    <n v="7117"/>
    <n v="18"/>
    <n v="110.169491525423"/>
    <n v="21.355932203389798"/>
    <n v="131.5254237288128"/>
    <n v="43.220338983050901"/>
    <s v="Uttar Pradesh"/>
  </r>
  <r>
    <n v="8.0865079555253904E+16"/>
    <s v="2024-10-24"/>
    <x v="1"/>
    <x v="3"/>
    <n v="144211"/>
    <n v="7117"/>
    <n v="3"/>
    <n v="151.45631067961099"/>
    <n v="4.7475728155339798"/>
    <n v="156.20388349514496"/>
    <n v="58.252427184466001"/>
    <s v="Punjab"/>
  </r>
  <r>
    <n v="8.3064502379279104E+16"/>
    <s v="2024-10-30"/>
    <x v="1"/>
    <x v="0"/>
    <n v="742213"/>
    <n v="7117"/>
    <n v="3"/>
    <n v="159.223300970873"/>
    <n v="4.7766990291262097"/>
    <n v="163.9999999999992"/>
    <n v="58.252427184466001"/>
    <s v="West Bengal"/>
  </r>
  <r>
    <n v="8.1005735298904304E+16"/>
    <s v="2024-10-24"/>
    <x v="1"/>
    <x v="3"/>
    <n v="816115"/>
    <n v="7117"/>
    <n v="3"/>
    <n v="119.417475728155"/>
    <n v="4.1067961165048503"/>
    <n v="123.52427184465985"/>
    <n v="40.776699029126199"/>
    <s v="Jharkhand"/>
  </r>
  <r>
    <n v="7.8403219500028608E+16"/>
    <s v="2024-10-17"/>
    <x v="1"/>
    <x v="2"/>
    <n v="302025"/>
    <n v="711790"/>
    <n v="18"/>
    <n v="95.762711864406796"/>
    <n v="20.898305084745701"/>
    <n v="116.6610169491525"/>
    <n v="31.355932203389798"/>
    <s v="Rajasthan"/>
  </r>
  <r>
    <n v="7.5642649528265408E+16"/>
    <s v="2024-10-09"/>
    <x v="1"/>
    <x v="5"/>
    <n v="462003"/>
    <n v="7117"/>
    <n v="3"/>
    <n v="200"/>
    <n v="6.55339805825243"/>
    <n v="206.55339805825244"/>
    <n v="41.747572815533999"/>
    <s v="Madhya Pradesh"/>
  </r>
  <r>
    <n v="8.1097204928598592E+16"/>
    <s v="2024-10-25"/>
    <x v="1"/>
    <x v="0"/>
    <n v="224190"/>
    <n v="7117"/>
    <n v="3"/>
    <n v="148.54368932038801"/>
    <n v="4.7475728155339798"/>
    <n v="153.29126213592198"/>
    <n v="48.543689320388303"/>
    <s v="Uttar Pradesh"/>
  </r>
  <r>
    <n v="8.3222047375365408E+16"/>
    <s v="2024-10-30"/>
    <x v="1"/>
    <x v="0"/>
    <n v="303007"/>
    <n v="7117"/>
    <n v="3"/>
    <n v="149.514563106796"/>
    <n v="4.7766990291262097"/>
    <n v="154.29126213592221"/>
    <n v="48.543689320388303"/>
    <s v="Rajasthan"/>
  </r>
  <r>
    <n v="8.0955913019764992E+16"/>
    <s v="2024-10-24"/>
    <x v="1"/>
    <x v="3"/>
    <n v="491222"/>
    <n v="7117"/>
    <n v="3"/>
    <n v="159.223300970873"/>
    <n v="4.7766990291262097"/>
    <n v="163.9999999999992"/>
    <n v="58.252427184466001"/>
    <s v="Chhattisgarh"/>
  </r>
  <r>
    <n v="7.84735293058464E+16"/>
    <s v="2024-10-17"/>
    <x v="1"/>
    <x v="1"/>
    <n v="412207"/>
    <n v="711790"/>
    <n v="18"/>
    <n v="88.983050847457605"/>
    <n v="18.915254237288099"/>
    <n v="107.8983050847457"/>
    <n v="35.593220338983102"/>
    <s v="Maharashtra"/>
  </r>
  <r>
    <n v="8.3104340047024704E+16"/>
    <s v="2024-10-30"/>
    <x v="1"/>
    <x v="4"/>
    <n v="224208"/>
    <n v="7117"/>
    <n v="3"/>
    <n v="149.514563106796"/>
    <n v="4.7766990291262097"/>
    <n v="154.29126213592221"/>
    <n v="48.543689320388303"/>
    <s v="Uttar Pradesh"/>
  </r>
  <r>
    <n v="8.31065980877504E+16"/>
    <s v="2024-10-30"/>
    <x v="1"/>
    <x v="0"/>
    <n v="281004"/>
    <n v="7117"/>
    <n v="3"/>
    <n v="149.514563106796"/>
    <n v="4.7766990291262097"/>
    <n v="154.29126213592221"/>
    <n v="48.543689320388303"/>
    <s v="Uttar Pradesh"/>
  </r>
  <r>
    <n v="8.3418324609411904E+16"/>
    <s v="2024-10-31"/>
    <x v="1"/>
    <x v="0"/>
    <n v="272175"/>
    <n v="7117"/>
    <n v="3"/>
    <n v="149.514563106796"/>
    <n v="4.7766990291262097"/>
    <n v="154.29126213592221"/>
    <n v="48.543689320388303"/>
    <s v="Uttar Pradesh"/>
  </r>
  <r>
    <n v="7.9844555499492E+16"/>
    <s v="2024-10-21"/>
    <x v="1"/>
    <x v="1"/>
    <n v="813203"/>
    <n v="7117"/>
    <n v="3"/>
    <n v="162.135922330097"/>
    <n v="4.86407766990291"/>
    <n v="166.99999999999991"/>
    <n v="61.165048543689302"/>
    <s v="Bihar"/>
  </r>
  <r>
    <n v="8.0150945511499392E+16"/>
    <s v="2024-10-22"/>
    <x v="1"/>
    <x v="0"/>
    <n v="272190"/>
    <n v="7117"/>
    <n v="3"/>
    <n v="152.42718446601901"/>
    <n v="4.86407766990291"/>
    <n v="157.29126213592193"/>
    <n v="51.456310679611697"/>
    <s v="Uttar Pradesh"/>
  </r>
  <r>
    <n v="8.0361108951257696E+16"/>
    <s v="2024-10-22"/>
    <x v="1"/>
    <x v="1"/>
    <n v="143103"/>
    <n v="7117"/>
    <n v="3"/>
    <n v="148.54368932038801"/>
    <n v="4.6601941747572804"/>
    <n v="153.20388349514531"/>
    <n v="51.456310679611697"/>
    <s v="Punjab"/>
  </r>
  <r>
    <n v="8.3163687549545296E+16"/>
    <s v="2024-10-30"/>
    <x v="1"/>
    <x v="0"/>
    <n v="277401"/>
    <n v="7117"/>
    <n v="3"/>
    <n v="112.621359223301"/>
    <n v="4.1067961165048503"/>
    <n v="116.72815533980585"/>
    <n v="33.980582524271803"/>
    <s v="Uttar Pradesh"/>
  </r>
  <r>
    <n v="8.3356460777439392E+16"/>
    <s v="2024-10-31"/>
    <x v="1"/>
    <x v="0"/>
    <n v="560035"/>
    <n v="7117"/>
    <n v="3"/>
    <n v="159.223300970873"/>
    <n v="4.7766990291262097"/>
    <n v="163.9999999999992"/>
    <n v="58.252427184466001"/>
    <s v="Karnataka"/>
  </r>
  <r>
    <n v="7.8522787807015296E+16"/>
    <s v="2024-10-17"/>
    <x v="1"/>
    <x v="1"/>
    <n v="110047"/>
    <n v="711790"/>
    <n v="18"/>
    <n v="107.627118644067"/>
    <n v="20.898305084745701"/>
    <n v="128.52542372881271"/>
    <n v="43.220338983050901"/>
    <s v="Delhi"/>
  </r>
  <r>
    <n v="8.07290256140588E+16"/>
    <s v="2024-10-23"/>
    <x v="1"/>
    <x v="3"/>
    <n v="753001"/>
    <n v="7117"/>
    <n v="3"/>
    <n v="139.80582524271799"/>
    <n v="4.1941747572815498"/>
    <n v="143.99999999999955"/>
    <n v="61.165048543689302"/>
    <s v="Odisha"/>
  </r>
  <r>
    <n v="8.34178239315248E+16"/>
    <s v="2024-10-31"/>
    <x v="1"/>
    <x v="4"/>
    <n v="816115"/>
    <n v="7117"/>
    <n v="3"/>
    <n v="119.417475728155"/>
    <n v="4.1067961165048503"/>
    <n v="123.52427184465985"/>
    <n v="40.776699029126199"/>
    <s v="Jharkhand"/>
  </r>
  <r>
    <n v="8.0281864422281792E+16"/>
    <s v="2024-10-22"/>
    <x v="1"/>
    <x v="1"/>
    <n v="228171"/>
    <n v="7117"/>
    <n v="3"/>
    <n v="156.31067961164999"/>
    <n v="5.0970873786407802"/>
    <n v="161.40776699029078"/>
    <n v="49.514563106796103"/>
    <s v="Uttar Pradesh"/>
  </r>
  <r>
    <n v="8.05450147526536E+16"/>
    <s v="2024-10-23"/>
    <x v="1"/>
    <x v="3"/>
    <n v="141016"/>
    <n v="7117"/>
    <n v="3"/>
    <n v="152.42718446601901"/>
    <n v="4.86407766990291"/>
    <n v="157.29126213592193"/>
    <n v="61.165048543689302"/>
    <s v="Punjab"/>
  </r>
  <r>
    <n v="7.9089400545473296E+16"/>
    <s v="2024-10-19"/>
    <x v="1"/>
    <x v="1"/>
    <n v="276137"/>
    <n v="7117"/>
    <n v="3"/>
    <n v="156.31067961164999"/>
    <n v="5.0970873786407802"/>
    <n v="161.40776699029078"/>
    <n v="49.514563106796103"/>
    <s v="Uttar Pradesh"/>
  </r>
  <r>
    <n v="8.3233691985241696E+16"/>
    <s v="2024-10-30"/>
    <x v="1"/>
    <x v="0"/>
    <n v="493228"/>
    <n v="7117"/>
    <n v="3"/>
    <n v="136.893203883495"/>
    <n v="4.1067961165048503"/>
    <n v="140.99999999999986"/>
    <n v="58.252427184466001"/>
    <s v="Chhattisgarh"/>
  </r>
  <r>
    <n v="8.1006221801958208E+16"/>
    <s v="2024-10-24"/>
    <x v="1"/>
    <x v="2"/>
    <n v="333001"/>
    <n v="7117"/>
    <n v="3"/>
    <n v="152.42718446601901"/>
    <n v="4.7766990291262097"/>
    <n v="157.20388349514522"/>
    <n v="51.456310679611697"/>
    <s v="Rajasthan"/>
  </r>
  <r>
    <n v="8.2650724307816992E+16"/>
    <s v="2024-10-29"/>
    <x v="1"/>
    <x v="0"/>
    <n v="843146"/>
    <n v="7117"/>
    <n v="3"/>
    <n v="140.77669902912601"/>
    <n v="4.2233009708737903"/>
    <n v="144.9999999999998"/>
    <n v="59.223300970873801"/>
    <s v="Bihar"/>
  </r>
  <r>
    <n v="7.9900868325659296E+16"/>
    <s v="2024-10-21"/>
    <x v="1"/>
    <x v="3"/>
    <n v="846009"/>
    <n v="7117"/>
    <n v="3"/>
    <n v="162.135922330097"/>
    <n v="4.86407766990291"/>
    <n v="166.99999999999991"/>
    <n v="61.165048543689302"/>
    <s v="Bihar"/>
  </r>
  <r>
    <n v="8.3025933582871392E+16"/>
    <s v="2024-10-30"/>
    <x v="1"/>
    <x v="0"/>
    <n v="243632"/>
    <n v="7117"/>
    <n v="3"/>
    <n v="127.184466019417"/>
    <n v="4.1067961165048503"/>
    <n v="131.29126213592184"/>
    <n v="48.543689320388303"/>
    <s v="Uttar Pradesh"/>
  </r>
  <r>
    <n v="8.0315206605722208E+16"/>
    <s v="2024-10-22"/>
    <x v="1"/>
    <x v="1"/>
    <n v="144514"/>
    <n v="7117"/>
    <n v="3"/>
    <n v="162.135922330097"/>
    <n v="5.0970873786407802"/>
    <n v="167.2330097087378"/>
    <n v="55.339805825242699"/>
    <s v="Punjab"/>
  </r>
  <r>
    <n v="8.32208986072352E+16"/>
    <s v="2024-10-30"/>
    <x v="1"/>
    <x v="3"/>
    <n v="151001"/>
    <n v="7117"/>
    <n v="3"/>
    <n v="152.42718446601901"/>
    <n v="4.86407766990291"/>
    <n v="157.29126213592193"/>
    <n v="49.514563106796103"/>
    <s v="Punjab"/>
  </r>
  <r>
    <n v="8.0755929055749792E+16"/>
    <s v="2024-10-24"/>
    <x v="1"/>
    <x v="3"/>
    <n v="175012"/>
    <n v="7117"/>
    <n v="3"/>
    <n v="149.514563106796"/>
    <n v="4.7766990291262097"/>
    <n v="154.29126213592221"/>
    <n v="48.543689320388303"/>
    <s v="Himachal Pradesh"/>
  </r>
  <r>
    <n v="8.1770256284185408E+16"/>
    <s v="2024-10-26"/>
    <x v="1"/>
    <x v="1"/>
    <n v="285203"/>
    <n v="7117"/>
    <n v="3"/>
    <n v="152.42718446601901"/>
    <n v="4.86407766990291"/>
    <n v="157.29126213592193"/>
    <n v="49.514563106796103"/>
    <s v="Uttar Pradesh"/>
  </r>
  <r>
    <n v="8.3238848961325904E+16"/>
    <s v="2024-10-30"/>
    <x v="1"/>
    <x v="3"/>
    <n v="271855"/>
    <n v="7117"/>
    <n v="3"/>
    <n v="149.514563106796"/>
    <n v="4.7766990291262097"/>
    <n v="154.29126213592221"/>
    <n v="58.252427184466001"/>
    <s v="Uttar Pradesh"/>
  </r>
  <r>
    <n v="8.3203318999908496E+16"/>
    <s v="2024-10-30"/>
    <x v="1"/>
    <x v="0"/>
    <n v="413503"/>
    <n v="7117"/>
    <n v="3"/>
    <n v="273.78640776699001"/>
    <n v="8.2135922330097095"/>
    <n v="281.99999999999972"/>
    <n v="116.504854368932"/>
    <s v="Maharashtra"/>
  </r>
  <r>
    <n v="8.0578271516437296E+16"/>
    <s v="2024-10-23"/>
    <x v="1"/>
    <x v="3"/>
    <n v="444704"/>
    <n v="7117"/>
    <n v="3"/>
    <n v="119.417475728155"/>
    <n v="4.1941747572815498"/>
    <n v="123.61165048543654"/>
    <n v="61.165048543689302"/>
    <s v="Maharashtra"/>
  </r>
  <r>
    <n v="8.3029429693698592E+16"/>
    <s v="2024-10-30"/>
    <x v="1"/>
    <x v="4"/>
    <n v="825324"/>
    <n v="7117"/>
    <n v="3"/>
    <n v="136.893203883495"/>
    <n v="4.1067961165048503"/>
    <n v="140.99999999999986"/>
    <n v="58.252427184466001"/>
    <s v="Jharkhand"/>
  </r>
  <r>
    <n v="7.947621713418E+16"/>
    <s v="2024-10-20"/>
    <x v="1"/>
    <x v="0"/>
    <n v="185121"/>
    <n v="7117"/>
    <n v="3"/>
    <n v="169.90291262135901"/>
    <n v="5.0970873786407802"/>
    <n v="174.9999999999998"/>
    <n v="63.106796116504903"/>
    <s v="Jammu &amp; Kashmir"/>
  </r>
  <r>
    <n v="8.1426722788611296E+16"/>
    <s v="2024-10-25"/>
    <x v="1"/>
    <x v="3"/>
    <n v="626117"/>
    <n v="7117"/>
    <n v="3"/>
    <n v="133.009708737864"/>
    <n v="3.9902912621359201"/>
    <n v="136.99999999999991"/>
    <n v="59.223300970873801"/>
    <s v="Tamilnadu"/>
  </r>
  <r>
    <n v="8.1369452646224496E+16"/>
    <s v="2024-10-25"/>
    <x v="1"/>
    <x v="0"/>
    <n v="848114"/>
    <n v="7117"/>
    <n v="3"/>
    <n v="159.223300970873"/>
    <n v="4.7766990291262097"/>
    <n v="163.9999999999992"/>
    <n v="59.223300970873801"/>
    <s v="Bihar"/>
  </r>
  <r>
    <n v="8.3396463329678592E+16"/>
    <s v="2024-10-31"/>
    <x v="1"/>
    <x v="3"/>
    <n v="845106"/>
    <n v="7117"/>
    <n v="3"/>
    <n v="136.893203883495"/>
    <n v="4.1067961165048503"/>
    <n v="140.99999999999986"/>
    <n v="58.252427184466001"/>
    <s v="Bihar"/>
  </r>
  <r>
    <n v="7.90666520349836E+16"/>
    <s v="2024-10-19"/>
    <x v="1"/>
    <x v="3"/>
    <n v="221404"/>
    <n v="7117"/>
    <n v="3"/>
    <n v="156.31067961164999"/>
    <n v="5.0970873786407802"/>
    <n v="161.40776699029078"/>
    <n v="49.514563106796103"/>
    <s v="Uttar Pradesh"/>
  </r>
  <r>
    <n v="8.10495643035036E+16"/>
    <s v="2024-10-24"/>
    <x v="1"/>
    <x v="3"/>
    <n v="226016"/>
    <n v="7117"/>
    <n v="3"/>
    <n v="141.747572815534"/>
    <n v="4.7766990291262097"/>
    <n v="146.52427184466021"/>
    <n v="40.776699029126199"/>
    <s v="Uttar Pradesh"/>
  </r>
  <r>
    <n v="8.3145175903433504E+16"/>
    <s v="2024-10-30"/>
    <x v="1"/>
    <x v="0"/>
    <n v="276123"/>
    <n v="7117"/>
    <n v="3"/>
    <n v="146.601941747572"/>
    <n v="4.6893203883495103"/>
    <n v="151.2912621359215"/>
    <n v="49.514563106796103"/>
    <s v="Uttar Pradesh"/>
  </r>
  <r>
    <n v="8.3133066440742208E+16"/>
    <s v="2024-10-30"/>
    <x v="1"/>
    <x v="4"/>
    <n v="243402"/>
    <n v="7117"/>
    <n v="3"/>
    <n v="149.514563106796"/>
    <n v="4.7766990291262097"/>
    <n v="154.29126213592221"/>
    <n v="48.543689320388303"/>
    <s v="Uttar Pradesh"/>
  </r>
  <r>
    <n v="8.3146830262760192E+16"/>
    <s v="2024-10-30"/>
    <x v="1"/>
    <x v="0"/>
    <n v="201304"/>
    <n v="340600"/>
    <n v="12"/>
    <n v="166.07142857142799"/>
    <n v="22.714285714285701"/>
    <n v="188.78571428571368"/>
    <n v="42.857142857142897"/>
    <s v="Uttar Pradesh"/>
  </r>
  <r>
    <n v="7.4720594741979296E+16"/>
    <s v="2024-10-07"/>
    <x v="1"/>
    <x v="3"/>
    <n v="201013"/>
    <n v="7117"/>
    <n v="18"/>
    <n v="110.169491525423"/>
    <n v="21.355932203389798"/>
    <n v="131.5254237288128"/>
    <n v="43.220338983050901"/>
    <s v="Uttar Pradesh"/>
  </r>
  <r>
    <n v="8.3266623985406496E+16"/>
    <s v="2024-10-31"/>
    <x v="1"/>
    <x v="3"/>
    <n v="110043"/>
    <n v="7117"/>
    <n v="3"/>
    <n v="254.368932038834"/>
    <n v="8.2135922330097095"/>
    <n v="262.58252427184374"/>
    <n v="116.504854368932"/>
    <s v="Delhi"/>
  </r>
  <r>
    <n v="8.17347992661408E+16"/>
    <s v="2024-10-26"/>
    <x v="1"/>
    <x v="0"/>
    <n v="222139"/>
    <n v="7117"/>
    <n v="3"/>
    <n v="131.06796116504799"/>
    <n v="4.2233009708737903"/>
    <n v="135.29126213592178"/>
    <n v="49.514563106796103"/>
    <s v="Uttar Pradesh"/>
  </r>
  <r>
    <n v="8.3481648034735808E+16"/>
    <s v="2024-10-31"/>
    <x v="1"/>
    <x v="0"/>
    <n v="226013"/>
    <n v="7117"/>
    <n v="3"/>
    <n v="140.77669902912601"/>
    <n v="4.7766990291262097"/>
    <n v="145.55339805825221"/>
    <n v="39.805825242718498"/>
    <s v="Uttar Pradesh"/>
  </r>
  <r>
    <n v="7.96142899750956E+16"/>
    <s v="2024-10-20"/>
    <x v="1"/>
    <x v="1"/>
    <n v="491771"/>
    <n v="7117"/>
    <n v="3"/>
    <n v="139.80582524271799"/>
    <n v="4.1941747572815498"/>
    <n v="143.99999999999955"/>
    <n v="61.165048543689302"/>
    <s v="Chhattisgarh"/>
  </r>
  <r>
    <n v="8.1261177914517104E+16"/>
    <s v="2024-10-25"/>
    <x v="1"/>
    <x v="0"/>
    <n v="261506"/>
    <n v="7117"/>
    <n v="3"/>
    <n v="127.184466019417"/>
    <n v="4.1067961165048503"/>
    <n v="131.29126213592184"/>
    <n v="48.543689320388303"/>
    <s v="Uttar Pradesh"/>
  </r>
  <r>
    <n v="8.33671328513276E+16"/>
    <s v="2024-10-31"/>
    <x v="1"/>
    <x v="0"/>
    <n v="122413"/>
    <n v="7117"/>
    <n v="3"/>
    <n v="149.514563106796"/>
    <n v="4.7766990291262097"/>
    <n v="154.29126213592221"/>
    <n v="48.543689320388303"/>
    <s v="Haryana"/>
  </r>
  <r>
    <n v="7.9766175042696E+16"/>
    <s v="2024-10-21"/>
    <x v="1"/>
    <x v="1"/>
    <n v="805106"/>
    <n v="7117"/>
    <n v="3"/>
    <n v="169.90291262135901"/>
    <n v="5.0970873786407802"/>
    <n v="174.9999999999998"/>
    <n v="63.106796116504903"/>
    <s v="Bihar"/>
  </r>
  <r>
    <n v="8.3486406233522304E+16"/>
    <s v="2024-10-31"/>
    <x v="1"/>
    <x v="0"/>
    <n v="800014"/>
    <n v="7117"/>
    <n v="3"/>
    <n v="137.864077669902"/>
    <n v="4.7475728155339798"/>
    <n v="142.61165048543597"/>
    <n v="37.864077669902898"/>
    <s v="Bihar"/>
  </r>
  <r>
    <n v="8.2400035099782E+16"/>
    <s v="2024-10-28"/>
    <x v="1"/>
    <x v="4"/>
    <n v="232327"/>
    <n v="7117"/>
    <n v="3"/>
    <n v="148.54368932038801"/>
    <n v="4.7475728155339798"/>
    <n v="153.29126213592198"/>
    <n v="48.543689320388303"/>
    <s v="Uttar Pradesh"/>
  </r>
  <r>
    <n v="8.0964491072378096E+16"/>
    <s v="2024-10-24"/>
    <x v="1"/>
    <x v="3"/>
    <n v="848101"/>
    <n v="7117"/>
    <n v="3"/>
    <n v="159.223300970873"/>
    <n v="4.7766990291262097"/>
    <n v="163.9999999999992"/>
    <n v="58.252427184466001"/>
    <s v="Bihar"/>
  </r>
  <r>
    <n v="8.1028071192925504E+16"/>
    <s v="2024-10-24"/>
    <x v="1"/>
    <x v="3"/>
    <n v="335001"/>
    <n v="7117"/>
    <n v="3"/>
    <n v="136.893203883495"/>
    <n v="4.7766990291262097"/>
    <n v="141.66990291262121"/>
    <n v="35.922330097087404"/>
    <s v="Rajasthan"/>
  </r>
  <r>
    <n v="8.3364523666969904E+16"/>
    <s v="2024-10-31"/>
    <x v="1"/>
    <x v="4"/>
    <n v="123401"/>
    <n v="7117"/>
    <n v="3"/>
    <n v="152.42718446601901"/>
    <n v="4.7766990291262097"/>
    <n v="157.20388349514522"/>
    <n v="58.252427184466001"/>
    <s v="Haryana"/>
  </r>
  <r>
    <n v="8.1094767567631104E+16"/>
    <s v="2024-10-25"/>
    <x v="1"/>
    <x v="0"/>
    <n v="400607"/>
    <n v="7117"/>
    <n v="3"/>
    <n v="197.087378640776"/>
    <n v="5.9126213592232997"/>
    <n v="202.99999999999929"/>
    <n v="59.223300970873801"/>
    <s v="Maharashtra"/>
  </r>
  <r>
    <n v="8.2109334269427904E+16"/>
    <s v="2024-10-27"/>
    <x v="1"/>
    <x v="4"/>
    <n v="477222"/>
    <n v="7117"/>
    <n v="3"/>
    <n v="162.135922330097"/>
    <n v="4.86407766990291"/>
    <n v="166.99999999999991"/>
    <n v="59.223300970873801"/>
    <s v="Madhya Pradesh"/>
  </r>
  <r>
    <n v="8.2410071900427504E+16"/>
    <s v="2024-10-28"/>
    <x v="1"/>
    <x v="0"/>
    <n v="413102"/>
    <n v="711790"/>
    <n v="3"/>
    <n v="145.631067961165"/>
    <n v="4.3689320388349504"/>
    <n v="149.99999999999994"/>
    <n v="59.223300970873801"/>
    <s v="Maharashtra"/>
  </r>
  <r>
    <n v="7.47449403532208E+16"/>
    <s v="2024-10-07"/>
    <x v="1"/>
    <x v="5"/>
    <n v="509001"/>
    <n v="7117"/>
    <n v="18"/>
    <n v="127.118644067796"/>
    <n v="22.881355932203299"/>
    <n v="149.99999999999929"/>
    <n v="51.694915254237301"/>
    <s v="Telangana"/>
  </r>
  <r>
    <n v="8.1011377145312E+16"/>
    <s v="2024-10-24"/>
    <x v="1"/>
    <x v="5"/>
    <n v="277001"/>
    <n v="7117"/>
    <n v="3"/>
    <n v="134.95145631067899"/>
    <n v="4.7766990291262097"/>
    <n v="139.7281553398052"/>
    <n v="33.980582524271803"/>
    <s v="Uttar Pradesh"/>
  </r>
  <r>
    <n v="8.35116388350624E+16"/>
    <s v="2024-10-31"/>
    <x v="1"/>
    <x v="0"/>
    <n v="509376"/>
    <n v="7117"/>
    <n v="3"/>
    <n v="139.80582524271799"/>
    <n v="4.1941747572815498"/>
    <n v="143.99999999999955"/>
    <n v="58.252427184466001"/>
    <s v="Telangana"/>
  </r>
  <r>
    <n v="8.8210741555500304E+16"/>
    <s v="2024-11-13"/>
    <x v="2"/>
    <x v="1"/>
    <n v="392240"/>
    <n v="7117"/>
    <n v="3"/>
    <n v="151.45631067961099"/>
    <n v="4.5436893203883502"/>
    <n v="155.99999999999935"/>
    <n v="61.165048543689302"/>
    <s v="Gujarat"/>
  </r>
  <r>
    <n v="8.8326188652753696E+16"/>
    <s v="2024-11-13"/>
    <x v="2"/>
    <x v="1"/>
    <n v="226005"/>
    <n v="7117"/>
    <n v="3"/>
    <n v="150.485436893203"/>
    <n v="5.3883495145631102"/>
    <n v="155.87378640776612"/>
    <n v="30.097087378640801"/>
    <s v="Uttar Pradesh"/>
  </r>
  <r>
    <n v="8.8702956916110096E+16"/>
    <s v="2024-11-15"/>
    <x v="2"/>
    <x v="6"/>
    <n v="226002"/>
    <n v="340600"/>
    <n v="12"/>
    <n v="141.96428571428501"/>
    <n v="19.607142857142801"/>
    <n v="161.57142857142782"/>
    <n v="45.535714285714299"/>
    <s v="Uttar Pradesh"/>
  </r>
  <r>
    <n v="8.8285056633285504E+16"/>
    <s v="2024-11-13"/>
    <x v="2"/>
    <x v="3"/>
    <n v="411060"/>
    <n v="340600"/>
    <n v="12"/>
    <n v="132.142857142857"/>
    <n v="17.464285714285701"/>
    <n v="149.60714285714269"/>
    <n v="53.571428571428598"/>
    <s v="Maharashtra"/>
  </r>
  <r>
    <n v="9.1614581887042592E+16"/>
    <s v="2024-11-23"/>
    <x v="2"/>
    <x v="0"/>
    <n v="400043"/>
    <n v="7117"/>
    <n v="3"/>
    <n v="167.96116504854299"/>
    <n v="5.0388349514563098"/>
    <n v="172.99999999999932"/>
    <n v="59.223300970873801"/>
    <s v="Maharashtra"/>
  </r>
  <r>
    <n v="8.6099288442204896E+16"/>
    <s v="2024-11-07"/>
    <x v="2"/>
    <x v="3"/>
    <n v="151207"/>
    <n v="7117"/>
    <n v="3"/>
    <n v="156.31067961164999"/>
    <n v="4.9805825242718402"/>
    <n v="161.29126213592184"/>
    <n v="59.223300970873801"/>
    <s v="Punjab"/>
  </r>
  <r>
    <n v="9.0549275977352096E+16"/>
    <s v="2024-11-20"/>
    <x v="2"/>
    <x v="1"/>
    <n v="411041"/>
    <n v="7117"/>
    <n v="3"/>
    <n v="204.854368932038"/>
    <n v="6.6990291262135901"/>
    <n v="211.55339805825159"/>
    <n v="42.7184466019418"/>
    <s v="Maharashtra"/>
  </r>
  <r>
    <n v="8.74104192281444E+16"/>
    <s v="2024-11-11"/>
    <x v="2"/>
    <x v="1"/>
    <n v="133203"/>
    <n v="340600"/>
    <n v="12"/>
    <n v="138.392857142857"/>
    <n v="19.607142857142801"/>
    <n v="157.9999999999998"/>
    <n v="41.964285714285701"/>
    <s v="Haryana"/>
  </r>
  <r>
    <n v="8.6012439241618208E+16"/>
    <s v="2024-11-07"/>
    <x v="2"/>
    <x v="1"/>
    <n v="483501"/>
    <n v="7117"/>
    <n v="3"/>
    <n v="172.81553398058199"/>
    <n v="5.2427184466019403"/>
    <n v="178.05825242718393"/>
    <n v="57.2815533980583"/>
    <s v="Madhya Pradesh"/>
  </r>
  <r>
    <n v="8.9434757978384E+16"/>
    <s v="2024-11-17"/>
    <x v="2"/>
    <x v="5"/>
    <n v="500004"/>
    <n v="340600"/>
    <n v="12"/>
    <n v="146.42857142857099"/>
    <n v="19.178571428571399"/>
    <n v="165.60714285714238"/>
    <n v="41.071428571428598"/>
    <s v="Telangana"/>
  </r>
  <r>
    <n v="8.9390518283938592E+16"/>
    <s v="2024-11-16"/>
    <x v="2"/>
    <x v="1"/>
    <n v="473222"/>
    <n v="7117"/>
    <n v="3"/>
    <n v="158.252427184466"/>
    <n v="4.7475728155339798"/>
    <n v="162.99999999999997"/>
    <n v="58.252427184466001"/>
    <s v="Madhya Pradesh"/>
  </r>
  <r>
    <n v="9.25150618778432E+16"/>
    <s v="2024-11-25"/>
    <x v="2"/>
    <x v="0"/>
    <n v="224190"/>
    <n v="7117"/>
    <n v="3"/>
    <n v="147.57281553397999"/>
    <n v="4.7184466019417499"/>
    <n v="152.29126213592173"/>
    <n v="47.572815533980602"/>
    <s v="Uttar Pradesh"/>
  </r>
  <r>
    <n v="8.7503533452227296E+16"/>
    <s v="2024-11-11"/>
    <x v="2"/>
    <x v="1"/>
    <n v="562159"/>
    <n v="7117"/>
    <n v="3"/>
    <n v="139.80582524271799"/>
    <n v="4.1941747572815498"/>
    <n v="143.99999999999955"/>
    <n v="58.252427184466001"/>
    <s v="Karnataka"/>
  </r>
  <r>
    <n v="9.0034596130464992E+16"/>
    <s v="2024-11-18"/>
    <x v="2"/>
    <x v="1"/>
    <n v="824211"/>
    <n v="7117"/>
    <n v="3"/>
    <n v="132.03883495145601"/>
    <n v="5.0388349514563098"/>
    <n v="137.07766990291233"/>
    <n v="23.300970873786401"/>
    <s v="Bihar"/>
  </r>
  <r>
    <n v="8.7150720868554E+16"/>
    <s v="2024-11-10"/>
    <x v="2"/>
    <x v="5"/>
    <n v="273158"/>
    <n v="7117"/>
    <n v="3"/>
    <n v="133.980582524271"/>
    <n v="4.7475728155339798"/>
    <n v="138.72815533980497"/>
    <n v="33.980582524271803"/>
    <s v="Uttar Pradesh"/>
  </r>
  <r>
    <n v="8.60387456162136E+16"/>
    <s v="2024-11-07"/>
    <x v="2"/>
    <x v="6"/>
    <n v="223226"/>
    <n v="7117"/>
    <n v="3"/>
    <n v="156.31067961164999"/>
    <n v="5.4174757281553401"/>
    <n v="161.72815533980534"/>
    <n v="34.951456310679603"/>
    <s v="Uttar Pradesh"/>
  </r>
  <r>
    <n v="9.0476957670185904E+16"/>
    <s v="2024-11-19"/>
    <x v="2"/>
    <x v="3"/>
    <n v="208013"/>
    <n v="7117"/>
    <n v="3"/>
    <n v="113.592233009708"/>
    <n v="4.13592233009709"/>
    <n v="117.72815533980508"/>
    <n v="59.223300970873801"/>
    <s v="Uttar Pradesh"/>
  </r>
  <r>
    <n v="8.7949164478132992E+16"/>
    <s v="2024-11-12"/>
    <x v="2"/>
    <x v="5"/>
    <n v="160022"/>
    <n v="340600"/>
    <n v="12"/>
    <n v="135.71428571428501"/>
    <n v="20.678571428571399"/>
    <n v="156.3928571428564"/>
    <n v="30.3571428571429"/>
    <s v="Chandigarh"/>
  </r>
  <r>
    <n v="9.0728837046633408E+16"/>
    <s v="2024-11-20"/>
    <x v="2"/>
    <x v="3"/>
    <n v="831011"/>
    <n v="7117"/>
    <n v="3"/>
    <n v="158.252427184466"/>
    <n v="4.7475728155339798"/>
    <n v="162.99999999999997"/>
    <n v="58.252427184466001"/>
    <s v="Jharkhand"/>
  </r>
  <r>
    <n v="9.3689485637661504E+16"/>
    <s v="2024-11-28"/>
    <x v="2"/>
    <x v="1"/>
    <n v="301704"/>
    <n v="7117"/>
    <n v="3"/>
    <n v="147.57281553397999"/>
    <n v="4.6310679611650496"/>
    <n v="152.20388349514505"/>
    <n v="50.485436893203897"/>
    <s v="Rajasthan"/>
  </r>
  <r>
    <n v="8.8340256583832096E+16"/>
    <s v="2024-11-14"/>
    <x v="2"/>
    <x v="5"/>
    <n v="400055"/>
    <n v="340600"/>
    <n v="12"/>
    <n v="138.392857142857"/>
    <n v="18.535714285714199"/>
    <n v="156.92857142857119"/>
    <n v="50.892857142857103"/>
    <s v="Maharashtra"/>
  </r>
  <r>
    <n v="8.7481796564603504E+16"/>
    <s v="2024-11-11"/>
    <x v="2"/>
    <x v="1"/>
    <n v="392240"/>
    <n v="7117"/>
    <n v="3"/>
    <n v="151.45631067961099"/>
    <n v="4.5436893203883502"/>
    <n v="155.99999999999935"/>
    <n v="61.165048543689302"/>
    <s v="Gujarat"/>
  </r>
  <r>
    <n v="8.7603039099933296E+16"/>
    <s v="2024-11-11"/>
    <x v="2"/>
    <x v="5"/>
    <n v="585103"/>
    <n v="340600"/>
    <n v="12"/>
    <n v="153.57142857142799"/>
    <n v="20.357142857142801"/>
    <n v="173.92857142857079"/>
    <n v="50.892857142857103"/>
    <s v="Karnataka"/>
  </r>
  <r>
    <n v="8.9060923345087296E+16"/>
    <s v="2024-11-15"/>
    <x v="2"/>
    <x v="1"/>
    <n v="171014"/>
    <n v="340600"/>
    <n v="12"/>
    <n v="163.392857142857"/>
    <n v="21.535714285714199"/>
    <n v="184.92857142857119"/>
    <n v="50.892857142857103"/>
    <s v="Himachal Pradesh"/>
  </r>
  <r>
    <n v="9.4003594564416304E+16"/>
    <s v="2024-11-29"/>
    <x v="2"/>
    <x v="0"/>
    <n v="326034"/>
    <n v="7117"/>
    <n v="3"/>
    <n v="154.368932038834"/>
    <n v="4.8349514563106801"/>
    <n v="159.20388349514468"/>
    <n v="52.427184466019398"/>
    <s v="Rajasthan"/>
  </r>
  <r>
    <n v="8.5718399732929104E+16"/>
    <s v="2024-11-06"/>
    <x v="2"/>
    <x v="1"/>
    <n v="560037"/>
    <n v="340600"/>
    <n v="12"/>
    <n v="163.392857142857"/>
    <n v="21.535714285714199"/>
    <n v="184.92857142857119"/>
    <n v="50.892857142857103"/>
    <s v="Karnataka"/>
  </r>
  <r>
    <n v="9.0320364702040992E+16"/>
    <s v="2024-11-19"/>
    <x v="2"/>
    <x v="5"/>
    <n v="560078"/>
    <n v="340600"/>
    <n v="12"/>
    <n v="147.32142857142799"/>
    <n v="19.285714285714199"/>
    <n v="166.60714285714218"/>
    <n v="40.178571428571402"/>
    <s v="Karnataka"/>
  </r>
  <r>
    <n v="8.9474388311283008E+16"/>
    <s v="2024-11-17"/>
    <x v="2"/>
    <x v="1"/>
    <n v="700006"/>
    <n v="340600"/>
    <n v="12"/>
    <n v="132.142857142857"/>
    <n v="17.464285714285701"/>
    <n v="149.60714285714269"/>
    <n v="40.178571428571402"/>
    <s v="West Bengal"/>
  </r>
  <r>
    <n v="8.4505034389967392E+16"/>
    <s v="2024-11-03"/>
    <x v="2"/>
    <x v="1"/>
    <n v="226016"/>
    <n v="7117"/>
    <n v="3"/>
    <n v="123.300970873786"/>
    <n v="4.2233009708737903"/>
    <n v="127.52427184465979"/>
    <n v="41.747572815533999"/>
    <s v="Uttar Pradesh"/>
  </r>
  <r>
    <n v="8.9745675717956192E+16"/>
    <s v="2024-11-17"/>
    <x v="2"/>
    <x v="1"/>
    <n v="440034"/>
    <n v="340600"/>
    <n v="12"/>
    <n v="163.392857142857"/>
    <n v="19.607142857142801"/>
    <n v="182.9999999999998"/>
    <n v="66.964285714285694"/>
    <s v="Maharashtra"/>
  </r>
  <r>
    <n v="8.9236241979675904E+16"/>
    <s v="2024-11-16"/>
    <x v="2"/>
    <x v="3"/>
    <n v="845401"/>
    <n v="7117"/>
    <n v="3"/>
    <n v="166.01941747572801"/>
    <n v="5.0388349514563098"/>
    <n v="171.05825242718433"/>
    <n v="59.223300970873801"/>
    <s v="Bihar"/>
  </r>
  <r>
    <n v="8.4371889560736304E+16"/>
    <s v="2024-11-03"/>
    <x v="2"/>
    <x v="1"/>
    <n v="121002"/>
    <n v="7117"/>
    <n v="3"/>
    <n v="137.864077669902"/>
    <n v="4.8058252427184502"/>
    <n v="142.66990291262044"/>
    <n v="36.893203883495197"/>
    <s v="Haryana"/>
  </r>
  <r>
    <n v="8.6810940902353696E+16"/>
    <s v="2024-11-09"/>
    <x v="2"/>
    <x v="1"/>
    <n v="801109"/>
    <n v="7117"/>
    <n v="3"/>
    <n v="155.339805825242"/>
    <n v="4.7475728155339798"/>
    <n v="160.08737864077597"/>
    <n v="55.339805825242699"/>
    <s v="Bihar"/>
  </r>
  <r>
    <n v="8.9010898363999904E+16"/>
    <s v="2024-11-15"/>
    <x v="2"/>
    <x v="3"/>
    <n v="274702"/>
    <n v="7117"/>
    <n v="3"/>
    <n v="150.485436893203"/>
    <n v="4.8058252427184502"/>
    <n v="155.29126213592144"/>
    <n v="49.514563106796103"/>
    <s v="Uttar Pradesh"/>
  </r>
  <r>
    <n v="8.8894248221135392E+16"/>
    <s v="2024-11-15"/>
    <x v="2"/>
    <x v="3"/>
    <n v="208021"/>
    <n v="7117"/>
    <n v="3"/>
    <n v="148.54368932038801"/>
    <n v="4.7475728155339798"/>
    <n v="153.29126213592198"/>
    <n v="58.252427184466001"/>
    <s v="Uttar Pradesh"/>
  </r>
  <r>
    <n v="9.2256919742088E+16"/>
    <s v="2024-11-24"/>
    <x v="2"/>
    <x v="3"/>
    <n v="517501"/>
    <n v="7117"/>
    <n v="3"/>
    <n v="124.27184466019401"/>
    <n v="4.1650485436893199"/>
    <n v="128.43689320388333"/>
    <n v="42.7184466019418"/>
    <s v="Andhra Pradesh"/>
  </r>
  <r>
    <n v="9.0633607198677904E+16"/>
    <s v="2024-11-20"/>
    <x v="2"/>
    <x v="2"/>
    <n v="500011"/>
    <n v="7117"/>
    <n v="3"/>
    <n v="161.16504854368901"/>
    <n v="4.8349514563106801"/>
    <n v="165.99999999999969"/>
    <n v="60.194174757281601"/>
    <s v="Telangana"/>
  </r>
  <r>
    <n v="8.90129478626148E+16"/>
    <s v="2024-11-15"/>
    <x v="2"/>
    <x v="1"/>
    <n v="641654"/>
    <n v="7117"/>
    <n v="3"/>
    <n v="161.16504854368901"/>
    <n v="4.8349514563106801"/>
    <n v="165.99999999999969"/>
    <n v="59.223300970873801"/>
    <s v="Tamil Nadu"/>
  </r>
  <r>
    <n v="8.6718111627077296E+16"/>
    <s v="2024-11-09"/>
    <x v="2"/>
    <x v="1"/>
    <n v="201009"/>
    <n v="7117"/>
    <n v="3"/>
    <n v="159.223300970873"/>
    <n v="5.0679611650485397"/>
    <n v="164.29126213592153"/>
    <n v="48.543689320388303"/>
    <s v="Uttar Pradesh"/>
  </r>
  <r>
    <n v="8.88911766325932E+16"/>
    <s v="2024-11-15"/>
    <x v="2"/>
    <x v="3"/>
    <n v="143507"/>
    <n v="340600"/>
    <n v="12"/>
    <n v="161.60714285714201"/>
    <n v="20.357142857142801"/>
    <n v="181.96428571428481"/>
    <n v="66.964285714285694"/>
    <s v="Punjab"/>
  </r>
  <r>
    <n v="8.6759625378165504E+16"/>
    <s v="2024-11-09"/>
    <x v="2"/>
    <x v="2"/>
    <n v="843313"/>
    <n v="7117"/>
    <n v="3"/>
    <n v="158.252427184466"/>
    <n v="4.7475728155339798"/>
    <n v="162.99999999999997"/>
    <n v="58.252427184466001"/>
    <s v="Bihar"/>
  </r>
  <r>
    <n v="8.8576583222132896E+16"/>
    <s v="2024-11-14"/>
    <x v="2"/>
    <x v="1"/>
    <n v="302013"/>
    <n v="7117"/>
    <n v="3"/>
    <n v="87.378640776699001"/>
    <n v="3.4077669902912602"/>
    <n v="90.786407766990266"/>
    <n v="38.834951456310698"/>
    <s v="Rajasthan"/>
  </r>
  <r>
    <n v="9.0483273047704608E+16"/>
    <s v="2024-11-19"/>
    <x v="2"/>
    <x v="1"/>
    <n v="421204"/>
    <n v="340600"/>
    <n v="12"/>
    <n v="196.42857142857099"/>
    <n v="23.571428571428498"/>
    <n v="219.99999999999949"/>
    <n v="66.964285714285694"/>
    <s v="Maharashtra"/>
  </r>
  <r>
    <n v="8.8959694748242496E+16"/>
    <s v="2024-11-15"/>
    <x v="2"/>
    <x v="5"/>
    <n v="110092"/>
    <n v="340600"/>
    <n v="12"/>
    <n v="127.678571428571"/>
    <n v="17.464285714285701"/>
    <n v="145.14285714285671"/>
    <n v="35.714285714285701"/>
    <s v="Delhi"/>
  </r>
  <r>
    <n v="8.8301234395512992E+16"/>
    <s v="2024-11-13"/>
    <x v="2"/>
    <x v="1"/>
    <n v="700066"/>
    <n v="7117"/>
    <n v="3"/>
    <n v="156.31067961164999"/>
    <n v="4.6893203883495103"/>
    <n v="160.99999999999949"/>
    <n v="59.223300970873801"/>
    <s v="West Bengal"/>
  </r>
  <r>
    <n v="9.0379456057318304E+16"/>
    <s v="2024-11-19"/>
    <x v="2"/>
    <x v="1"/>
    <n v="271123"/>
    <n v="7117"/>
    <n v="3"/>
    <n v="139.80582524271799"/>
    <n v="4.4854368932038797"/>
    <n v="144.29126213592187"/>
    <n v="49.514563106796103"/>
    <s v="Uttar Pradesh"/>
  </r>
  <r>
    <n v="8.67824349182572E+16"/>
    <s v="2024-11-09"/>
    <x v="2"/>
    <x v="2"/>
    <n v="247129"/>
    <n v="7117"/>
    <n v="3"/>
    <n v="150.485436893203"/>
    <n v="4.8058252427184502"/>
    <n v="155.29126213592144"/>
    <n v="49.514563106796103"/>
    <s v="Uttar Pradesh"/>
  </r>
  <r>
    <n v="8.9070827820690304E+16"/>
    <s v="2024-11-16"/>
    <x v="2"/>
    <x v="1"/>
    <n v="211003"/>
    <n v="340600"/>
    <n v="12"/>
    <n v="152.67857142857099"/>
    <n v="19.607142857142801"/>
    <n v="172.28571428571379"/>
    <n v="56.25"/>
    <s v="Uttar Pradesh"/>
  </r>
  <r>
    <n v="9.0798776956781408E+16"/>
    <s v="2024-11-20"/>
    <x v="2"/>
    <x v="1"/>
    <n v="176092"/>
    <n v="7117"/>
    <n v="3"/>
    <n v="148.54368932038801"/>
    <n v="4.7475728155339798"/>
    <n v="153.29126213592198"/>
    <n v="48.543689320388303"/>
    <s v="Himachal Pradesh"/>
  </r>
  <r>
    <n v="8.68140689097688E+16"/>
    <s v="2024-11-09"/>
    <x v="2"/>
    <x v="1"/>
    <n v="457222"/>
    <n v="7117"/>
    <n v="3"/>
    <n v="160.19417475728099"/>
    <n v="4.8058252427184502"/>
    <n v="164.99999999999943"/>
    <n v="59.223300970873801"/>
    <s v="Madhya Pradesh"/>
  </r>
  <r>
    <n v="9.1550182575735808E+16"/>
    <s v="2024-11-22"/>
    <x v="2"/>
    <x v="6"/>
    <n v="223226"/>
    <n v="7117"/>
    <n v="3"/>
    <n v="125.242718446601"/>
    <n v="4.5145631067961203"/>
    <n v="129.75728155339712"/>
    <n v="33.009708737864102"/>
    <s v="Uttar Pradesh"/>
  </r>
  <r>
    <n v="8.68401359680636E+16"/>
    <s v="2024-11-09"/>
    <x v="2"/>
    <x v="1"/>
    <n v="400066"/>
    <n v="340600"/>
    <n v="12"/>
    <n v="138.392857142857"/>
    <n v="18.535714285714199"/>
    <n v="156.92857142857119"/>
    <n v="50.892857142857103"/>
    <s v="Maharashtra"/>
  </r>
  <r>
    <n v="8.7903642174288704E+16"/>
    <s v="2024-11-12"/>
    <x v="2"/>
    <x v="1"/>
    <n v="800016"/>
    <n v="340600"/>
    <n v="12"/>
    <n v="159.82142857142799"/>
    <n v="21.857142857142801"/>
    <n v="181.67857142857079"/>
    <n v="47.321428571428598"/>
    <s v="Bihar"/>
  </r>
  <r>
    <n v="8.6900428800979696E+16"/>
    <s v="2024-11-10"/>
    <x v="2"/>
    <x v="6"/>
    <n v="560087"/>
    <n v="340600"/>
    <n v="12"/>
    <n v="147.32142857142799"/>
    <n v="19.607142857142801"/>
    <n v="166.92857142857079"/>
    <n v="50.892857142857103"/>
    <s v="Karnataka"/>
  </r>
  <r>
    <n v="9.31567826211016E+16"/>
    <s v="2024-11-27"/>
    <x v="2"/>
    <x v="0"/>
    <n v="400066"/>
    <n v="7117"/>
    <n v="3"/>
    <n v="169.90291262135901"/>
    <n v="5.0970873786407802"/>
    <n v="174.9999999999998"/>
    <n v="58.252427184466001"/>
    <s v="Maharashtra"/>
  </r>
  <r>
    <n v="8.93590429939468E+16"/>
    <s v="2024-11-16"/>
    <x v="2"/>
    <x v="2"/>
    <n v="585104"/>
    <n v="340600"/>
    <n v="12"/>
    <n v="179.46428571428501"/>
    <n v="21.535714285714199"/>
    <n v="200.9999999999992"/>
    <n v="66.964285714285694"/>
    <s v="Karnataka"/>
  </r>
  <r>
    <n v="9.0501349646148896E+16"/>
    <s v="2024-11-19"/>
    <x v="2"/>
    <x v="1"/>
    <n v="400053"/>
    <n v="7117"/>
    <n v="3"/>
    <n v="142.718446601941"/>
    <n v="4.8058252427184502"/>
    <n v="147.52427184465944"/>
    <n v="41.747572815533999"/>
    <s v="Maharashtra"/>
  </r>
  <r>
    <n v="8.6169067086026E+16"/>
    <s v="2024-11-08"/>
    <x v="2"/>
    <x v="1"/>
    <n v="781026"/>
    <n v="340600"/>
    <n v="12"/>
    <n v="162.5"/>
    <n v="23.25"/>
    <n v="185.75"/>
    <n v="66.071428571428598"/>
    <s v="Assam"/>
  </r>
  <r>
    <n v="9.0497972085490592E+16"/>
    <s v="2024-11-19"/>
    <x v="2"/>
    <x v="2"/>
    <n v="110030"/>
    <n v="7117"/>
    <n v="3"/>
    <n v="150.485436893203"/>
    <n v="4.8058252427184502"/>
    <n v="155.29126213592144"/>
    <n v="49.514563106796103"/>
    <s v="Delhi"/>
  </r>
  <r>
    <n v="9.14697843235952E+16"/>
    <s v="2024-11-22"/>
    <x v="2"/>
    <x v="1"/>
    <n v="274702"/>
    <n v="7117"/>
    <n v="3"/>
    <n v="150.485436893203"/>
    <n v="4.8058252427184502"/>
    <n v="155.29126213592144"/>
    <n v="49.514563106796103"/>
    <s v="Uttar Pradesh"/>
  </r>
  <r>
    <n v="8.6706459009807104E+16"/>
    <s v="2024-11-09"/>
    <x v="2"/>
    <x v="3"/>
    <n v="160101"/>
    <n v="7117"/>
    <n v="3"/>
    <n v="130.09708737864"/>
    <n v="4.1941747572815498"/>
    <n v="134.29126213592156"/>
    <n v="58.252427184466001"/>
    <s v="Chandigarh"/>
  </r>
  <r>
    <n v="8.4353848744837296E+16"/>
    <s v="2024-11-03"/>
    <x v="2"/>
    <x v="2"/>
    <n v="302025"/>
    <n v="711790"/>
    <n v="3"/>
    <n v="100.970873786407"/>
    <n v="3.7281553398058298"/>
    <n v="104.69902912621282"/>
    <n v="35.922330097087404"/>
    <s v="Rajasthan"/>
  </r>
  <r>
    <n v="8.67601143142744E+16"/>
    <s v="2024-11-09"/>
    <x v="2"/>
    <x v="1"/>
    <n v="841402"/>
    <n v="7117"/>
    <n v="3"/>
    <n v="155.339805825242"/>
    <n v="4.7475728155339798"/>
    <n v="160.08737864077597"/>
    <n v="55.339805825242699"/>
    <s v="Bihar"/>
  </r>
  <r>
    <n v="8.9634719507084E+16"/>
    <s v="2024-11-17"/>
    <x v="2"/>
    <x v="1"/>
    <n v="562123"/>
    <n v="7117"/>
    <n v="3"/>
    <n v="86.407766990291293"/>
    <n v="3.1456310679611699"/>
    <n v="89.553398058252469"/>
    <n v="41.747572815533999"/>
    <s v="Karnataka"/>
  </r>
  <r>
    <n v="8.56282243914904E+16"/>
    <s v="2024-11-06"/>
    <x v="2"/>
    <x v="1"/>
    <n v="121008"/>
    <n v="340600"/>
    <n v="12"/>
    <n v="135.71428571428501"/>
    <n v="19.071428571428498"/>
    <n v="154.78571428571351"/>
    <n v="43.75"/>
    <s v="Haryana"/>
  </r>
  <r>
    <n v="9.3613313297937296E+16"/>
    <s v="2024-11-28"/>
    <x v="2"/>
    <x v="1"/>
    <n v="474010"/>
    <n v="7117"/>
    <n v="3"/>
    <n v="162.135922330097"/>
    <n v="4.86407766990291"/>
    <n v="166.99999999999991"/>
    <n v="59.223300970873801"/>
    <s v="Madhya Pradesh"/>
  </r>
  <r>
    <n v="8.9437710890008704E+16"/>
    <s v="2024-11-17"/>
    <x v="2"/>
    <x v="3"/>
    <n v="402103"/>
    <n v="7117"/>
    <n v="3"/>
    <n v="158.252427184466"/>
    <n v="4.7475728155339798"/>
    <n v="162.99999999999997"/>
    <n v="58.252427184466001"/>
    <s v="Maharashtra"/>
  </r>
  <r>
    <n v="9.2908734242393696E+16"/>
    <s v="2024-11-26"/>
    <x v="2"/>
    <x v="1"/>
    <n v="575007"/>
    <n v="7117"/>
    <n v="3"/>
    <n v="142.718446601941"/>
    <n v="4.8058252427184502"/>
    <n v="147.52427184465944"/>
    <n v="39.805825242718498"/>
    <s v="Karnataka"/>
  </r>
  <r>
    <n v="8.5182286928794208E+16"/>
    <s v="2024-11-05"/>
    <x v="2"/>
    <x v="2"/>
    <n v="844112"/>
    <n v="7117"/>
    <n v="3"/>
    <n v="174.757281553398"/>
    <n v="5.2427184466019403"/>
    <n v="179.99999999999994"/>
    <n v="59.223300970873801"/>
    <s v="Bihar"/>
  </r>
  <r>
    <n v="8.3985322282775296E+16"/>
    <s v="2024-11-01"/>
    <x v="2"/>
    <x v="3"/>
    <n v="402103"/>
    <n v="7117"/>
    <n v="3"/>
    <n v="158.252427184466"/>
    <n v="4.7475728155339798"/>
    <n v="162.99999999999997"/>
    <n v="58.252427184466001"/>
    <s v="Maharashtra"/>
  </r>
  <r>
    <n v="8.3770626091504192E+16"/>
    <s v="2024-11-01"/>
    <x v="2"/>
    <x v="1"/>
    <n v="560032"/>
    <n v="7117"/>
    <n v="3"/>
    <n v="160.19417475728099"/>
    <n v="4.8058252427184502"/>
    <n v="164.99999999999943"/>
    <n v="59.223300970873801"/>
    <s v="Karnataka"/>
  </r>
  <r>
    <n v="8.5718399732929104E+16"/>
    <s v="2024-11-06"/>
    <x v="2"/>
    <x v="1"/>
    <n v="560037"/>
    <n v="340600"/>
    <n v="12"/>
    <n v="156.25"/>
    <n v="20.678571428571399"/>
    <n v="176.92857142857139"/>
    <n v="50.892857142857103"/>
    <s v="Karnataka"/>
  </r>
  <r>
    <n v="8.6334952477524096E+16"/>
    <s v="2024-11-08"/>
    <x v="2"/>
    <x v="1"/>
    <n v="151204"/>
    <n v="7117"/>
    <n v="3"/>
    <n v="165.04854368932001"/>
    <n v="5.2427184466019403"/>
    <n v="170.29126213592195"/>
    <n v="49.514563106796103"/>
    <s v="Punjab"/>
  </r>
  <r>
    <n v="9.3757092235523008E+16"/>
    <s v="2024-11-28"/>
    <x v="2"/>
    <x v="0"/>
    <n v="227806"/>
    <n v="7117"/>
    <n v="3"/>
    <n v="153.39805825242701"/>
    <n v="5.1262135922330101"/>
    <n v="158.52427184466001"/>
    <n v="41.747572815533999"/>
    <s v="Uttar Pradesh"/>
  </r>
  <r>
    <n v="9.1507482656644E+16"/>
    <s v="2024-11-22"/>
    <x v="2"/>
    <x v="1"/>
    <n v="396424"/>
    <n v="7117"/>
    <n v="3"/>
    <n v="167.96116504854299"/>
    <n v="5.0388349514563098"/>
    <n v="172.99999999999932"/>
    <n v="59.223300970873801"/>
    <s v="Gujarat"/>
  </r>
  <r>
    <n v="8.6698852085855008E+16"/>
    <s v="2024-11-09"/>
    <x v="2"/>
    <x v="3"/>
    <n v="402103"/>
    <n v="7117"/>
    <n v="3"/>
    <n v="158.252427184466"/>
    <n v="4.7475728155339798"/>
    <n v="162.99999999999997"/>
    <n v="58.252427184466001"/>
    <s v="Maharashtra"/>
  </r>
  <r>
    <n v="9.4090755095606208E+16"/>
    <s v="2024-11-29"/>
    <x v="2"/>
    <x v="3"/>
    <n v="829117"/>
    <n v="7117"/>
    <n v="3"/>
    <n v="161.16504854368901"/>
    <n v="4.8349514563106801"/>
    <n v="165.99999999999969"/>
    <n v="58.252427184466001"/>
    <s v="Jharkhand"/>
  </r>
  <r>
    <n v="8.9126041554660192E+16"/>
    <s v="2024-11-16"/>
    <x v="2"/>
    <x v="5"/>
    <n v="221010"/>
    <n v="7117"/>
    <n v="3"/>
    <n v="150.485436893203"/>
    <n v="4.8058252427184502"/>
    <n v="155.29126213592144"/>
    <n v="49.514563106796103"/>
    <s v="Uttar Pradesh"/>
  </r>
  <r>
    <n v="8.6756588597679392E+16"/>
    <s v="2024-11-09"/>
    <x v="2"/>
    <x v="3"/>
    <n v="431203"/>
    <n v="7117"/>
    <n v="3"/>
    <n v="158.252427184466"/>
    <n v="4.7475728155339798"/>
    <n v="162.99999999999997"/>
    <n v="58.252427184466001"/>
    <s v="Maharashtra"/>
  </r>
  <r>
    <n v="8.50164898246048E+16"/>
    <s v="2024-11-04"/>
    <x v="2"/>
    <x v="1"/>
    <n v="110091"/>
    <n v="7117"/>
    <n v="3"/>
    <n v="128.15533980582501"/>
    <n v="4.13592233009709"/>
    <n v="132.2912621359221"/>
    <n v="49.514563106796103"/>
    <s v="Delhi"/>
  </r>
  <r>
    <n v="9.2781445912654704E+16"/>
    <s v="2024-11-26"/>
    <x v="2"/>
    <x v="2"/>
    <n v="221306"/>
    <n v="7117"/>
    <n v="3"/>
    <n v="158.252427184466"/>
    <n v="5.0388349514563098"/>
    <n v="163.29126213592232"/>
    <n v="49.514563106796103"/>
    <s v="Uttar Pradesh"/>
  </r>
  <r>
    <n v="9.3576035716494208E+16"/>
    <s v="2024-11-28"/>
    <x v="2"/>
    <x v="1"/>
    <n v="474010"/>
    <n v="7117"/>
    <n v="3"/>
    <n v="162.135922330097"/>
    <n v="4.86407766990291"/>
    <n v="166.99999999999991"/>
    <n v="59.223300970873801"/>
    <s v="Madhya Pradesh"/>
  </r>
  <r>
    <n v="8.7473244919698704E+16"/>
    <s v="2024-11-11"/>
    <x v="2"/>
    <x v="3"/>
    <n v="587101"/>
    <n v="340600"/>
    <n v="12"/>
    <n v="179.46428571428501"/>
    <n v="21.535714285714199"/>
    <n v="200.9999999999992"/>
    <n v="66.964285714285694"/>
    <s v="Karnataka"/>
  </r>
  <r>
    <n v="8.8661904223513408E+16"/>
    <s v="2024-11-14"/>
    <x v="2"/>
    <x v="1"/>
    <n v="143109"/>
    <n v="340600"/>
    <n v="12"/>
    <n v="161.60714285714201"/>
    <n v="20.357142857142801"/>
    <n v="181.96428571428481"/>
    <n v="58.928571428571402"/>
    <s v="Punjab"/>
  </r>
  <r>
    <n v="8.4682938328427296E+16"/>
    <s v="2024-11-03"/>
    <x v="2"/>
    <x v="5"/>
    <n v="495557"/>
    <n v="7117"/>
    <n v="3"/>
    <n v="240.77669902912601"/>
    <n v="8.2718446601941693"/>
    <n v="249.04854368932018"/>
    <n v="81.553398058252398"/>
    <s v="Chhattisgarh"/>
  </r>
  <r>
    <n v="9.2487542268107696E+16"/>
    <s v="2024-11-25"/>
    <x v="2"/>
    <x v="1"/>
    <n v="211019"/>
    <n v="7117"/>
    <n v="3"/>
    <n v="160.19417475728099"/>
    <n v="5.0970873786407802"/>
    <n v="165.29126213592178"/>
    <n v="48.543689320388303"/>
    <s v="Uttar Pradesh"/>
  </r>
  <r>
    <n v="8.8318998165049904E+16"/>
    <s v="2024-11-13"/>
    <x v="2"/>
    <x v="1"/>
    <n v="844503"/>
    <n v="7117"/>
    <n v="3"/>
    <n v="139.80582524271799"/>
    <n v="4.1941747572815498"/>
    <n v="143.99999999999955"/>
    <n v="58.252427184466001"/>
    <s v="Bihar"/>
  </r>
  <r>
    <n v="9.0660147026494304E+16"/>
    <s v="2024-11-20"/>
    <x v="2"/>
    <x v="3"/>
    <n v="824102"/>
    <n v="7117"/>
    <n v="3"/>
    <n v="141.747572815534"/>
    <n v="4.8058252427184502"/>
    <n v="146.55339805825244"/>
    <n v="40.776699029126199"/>
    <s v="Bihar"/>
  </r>
  <r>
    <n v="8.84834089007724E+16"/>
    <s v="2024-11-14"/>
    <x v="2"/>
    <x v="1"/>
    <n v="243726"/>
    <n v="7117"/>
    <n v="3"/>
    <n v="156.31067961164999"/>
    <n v="4.9805825242718402"/>
    <n v="161.29126213592184"/>
    <n v="49.514563106796103"/>
    <s v="Uttar Pradesh"/>
  </r>
  <r>
    <n v="8.6358213464879904E+16"/>
    <s v="2024-11-08"/>
    <x v="2"/>
    <x v="1"/>
    <n v="210204"/>
    <n v="7117"/>
    <n v="3"/>
    <n v="165.04854368932001"/>
    <n v="5.2427184466019403"/>
    <n v="170.29126213592195"/>
    <n v="49.514563106796103"/>
    <s v="Uttar Pradesh"/>
  </r>
  <r>
    <n v="8.8624324156200192E+16"/>
    <s v="2024-11-14"/>
    <x v="2"/>
    <x v="3"/>
    <n v="185211"/>
    <n v="7117"/>
    <n v="3"/>
    <n v="158.252427184466"/>
    <n v="4.7475728155339798"/>
    <n v="162.99999999999997"/>
    <n v="58.252427184466001"/>
    <s v="Jammu &amp; Kashmir"/>
  </r>
  <r>
    <n v="8.3817417428047104E+16"/>
    <s v="2024-11-01"/>
    <x v="2"/>
    <x v="1"/>
    <n v="791109"/>
    <n v="340600"/>
    <n v="12"/>
    <n v="219.642857142857"/>
    <n v="26.357142857142801"/>
    <n v="245.9999999999998"/>
    <n v="96.428571428571402"/>
    <s v="Arunachal Pradesh"/>
  </r>
  <r>
    <n v="9.3300070548278896E+16"/>
    <s v="2024-11-27"/>
    <x v="2"/>
    <x v="3"/>
    <n v="400068"/>
    <n v="7117"/>
    <n v="3"/>
    <n v="136.893203883495"/>
    <n v="4.6310679611650496"/>
    <n v="141.52427184466006"/>
    <n v="57.2815533980583"/>
    <s v="Maharashtra"/>
  </r>
  <r>
    <n v="8.9664711197070592E+16"/>
    <s v="2024-11-17"/>
    <x v="2"/>
    <x v="1"/>
    <n v="122004"/>
    <n v="340600"/>
    <n v="12"/>
    <n v="126.78571428571399"/>
    <n v="19.607142857142801"/>
    <n v="146.3928571428568"/>
    <n v="30.3571428571429"/>
    <s v="Haryana"/>
  </r>
  <r>
    <n v="8.6421417232426592E+16"/>
    <s v="2024-11-08"/>
    <x v="2"/>
    <x v="1"/>
    <n v="475671"/>
    <n v="7117"/>
    <n v="3"/>
    <n v="155.339805825242"/>
    <n v="4.6601941747572804"/>
    <n v="159.99999999999929"/>
    <n v="58.252427184466001"/>
    <s v="Madhya Pradesh"/>
  </r>
  <r>
    <n v="8.7572441255084192E+16"/>
    <s v="2024-11-11"/>
    <x v="2"/>
    <x v="1"/>
    <n v="688535"/>
    <n v="340600"/>
    <n v="12"/>
    <n v="179.46428571428501"/>
    <n v="21.535714285714199"/>
    <n v="200.9999999999992"/>
    <n v="66.964285714285694"/>
    <s v="Kerala"/>
  </r>
  <r>
    <n v="8.9806364936383296E+16"/>
    <s v="2024-11-18"/>
    <x v="2"/>
    <x v="1"/>
    <n v="110091"/>
    <n v="7117"/>
    <n v="18"/>
    <n v="94.067796610169495"/>
    <n v="20.593220338982999"/>
    <n v="114.6610169491525"/>
    <n v="33.0508474576271"/>
    <s v="Delhi"/>
  </r>
  <r>
    <n v="8.53306949093916E+16"/>
    <s v="2024-11-05"/>
    <x v="2"/>
    <x v="1"/>
    <n v="335001"/>
    <n v="7117"/>
    <n v="3"/>
    <n v="137.864077669902"/>
    <n v="4.8058252427184502"/>
    <n v="142.66990291262044"/>
    <n v="36.893203883495197"/>
    <s v="Rajasthan"/>
  </r>
  <r>
    <n v="8.7155945264256304E+16"/>
    <s v="2024-11-10"/>
    <x v="2"/>
    <x v="1"/>
    <n v="412115"/>
    <n v="7117"/>
    <n v="3"/>
    <n v="166.01941747572801"/>
    <n v="4.9805825242718402"/>
    <n v="170.99999999999986"/>
    <n v="59.223300970873801"/>
    <s v="Maharashtra"/>
  </r>
  <r>
    <n v="8.8246631507394704E+16"/>
    <s v="2024-11-13"/>
    <x v="2"/>
    <x v="1"/>
    <n v="208011"/>
    <n v="340600"/>
    <n v="12"/>
    <n v="154.46428571428501"/>
    <n v="21.535714285714199"/>
    <n v="175.9999999999992"/>
    <n v="41.964285714285701"/>
    <s v="Uttar Pradesh"/>
  </r>
  <r>
    <n v="9.11142292478044E+16"/>
    <s v="2024-11-21"/>
    <x v="2"/>
    <x v="1"/>
    <n v="803116"/>
    <n v="7117"/>
    <n v="3"/>
    <n v="165.04854368932001"/>
    <n v="4.9514563106796103"/>
    <n v="169.99999999999963"/>
    <n v="58.252427184466001"/>
    <s v="Bihar"/>
  </r>
  <r>
    <n v="8.7053253587118896E+16"/>
    <s v="2024-11-10"/>
    <x v="2"/>
    <x v="2"/>
    <n v="486001"/>
    <n v="7117"/>
    <n v="3"/>
    <n v="155.339805825242"/>
    <n v="4.7475728155339798"/>
    <n v="160.08737864077597"/>
    <n v="55.339805825242699"/>
    <s v="Madhya Pradesh"/>
  </r>
  <r>
    <n v="9.4352684262130592E+16"/>
    <s v="2024-11-30"/>
    <x v="2"/>
    <x v="4"/>
    <n v="110042"/>
    <n v="7117"/>
    <n v="3"/>
    <n v="128.15533980582501"/>
    <n v="4.13592233009709"/>
    <n v="132.2912621359221"/>
    <n v="48.543689320388303"/>
    <s v="Delhi"/>
  </r>
  <r>
    <n v="8.9253134354019104E+16"/>
    <s v="2024-11-16"/>
    <x v="2"/>
    <x v="3"/>
    <n v="522101"/>
    <n v="7117"/>
    <n v="3"/>
    <n v="142.718446601941"/>
    <n v="4.8058252427184502"/>
    <n v="147.52427184465944"/>
    <n v="59.223300970873801"/>
    <s v="Andhra Pradesh"/>
  </r>
  <r>
    <n v="8.9399047795736704E+16"/>
    <s v="2024-11-16"/>
    <x v="2"/>
    <x v="2"/>
    <n v="456664"/>
    <n v="7117"/>
    <n v="3"/>
    <n v="158.252427184466"/>
    <n v="4.7475728155339798"/>
    <n v="162.99999999999997"/>
    <n v="58.252427184466001"/>
    <s v="Madhya Pradesh"/>
  </r>
  <r>
    <n v="8.67056258467432E+16"/>
    <s v="2024-11-09"/>
    <x v="2"/>
    <x v="1"/>
    <n v="276121"/>
    <n v="7117"/>
    <n v="3"/>
    <n v="113.592233009708"/>
    <n v="4.13592233009709"/>
    <n v="117.72815533980508"/>
    <n v="34.951456310679603"/>
    <s v="Uttar Pradesh"/>
  </r>
  <r>
    <n v="8.4348433922135296E+16"/>
    <s v="2024-11-02"/>
    <x v="2"/>
    <x v="1"/>
    <n v="110059"/>
    <n v="340600"/>
    <n v="12"/>
    <n v="179.46428571428501"/>
    <n v="24.321428571428498"/>
    <n v="203.78571428571351"/>
    <n v="42.857142857142897"/>
    <s v="Delhi"/>
  </r>
  <r>
    <n v="8.99377780833532E+16"/>
    <s v="2024-11-18"/>
    <x v="2"/>
    <x v="1"/>
    <n v="344031"/>
    <n v="7117"/>
    <n v="3"/>
    <n v="149.514563106796"/>
    <n v="4.6893203883495103"/>
    <n v="154.2038834951455"/>
    <n v="52.427184466019398"/>
    <s v="Rajasthan"/>
  </r>
  <r>
    <n v="8.8575543008171296E+16"/>
    <s v="2024-11-14"/>
    <x v="2"/>
    <x v="1"/>
    <n v="848502"/>
    <n v="7117"/>
    <n v="3"/>
    <n v="149.514563106796"/>
    <n v="4.4854368932038797"/>
    <n v="153.99999999999989"/>
    <n v="59.223300970873801"/>
    <s v="Bihar"/>
  </r>
  <r>
    <n v="8.8340256583832096E+16"/>
    <s v="2024-11-14"/>
    <x v="2"/>
    <x v="5"/>
    <n v="400055"/>
    <n v="340600"/>
    <n v="12"/>
    <n v="145.53571428571399"/>
    <n v="19.071428571428498"/>
    <n v="164.60714285714249"/>
    <n v="40.178571428571402"/>
    <s v="Maharashtra"/>
  </r>
  <r>
    <n v="9.0375782853804896E+16"/>
    <s v="2024-11-19"/>
    <x v="2"/>
    <x v="5"/>
    <n v="184121"/>
    <n v="340600"/>
    <n v="12"/>
    <n v="319.642857142857"/>
    <n v="44.142857142857103"/>
    <n v="363.78571428571411"/>
    <n v="105.35714285714199"/>
    <s v="Jammu &amp; Kashmir"/>
  </r>
  <r>
    <n v="8.9834376300524304E+16"/>
    <s v="2024-11-18"/>
    <x v="2"/>
    <x v="1"/>
    <n v="410210"/>
    <n v="7117"/>
    <n v="3"/>
    <n v="86.407766990291293"/>
    <n v="3.1456310679611699"/>
    <n v="89.553398058252469"/>
    <n v="41.747572815533999"/>
    <s v="Maharashtra"/>
  </r>
  <r>
    <n v="9.1114509565565792E+16"/>
    <s v="2024-11-21"/>
    <x v="2"/>
    <x v="3"/>
    <n v="803116"/>
    <n v="7117"/>
    <n v="3"/>
    <n v="165.04854368932001"/>
    <n v="4.9514563106796103"/>
    <n v="169.99999999999963"/>
    <n v="58.252427184466001"/>
    <s v="Bihar"/>
  </r>
  <r>
    <n v="8.6834580222371504E+16"/>
    <s v="2024-11-09"/>
    <x v="2"/>
    <x v="2"/>
    <n v="791110"/>
    <n v="7117"/>
    <n v="3"/>
    <n v="178.640776699029"/>
    <n v="5.3592233009708696"/>
    <n v="183.99999999999989"/>
    <n v="78.640776699029104"/>
    <s v="Arunachal Pradesh"/>
  </r>
  <r>
    <n v="8.8890575012688704E+16"/>
    <s v="2024-11-15"/>
    <x v="2"/>
    <x v="1"/>
    <n v="752055"/>
    <n v="7117"/>
    <n v="3"/>
    <n v="148.54368932038801"/>
    <n v="4.9805825242718402"/>
    <n v="153.52427184465986"/>
    <n v="41.747572815533999"/>
    <s v="Odisha"/>
  </r>
  <r>
    <n v="8.71024784616292E+16"/>
    <s v="2024-11-10"/>
    <x v="2"/>
    <x v="1"/>
    <n v="751024"/>
    <n v="340600"/>
    <n v="12"/>
    <n v="179.46428571428501"/>
    <n v="21.535714285714199"/>
    <n v="200.9999999999992"/>
    <n v="66.964285714285694"/>
    <s v="Odisha"/>
  </r>
  <r>
    <n v="8.9023742776374E+16"/>
    <s v="2024-11-15"/>
    <x v="2"/>
    <x v="3"/>
    <n v="140603"/>
    <n v="7117"/>
    <n v="3"/>
    <n v="150.485436893203"/>
    <n v="4.8058252427184502"/>
    <n v="155.29126213592144"/>
    <n v="59.223300970873801"/>
    <s v="Punjab"/>
  </r>
  <r>
    <n v="8.9228002497390208E+16"/>
    <s v="2024-11-16"/>
    <x v="2"/>
    <x v="1"/>
    <n v="211006"/>
    <n v="340600"/>
    <n v="12"/>
    <n v="138.392857142857"/>
    <n v="19.071428571428498"/>
    <n v="157.4642857142855"/>
    <n v="33.035714285714299"/>
    <s v="Uttar Pradesh"/>
  </r>
  <r>
    <n v="9.0698834830304496E+16"/>
    <s v="2024-11-20"/>
    <x v="2"/>
    <x v="3"/>
    <n v="751009"/>
    <n v="340600"/>
    <n v="12"/>
    <n v="187.5"/>
    <n v="22.5"/>
    <n v="210"/>
    <n v="66.964285714285694"/>
    <s v="Odisha"/>
  </r>
  <r>
    <n v="9.11405761626448E+16"/>
    <s v="2024-11-21"/>
    <x v="2"/>
    <x v="1"/>
    <n v="560098"/>
    <n v="7117"/>
    <n v="3"/>
    <n v="148.54368932038801"/>
    <n v="4.4563106796116498"/>
    <n v="152.99999999999966"/>
    <n v="58.252427184466001"/>
    <s v="Karnataka"/>
  </r>
  <r>
    <n v="8.9820803000103696E+16"/>
    <s v="2024-11-18"/>
    <x v="2"/>
    <x v="1"/>
    <n v="261135"/>
    <n v="340600"/>
    <n v="12"/>
    <n v="167.85714285714201"/>
    <n v="21.214285714285701"/>
    <n v="189.0714285714277"/>
    <n v="44.642857142857103"/>
    <s v="Uttar Pradesh"/>
  </r>
  <r>
    <n v="8.7495557813102208E+16"/>
    <s v="2024-11-11"/>
    <x v="2"/>
    <x v="3"/>
    <n v="744101"/>
    <n v="340600"/>
    <n v="12"/>
    <n v="162.5"/>
    <n v="23.25"/>
    <n v="185.75"/>
    <n v="66.071428571428598"/>
    <s v="Andaman &amp; Nicobar Islands"/>
  </r>
  <r>
    <n v="8.4222461328982208E+16"/>
    <s v="2024-11-02"/>
    <x v="2"/>
    <x v="2"/>
    <n v="509338"/>
    <n v="7117"/>
    <n v="3"/>
    <n v="160.19417475728099"/>
    <n v="4.8058252427184502"/>
    <n v="164.99999999999943"/>
    <n v="59.223300970873801"/>
    <s v="Telangana"/>
  </r>
  <r>
    <n v="8.8967154468901504E+16"/>
    <s v="2024-11-15"/>
    <x v="2"/>
    <x v="1"/>
    <n v="221712"/>
    <n v="7117"/>
    <n v="3"/>
    <n v="158.252427184466"/>
    <n v="5.0388349514563098"/>
    <n v="163.29126213592232"/>
    <n v="49.514563106796103"/>
    <s v="Uttar Pradesh"/>
  </r>
  <r>
    <n v="8.8689315053299296E+16"/>
    <s v="2024-11-14"/>
    <x v="2"/>
    <x v="2"/>
    <n v="324008"/>
    <n v="340600"/>
    <n v="12"/>
    <n v="150.892857142857"/>
    <n v="19.607142857142801"/>
    <n v="170.4999999999998"/>
    <n v="54.464285714285701"/>
    <s v="Rajasthan"/>
  </r>
  <r>
    <n v="9.1772681091423104E+16"/>
    <s v="2024-11-23"/>
    <x v="2"/>
    <x v="5"/>
    <n v="800010"/>
    <n v="7117"/>
    <n v="3"/>
    <n v="163.106796116504"/>
    <n v="4.9514563106796103"/>
    <n v="168.05825242718362"/>
    <n v="56.3106796116505"/>
    <s v="Bihar"/>
  </r>
  <r>
    <n v="8.9538239175207808E+16"/>
    <s v="2024-11-17"/>
    <x v="2"/>
    <x v="3"/>
    <n v="412312"/>
    <n v="7117"/>
    <n v="3"/>
    <n v="151.45631067961099"/>
    <n v="4.5436893203883502"/>
    <n v="155.99999999999935"/>
    <n v="59.223300970873801"/>
    <s v="Maharashtra"/>
  </r>
  <r>
    <n v="8.75929608919504E+16"/>
    <s v="2024-11-11"/>
    <x v="2"/>
    <x v="1"/>
    <n v="500020"/>
    <n v="7117"/>
    <n v="3"/>
    <n v="145.631067961165"/>
    <n v="4.86407766990291"/>
    <n v="150.49514563106791"/>
    <n v="42.7184466019418"/>
    <s v="Telangana"/>
  </r>
  <r>
    <n v="8.92286999849796E+16"/>
    <s v="2024-11-16"/>
    <x v="2"/>
    <x v="3"/>
    <n v="225403"/>
    <n v="7117"/>
    <n v="3"/>
    <n v="128.15533980582501"/>
    <n v="4.13592233009709"/>
    <n v="132.2912621359221"/>
    <n v="59.223300970873801"/>
    <s v="Uttar Pradesh"/>
  </r>
  <r>
    <n v="8.3792324538331904E+16"/>
    <s v="2024-11-01"/>
    <x v="2"/>
    <x v="1"/>
    <n v="273212"/>
    <n v="7117"/>
    <n v="3"/>
    <n v="150.485436893203"/>
    <n v="4.8058252427184502"/>
    <n v="155.29126213592144"/>
    <n v="49.514563106796103"/>
    <s v="Uttar Pradesh"/>
  </r>
  <r>
    <n v="8.90569689668048E+16"/>
    <s v="2024-11-15"/>
    <x v="2"/>
    <x v="3"/>
    <n v="110043"/>
    <n v="7117"/>
    <n v="3"/>
    <n v="128.15533980582501"/>
    <n v="4.13592233009709"/>
    <n v="132.2912621359221"/>
    <n v="59.223300970873801"/>
    <s v="Delhi"/>
  </r>
  <r>
    <n v="8.6046346247279904E+16"/>
    <s v="2024-11-07"/>
    <x v="2"/>
    <x v="2"/>
    <n v="752038"/>
    <n v="7117"/>
    <n v="3"/>
    <n v="158.252427184466"/>
    <n v="4.7475728155339798"/>
    <n v="162.99999999999997"/>
    <n v="58.252427184466001"/>
    <s v="Odisha"/>
  </r>
  <r>
    <n v="9.1111234992741296E+16"/>
    <s v="2024-11-21"/>
    <x v="2"/>
    <x v="1"/>
    <n v="845401"/>
    <n v="7117"/>
    <n v="3"/>
    <n v="165.04854368932001"/>
    <n v="5.0097087378640799"/>
    <n v="170.0582524271841"/>
    <n v="56.3106796116505"/>
    <s v="Bihar"/>
  </r>
  <r>
    <n v="9.4011951287317408E+16"/>
    <s v="2024-11-29"/>
    <x v="2"/>
    <x v="0"/>
    <n v="110091"/>
    <n v="7117"/>
    <n v="3"/>
    <n v="193.20388349514499"/>
    <n v="6.5825242718446599"/>
    <n v="199.78640776698964"/>
    <n v="37.864077669902898"/>
    <s v="Delhi"/>
  </r>
  <r>
    <n v="8.8689315053299296E+16"/>
    <s v="2024-11-14"/>
    <x v="2"/>
    <x v="2"/>
    <n v="324008"/>
    <n v="340600"/>
    <n v="12"/>
    <n v="140.17857142857099"/>
    <n v="17.464285714285701"/>
    <n v="157.64285714285668"/>
    <n v="48.214285714285701"/>
    <s v="Rajasthan"/>
  </r>
  <r>
    <n v="8.7061694488646896E+16"/>
    <s v="2024-11-10"/>
    <x v="2"/>
    <x v="5"/>
    <n v="700040"/>
    <n v="340600"/>
    <n v="12"/>
    <n v="172.32142857142799"/>
    <n v="20.678571428571399"/>
    <n v="192.99999999999937"/>
    <n v="66.964285714285694"/>
    <s v="West Bengal"/>
  </r>
  <r>
    <n v="8.9639066338470704E+16"/>
    <s v="2024-11-17"/>
    <x v="2"/>
    <x v="1"/>
    <n v="798620"/>
    <n v="340600"/>
    <n v="12"/>
    <n v="163.392857142857"/>
    <n v="19.607142857142801"/>
    <n v="182.9999999999998"/>
    <n v="66.964285714285694"/>
    <s v="Nagaland"/>
  </r>
  <r>
    <n v="9.0690182374366096E+16"/>
    <s v="2024-11-20"/>
    <x v="2"/>
    <x v="1"/>
    <n v="824102"/>
    <n v="7117"/>
    <n v="3"/>
    <n v="135.92233009708701"/>
    <n v="4.13592233009709"/>
    <n v="140.0582524271841"/>
    <n v="57.2815533980583"/>
    <s v="Bihar"/>
  </r>
  <r>
    <n v="9.3233047290023504E+16"/>
    <s v="2024-11-27"/>
    <x v="2"/>
    <x v="1"/>
    <n v="804407"/>
    <n v="7117"/>
    <n v="3"/>
    <n v="169.90291262135901"/>
    <n v="5.0970873786407802"/>
    <n v="174.9999999999998"/>
    <n v="58.252427184466001"/>
    <s v="Bihar"/>
  </r>
  <r>
    <n v="8.75171706295748E+16"/>
    <s v="2024-11-11"/>
    <x v="2"/>
    <x v="2"/>
    <n v="212601"/>
    <n v="7117"/>
    <n v="3"/>
    <n v="165.04854368932001"/>
    <n v="5.2427184466019403"/>
    <n v="170.29126213592195"/>
    <n v="49.514563106796103"/>
    <s v="Uttar Pradesh"/>
  </r>
  <r>
    <n v="8.6756016521183392E+16"/>
    <s v="2024-11-09"/>
    <x v="2"/>
    <x v="1"/>
    <n v="110040"/>
    <n v="7117"/>
    <n v="3"/>
    <n v="150.485436893203"/>
    <n v="4.8058252427184502"/>
    <n v="155.29126213592144"/>
    <n v="49.514563106796103"/>
    <s v="Delhi"/>
  </r>
  <r>
    <n v="9.06631754913884E+16"/>
    <s v="2024-11-20"/>
    <x v="2"/>
    <x v="1"/>
    <n v="223226"/>
    <n v="7117"/>
    <n v="3"/>
    <n v="127.184466019417"/>
    <n v="4.5436893203883502"/>
    <n v="131.72815533980534"/>
    <n v="34.951456310679603"/>
    <s v="Uttar Pradesh"/>
  </r>
  <r>
    <n v="8.8582461495374592E+16"/>
    <s v="2024-11-14"/>
    <x v="2"/>
    <x v="1"/>
    <n v="802312"/>
    <n v="7117"/>
    <n v="3"/>
    <n v="155.339805825242"/>
    <n v="4.7475728155339798"/>
    <n v="160.08737864077597"/>
    <n v="55.339805825242699"/>
    <s v="Bihar"/>
  </r>
  <r>
    <n v="9.0691937850131296E+16"/>
    <s v="2024-11-20"/>
    <x v="2"/>
    <x v="6"/>
    <n v="711106"/>
    <n v="7117"/>
    <n v="3"/>
    <n v="137.864077669902"/>
    <n v="4.13592233009709"/>
    <n v="141.99999999999909"/>
    <n v="59.223300970873801"/>
    <s v="West Bengal"/>
  </r>
  <r>
    <n v="8.9927123490974496E+16"/>
    <s v="2024-11-18"/>
    <x v="2"/>
    <x v="1"/>
    <n v="313027"/>
    <n v="7117"/>
    <n v="18"/>
    <n v="135.593220338983"/>
    <n v="28.220338983050802"/>
    <n v="163.8135593220338"/>
    <n v="32.203389830508499"/>
    <s v="Rajasthan"/>
  </r>
  <r>
    <n v="8.78186791034008E+16"/>
    <s v="2024-11-12"/>
    <x v="2"/>
    <x v="1"/>
    <n v="683110"/>
    <n v="340600"/>
    <n v="12"/>
    <n v="154.46428571428501"/>
    <n v="20.464285714285701"/>
    <n v="174.92857142857071"/>
    <n v="51.785714285714299"/>
    <s v="Kerala"/>
  </r>
  <r>
    <n v="8.9411142611096096E+16"/>
    <s v="2024-11-16"/>
    <x v="2"/>
    <x v="1"/>
    <n v="144601"/>
    <n v="7117"/>
    <n v="3"/>
    <n v="112.621359223301"/>
    <n v="3.6699029126213598"/>
    <n v="116.29126213592235"/>
    <n v="50.485436893203897"/>
    <s v="Punjab"/>
  </r>
  <r>
    <n v="8.9661408568660608E+16"/>
    <s v="2024-11-17"/>
    <x v="2"/>
    <x v="1"/>
    <n v="600112"/>
    <n v="340600"/>
    <n v="12"/>
    <n v="163.392857142857"/>
    <n v="19.607142857142801"/>
    <n v="182.9999999999998"/>
    <n v="66.964285714285694"/>
    <s v="Tamil Nadu"/>
  </r>
  <r>
    <n v="8.6159935742399104E+16"/>
    <s v="2024-11-07"/>
    <x v="2"/>
    <x v="3"/>
    <n v="522101"/>
    <n v="7117"/>
    <n v="3"/>
    <n v="142.718446601941"/>
    <n v="4.8058252427184502"/>
    <n v="147.52427184465944"/>
    <n v="59.223300970873801"/>
    <s v="Andhra Pradesh"/>
  </r>
  <r>
    <n v="8.6839575577817904E+16"/>
    <s v="2024-11-09"/>
    <x v="2"/>
    <x v="1"/>
    <n v="245304"/>
    <n v="7117"/>
    <n v="3"/>
    <n v="151.45631067961099"/>
    <n v="4.7475728155339798"/>
    <n v="156.20388349514496"/>
    <n v="51.456310679611697"/>
    <s v="Uttar Pradesh"/>
  </r>
  <r>
    <n v="9.3994970043578704E+16"/>
    <s v="2024-11-29"/>
    <x v="2"/>
    <x v="0"/>
    <n v="282007"/>
    <n v="7117"/>
    <n v="3"/>
    <n v="146.601941747572"/>
    <n v="4.6893203883495103"/>
    <n v="151.2912621359215"/>
    <n v="49.514563106796103"/>
    <s v="Uttar Pradesh"/>
  </r>
  <r>
    <n v="9.0774362342261792E+16"/>
    <s v="2024-11-20"/>
    <x v="2"/>
    <x v="1"/>
    <n v="425502"/>
    <n v="7117"/>
    <n v="3"/>
    <n v="149.514563106796"/>
    <n v="4.4854368932038797"/>
    <n v="153.99999999999989"/>
    <n v="59.223300970873801"/>
    <s v="Maharashtra"/>
  </r>
  <r>
    <n v="8.8353827145258304E+16"/>
    <s v="2024-11-14"/>
    <x v="2"/>
    <x v="1"/>
    <n v="263148"/>
    <n v="340600"/>
    <n v="12"/>
    <n v="299.99999999999898"/>
    <n v="38.142857142857103"/>
    <n v="338.14285714285609"/>
    <n v="89.285714285714306"/>
    <s v="Uttarakhand"/>
  </r>
  <r>
    <n v="8.9440471605717792E+16"/>
    <s v="2024-11-17"/>
    <x v="2"/>
    <x v="1"/>
    <n v="500034"/>
    <n v="340600"/>
    <n v="12"/>
    <n v="159.82142857142799"/>
    <n v="19.178571428571399"/>
    <n v="178.99999999999937"/>
    <n v="54.464285714285701"/>
    <s v="Telangana"/>
  </r>
  <r>
    <n v="8.6997469663035504E+16"/>
    <s v="2024-11-10"/>
    <x v="2"/>
    <x v="3"/>
    <n v="277213"/>
    <n v="7117"/>
    <n v="3"/>
    <n v="150.485436893203"/>
    <n v="4.8058252427184502"/>
    <n v="155.29126213592144"/>
    <n v="49.514563106796103"/>
    <s v="Uttar Pradesh"/>
  </r>
  <r>
    <n v="8.8947396949540992E+16"/>
    <s v="2024-11-15"/>
    <x v="2"/>
    <x v="1"/>
    <n v="202135"/>
    <n v="7117"/>
    <n v="3"/>
    <n v="139.80582524271799"/>
    <n v="4.4854368932038797"/>
    <n v="144.29126213592187"/>
    <n v="49.514563106796103"/>
    <s v="Uttar Pradesh"/>
  </r>
  <r>
    <n v="8.8159918817416496E+16"/>
    <s v="2024-11-13"/>
    <x v="2"/>
    <x v="1"/>
    <n v="803116"/>
    <n v="7117"/>
    <n v="3"/>
    <n v="156.31067961164999"/>
    <n v="4.6893203883495103"/>
    <n v="160.99999999999949"/>
    <n v="59.223300970873801"/>
    <s v="Bihar"/>
  </r>
  <r>
    <n v="9.0110590195827696E+16"/>
    <s v="2024-11-18"/>
    <x v="2"/>
    <x v="5"/>
    <n v="224201"/>
    <n v="7117"/>
    <n v="3"/>
    <n v="148.54368932038801"/>
    <n v="4.7475728155339798"/>
    <n v="153.29126213592198"/>
    <n v="48.543689320388303"/>
    <s v="Uttar Pradesh"/>
  </r>
  <r>
    <n v="8.8533583334615904E+16"/>
    <s v="2024-11-14"/>
    <x v="2"/>
    <x v="5"/>
    <n v="585401"/>
    <n v="7117"/>
    <n v="3"/>
    <n v="158.252427184466"/>
    <n v="4.7475728155339798"/>
    <n v="162.99999999999997"/>
    <n v="58.252427184466001"/>
    <s v="Karnataka"/>
  </r>
  <r>
    <n v="8.6167057700891504E+16"/>
    <s v="2024-11-08"/>
    <x v="2"/>
    <x v="1"/>
    <n v="250004"/>
    <n v="340600"/>
    <n v="12"/>
    <n v="150"/>
    <n v="20.678571428571399"/>
    <n v="170.67857142857139"/>
    <n v="44.642857142857103"/>
    <s v="Uttar Pradesh"/>
  </r>
  <r>
    <n v="8.5777557726884608E+16"/>
    <s v="2024-11-06"/>
    <x v="2"/>
    <x v="1"/>
    <n v="788720"/>
    <n v="7117"/>
    <n v="3"/>
    <n v="180.58252427184399"/>
    <n v="5.4174757281553401"/>
    <n v="185.99999999999935"/>
    <n v="80.582524271844704"/>
    <s v="Assam"/>
  </r>
  <r>
    <n v="8.9279899135365696E+16"/>
    <s v="2024-11-16"/>
    <x v="2"/>
    <x v="1"/>
    <n v="673014"/>
    <n v="340600"/>
    <n v="12"/>
    <n v="132.142857142857"/>
    <n v="17.464285714285701"/>
    <n v="149.60714285714269"/>
    <n v="40.178571428571402"/>
    <s v="Kerala"/>
  </r>
  <r>
    <n v="8.9440471605717792E+16"/>
    <s v="2024-11-17"/>
    <x v="2"/>
    <x v="1"/>
    <n v="500034"/>
    <n v="340600"/>
    <n v="12"/>
    <n v="191.07142857142799"/>
    <n v="22.928571428571399"/>
    <n v="213.99999999999937"/>
    <n v="54.464285714285701"/>
    <s v="Telangana"/>
  </r>
  <r>
    <n v="9.2330314466886496E+16"/>
    <s v="2024-11-25"/>
    <x v="2"/>
    <x v="0"/>
    <n v="402103"/>
    <n v="7117"/>
    <n v="3"/>
    <n v="157.28155339805801"/>
    <n v="4.7184466019417499"/>
    <n v="161.99999999999977"/>
    <n v="57.2815533980583"/>
    <s v="Maharashtra"/>
  </r>
  <r>
    <n v="9.04299455212516E+16"/>
    <s v="2024-11-19"/>
    <x v="2"/>
    <x v="1"/>
    <n v="621701"/>
    <n v="7117"/>
    <n v="3"/>
    <n v="158.252427184466"/>
    <n v="4.7475728155339798"/>
    <n v="162.99999999999997"/>
    <n v="58.252427184466001"/>
    <s v="Tamil Nadu"/>
  </r>
  <r>
    <n v="8.9366837535634208E+16"/>
    <s v="2024-11-16"/>
    <x v="2"/>
    <x v="5"/>
    <n v="244231"/>
    <n v="7117"/>
    <n v="3"/>
    <n v="146.601941747572"/>
    <n v="4.6893203883495103"/>
    <n v="151.2912621359215"/>
    <n v="49.514563106796103"/>
    <s v="Uttar Pradesh"/>
  </r>
  <r>
    <n v="8.6759472160821792E+16"/>
    <s v="2024-11-09"/>
    <x v="2"/>
    <x v="1"/>
    <n v="328001"/>
    <n v="7117"/>
    <n v="3"/>
    <n v="125.242718446601"/>
    <n v="4.4854368932038797"/>
    <n v="129.72815533980489"/>
    <n v="34.951456310679603"/>
    <s v="Rajasthan"/>
  </r>
  <r>
    <n v="8.9575348435036992E+16"/>
    <s v="2024-11-17"/>
    <x v="2"/>
    <x v="1"/>
    <n v="412312"/>
    <n v="7117"/>
    <n v="3"/>
    <n v="151.45631067961099"/>
    <n v="4.5436893203883502"/>
    <n v="155.99999999999935"/>
    <n v="59.223300970873801"/>
    <s v="Maharashtra"/>
  </r>
  <r>
    <n v="8.67951942313904E+16"/>
    <s v="2024-11-09"/>
    <x v="2"/>
    <x v="5"/>
    <n v="735220"/>
    <n v="7117"/>
    <n v="3"/>
    <n v="158.252427184466"/>
    <n v="4.7475728155339798"/>
    <n v="162.99999999999997"/>
    <n v="58.252427184466001"/>
    <s v="West Bengal"/>
  </r>
  <r>
    <n v="8.9104589971751104E+16"/>
    <s v="2024-11-16"/>
    <x v="2"/>
    <x v="1"/>
    <n v="131001"/>
    <n v="7117"/>
    <n v="3"/>
    <n v="109.70873786407699"/>
    <n v="3.5825242718446599"/>
    <n v="113.29126213592166"/>
    <n v="50.485436893203897"/>
    <s v="Haryana"/>
  </r>
  <r>
    <n v="9.1492765561134E+16"/>
    <s v="2024-11-22"/>
    <x v="2"/>
    <x v="3"/>
    <n v="852214"/>
    <n v="7117"/>
    <n v="3"/>
    <n v="160.19417475728099"/>
    <n v="4.8058252427184502"/>
    <n v="164.99999999999943"/>
    <n v="59.223300970873801"/>
    <s v="Bihar"/>
  </r>
  <r>
    <n v="9.2510853938512896E+16"/>
    <s v="2024-11-25"/>
    <x v="2"/>
    <x v="0"/>
    <n v="243201"/>
    <n v="7117"/>
    <n v="3"/>
    <n v="144.66019417475701"/>
    <n v="4.6310679611650496"/>
    <n v="149.29126213592207"/>
    <n v="47.572815533980602"/>
    <s v="Uttar Pradesh"/>
  </r>
  <r>
    <n v="8.7460421212706096E+16"/>
    <s v="2024-11-11"/>
    <x v="2"/>
    <x v="5"/>
    <n v="802132"/>
    <n v="7117"/>
    <n v="3"/>
    <n v="157.28155339805801"/>
    <n v="5.2427184466019403"/>
    <n v="162.52427184465995"/>
    <n v="41.747572815533999"/>
    <s v="Bihar"/>
  </r>
  <r>
    <n v="9.0302275847488496E+16"/>
    <s v="2024-11-19"/>
    <x v="2"/>
    <x v="3"/>
    <n v="362266"/>
    <n v="340600"/>
    <n v="12"/>
    <n v="169.642857142857"/>
    <n v="20.357142857142801"/>
    <n v="189.9999999999998"/>
    <n v="66.964285714285694"/>
    <s v="Gujarat"/>
  </r>
  <r>
    <n v="8.68392470883172E+16"/>
    <s v="2024-11-09"/>
    <x v="2"/>
    <x v="3"/>
    <n v="143001"/>
    <n v="7117"/>
    <n v="3"/>
    <n v="156.31067961164999"/>
    <n v="4.9805825242718402"/>
    <n v="161.29126213592184"/>
    <n v="49.514563106796103"/>
    <s v="Punjab"/>
  </r>
  <r>
    <n v="8.7389530655167808E+16"/>
    <s v="2024-11-11"/>
    <x v="2"/>
    <x v="2"/>
    <n v="843313"/>
    <n v="7117"/>
    <n v="3"/>
    <n v="139.80582524271799"/>
    <n v="4.1941747572815498"/>
    <n v="143.99999999999955"/>
    <n v="58.252427184466001"/>
    <s v="Bihar"/>
  </r>
  <r>
    <n v="8.8630739731474096E+16"/>
    <s v="2024-11-14"/>
    <x v="2"/>
    <x v="1"/>
    <n v="281004"/>
    <n v="7117"/>
    <n v="3"/>
    <n v="148.54368932038801"/>
    <n v="4.7475728155339798"/>
    <n v="153.29126213592198"/>
    <n v="48.543689320388303"/>
    <s v="Uttar Pradesh"/>
  </r>
  <r>
    <n v="8.9755784381956192E+16"/>
    <s v="2024-11-17"/>
    <x v="2"/>
    <x v="1"/>
    <n v="400037"/>
    <n v="340600"/>
    <n v="12"/>
    <n v="190.17857142857099"/>
    <n v="22.821428571428498"/>
    <n v="212.99999999999949"/>
    <n v="53.571428571428598"/>
    <s v="Maharashtra"/>
  </r>
  <r>
    <n v="8.7436760967795296E+16"/>
    <s v="2024-11-11"/>
    <x v="2"/>
    <x v="1"/>
    <n v="560064"/>
    <n v="7117"/>
    <n v="3"/>
    <n v="120.388349514563"/>
    <n v="4.13592233009709"/>
    <n v="124.52427184466009"/>
    <n v="40.776699029126199"/>
    <s v="Karnataka"/>
  </r>
  <r>
    <n v="8.79469208919192E+16"/>
    <s v="2024-11-12"/>
    <x v="2"/>
    <x v="1"/>
    <n v="403720"/>
    <n v="340600"/>
    <n v="12"/>
    <n v="179.46428571428501"/>
    <n v="21.535714285714199"/>
    <n v="200.9999999999992"/>
    <n v="66.964285714285694"/>
    <s v="Goa"/>
  </r>
  <r>
    <n v="8.8984112085529408E+16"/>
    <s v="2024-11-15"/>
    <x v="2"/>
    <x v="1"/>
    <n v="110029"/>
    <n v="7117"/>
    <n v="3"/>
    <n v="198.05825242718399"/>
    <n v="6.6407766990291304"/>
    <n v="204.69902912621311"/>
    <n v="36.893203883495197"/>
    <s v="Delhi"/>
  </r>
  <r>
    <n v="9.11850528432792E+16"/>
    <s v="2024-11-21"/>
    <x v="2"/>
    <x v="1"/>
    <n v="110019"/>
    <n v="7117"/>
    <n v="3"/>
    <n v="150.485436893203"/>
    <n v="4.8058252427184502"/>
    <n v="155.29126213592144"/>
    <n v="47.572815533980602"/>
    <s v="Delhi"/>
  </r>
  <r>
    <n v="8.5027316368900192E+16"/>
    <s v="2024-11-04"/>
    <x v="2"/>
    <x v="2"/>
    <n v="140507"/>
    <n v="7117"/>
    <n v="3"/>
    <n v="147.57281553397999"/>
    <n v="4.7184466019417499"/>
    <n v="152.29126213592173"/>
    <n v="49.514563106796103"/>
    <s v="Punjab"/>
  </r>
  <r>
    <n v="8.89474887335216E+16"/>
    <s v="2024-11-15"/>
    <x v="2"/>
    <x v="1"/>
    <n v="110084"/>
    <n v="7117"/>
    <n v="3"/>
    <n v="127.184466019417"/>
    <n v="4.4854368932038797"/>
    <n v="131.66990291262087"/>
    <n v="36.893203883495197"/>
    <s v="Delhi"/>
  </r>
  <r>
    <n v="8.9440471605717792E+16"/>
    <s v="2024-11-17"/>
    <x v="2"/>
    <x v="1"/>
    <n v="500034"/>
    <n v="340600"/>
    <n v="12"/>
    <n v="181.25"/>
    <n v="21.75"/>
    <n v="203"/>
    <n v="68.75"/>
    <s v="Telangana"/>
  </r>
  <r>
    <n v="9.3539328912716608E+16"/>
    <s v="2024-11-28"/>
    <x v="2"/>
    <x v="0"/>
    <n v="497220"/>
    <n v="7117"/>
    <n v="3"/>
    <n v="160.19417475728099"/>
    <n v="4.8058252427184502"/>
    <n v="164.99999999999943"/>
    <n v="57.2815533980583"/>
    <s v="Chhattisgarh"/>
  </r>
  <r>
    <n v="8.8258744971919504E+16"/>
    <s v="2024-11-13"/>
    <x v="2"/>
    <x v="2"/>
    <n v="122001"/>
    <n v="7117"/>
    <n v="3"/>
    <n v="156.31067961164999"/>
    <n v="4.9805825242718402"/>
    <n v="161.29126213592184"/>
    <n v="49.514563106796103"/>
    <s v="Haryana"/>
  </r>
  <r>
    <n v="8.9925866835928704E+16"/>
    <s v="2024-11-18"/>
    <x v="2"/>
    <x v="1"/>
    <n v="244412"/>
    <n v="7117"/>
    <n v="3"/>
    <n v="158.252427184466"/>
    <n v="5.0388349514563098"/>
    <n v="163.29126213592232"/>
    <n v="49.514563106796103"/>
    <s v="Uttar Pradesh"/>
  </r>
  <r>
    <n v="9.15056309930628E+16"/>
    <s v="2024-11-22"/>
    <x v="2"/>
    <x v="1"/>
    <n v="233303"/>
    <n v="7117"/>
    <n v="3"/>
    <n v="147.57281553397999"/>
    <n v="4.7184466019417499"/>
    <n v="152.29126213592173"/>
    <n v="47.572815533980602"/>
    <s v="Uttar Pradesh"/>
  </r>
  <r>
    <n v="8.6369948575721104E+16"/>
    <s v="2024-11-08"/>
    <x v="2"/>
    <x v="3"/>
    <n v="232102"/>
    <n v="7117"/>
    <n v="3"/>
    <n v="156.31067961164999"/>
    <n v="4.9805825242718402"/>
    <n v="161.29126213592184"/>
    <n v="59.223300970873801"/>
    <s v="Uttar Pradesh"/>
  </r>
  <r>
    <n v="1.0480269417545699E+17"/>
    <s v="2024-12-29"/>
    <x v="3"/>
    <x v="4"/>
    <n v="502110"/>
    <n v="7117"/>
    <n v="3"/>
    <n v="210.67961165048499"/>
    <n v="6.5825242718446599"/>
    <n v="217.26213592232963"/>
    <n v="49.514563106796103"/>
    <s v="Telangana"/>
  </r>
  <r>
    <n v="9.7927382061319808E+16"/>
    <s v="2024-12-10"/>
    <x v="3"/>
    <x v="1"/>
    <n v="273402"/>
    <n v="7117"/>
    <n v="3"/>
    <n v="151.45631067961099"/>
    <n v="4.8058252427184502"/>
    <n v="156.26213592232943"/>
    <n v="48.543689320388303"/>
    <s v="Uttar Pradesh"/>
  </r>
  <r>
    <n v="1.00070552321848E+17"/>
    <s v="2024-12-16"/>
    <x v="3"/>
    <x v="1"/>
    <n v="761009"/>
    <n v="7117"/>
    <n v="3"/>
    <n v="147.57281553397999"/>
    <n v="4.42718446601942"/>
    <n v="151.9999999999994"/>
    <n v="59.223300970873801"/>
    <s v="Odisha"/>
  </r>
  <r>
    <n v="1.01613131184366E+17"/>
    <s v="2024-12-20"/>
    <x v="3"/>
    <x v="1"/>
    <n v="500064"/>
    <n v="7117"/>
    <n v="3"/>
    <n v="153.39805825242701"/>
    <n v="5.1262135922330101"/>
    <n v="158.52427184466001"/>
    <n v="42.7184466019418"/>
    <s v="Telangana"/>
  </r>
  <r>
    <n v="1.0450165419665E+17"/>
    <s v="2024-12-28"/>
    <x v="3"/>
    <x v="1"/>
    <n v="222303"/>
    <n v="7117"/>
    <n v="3"/>
    <n v="140.77669902912601"/>
    <n v="4.6601941747572804"/>
    <n v="145.4368932038833"/>
    <n v="42.7184466019418"/>
    <s v="Uttar Pradesh"/>
  </r>
  <r>
    <n v="9.5395989931620704E+16"/>
    <s v="2024-12-03"/>
    <x v="3"/>
    <x v="2"/>
    <n v="752111"/>
    <n v="7117"/>
    <n v="3"/>
    <n v="165.04854368932001"/>
    <n v="4.9514563106796103"/>
    <n v="169.99999999999963"/>
    <n v="59.223300970873801"/>
    <s v="Odisha"/>
  </r>
  <r>
    <n v="9.76101756590464E+16"/>
    <s v="2024-12-09"/>
    <x v="3"/>
    <x v="1"/>
    <n v="854202"/>
    <n v="7117"/>
    <n v="3"/>
    <n v="148.54368932038801"/>
    <n v="4.4563106796116498"/>
    <n v="152.99999999999966"/>
    <n v="58.252427184466001"/>
    <s v="Bihar"/>
  </r>
  <r>
    <n v="9.55748475519968E+16"/>
    <s v="2024-12-03"/>
    <x v="3"/>
    <x v="3"/>
    <n v="829144"/>
    <n v="7117"/>
    <n v="18"/>
    <n v="172.88135593220301"/>
    <n v="34.016949152542303"/>
    <n v="206.89830508474532"/>
    <n v="37.288135593220296"/>
    <s v="Jharkhand"/>
  </r>
  <r>
    <n v="9.50147226480936E+16"/>
    <s v="2024-12-02"/>
    <x v="3"/>
    <x v="1"/>
    <n v="572101"/>
    <n v="7117"/>
    <n v="3"/>
    <n v="179.611650485436"/>
    <n v="5.3883495145631102"/>
    <n v="184.99999999999912"/>
    <n v="59.223300970873801"/>
    <s v="Karnataka"/>
  </r>
  <r>
    <n v="9.6516365373863296E+16"/>
    <s v="2024-12-06"/>
    <x v="3"/>
    <x v="3"/>
    <n v="229202"/>
    <n v="7117"/>
    <n v="3"/>
    <n v="138.83495145630999"/>
    <n v="4.4563106796116498"/>
    <n v="143.29126213592164"/>
    <n v="48.543689320388303"/>
    <s v="Uttar Pradesh"/>
  </r>
  <r>
    <n v="9.91538612228932E+16"/>
    <s v="2024-12-13"/>
    <x v="3"/>
    <x v="5"/>
    <n v="581118"/>
    <n v="7117"/>
    <n v="3"/>
    <n v="151.45631067961099"/>
    <n v="5.0679611650485397"/>
    <n v="156.52427184465952"/>
    <n v="39.805825242718498"/>
    <s v="Karnataka"/>
  </r>
  <r>
    <n v="9.7595403572016608E+16"/>
    <s v="2024-12-09"/>
    <x v="3"/>
    <x v="3"/>
    <n v="413112"/>
    <n v="7117"/>
    <n v="3"/>
    <n v="189.32038834951399"/>
    <n v="5.6796116504854401"/>
    <n v="194.99999999999943"/>
    <n v="59.223300970873801"/>
    <s v="Maharashtra"/>
  </r>
  <r>
    <n v="9.5457450271897904E+16"/>
    <s v="2024-12-03"/>
    <x v="3"/>
    <x v="1"/>
    <n v="828130"/>
    <n v="7117"/>
    <n v="3"/>
    <n v="179.611650485436"/>
    <n v="5.3883495145631102"/>
    <n v="184.99999999999912"/>
    <n v="59.223300970873801"/>
    <s v="Jharkhand"/>
  </r>
  <r>
    <n v="1.0115808220115E+17"/>
    <s v="2024-12-19"/>
    <x v="3"/>
    <x v="1"/>
    <n v="488333"/>
    <n v="7117"/>
    <n v="3"/>
    <n v="156.31067961164999"/>
    <n v="4.8058252427184502"/>
    <n v="161.11650485436843"/>
    <n v="55.339805825242699"/>
    <s v="Madhya Pradesh"/>
  </r>
  <r>
    <n v="1.00485662525816E+17"/>
    <s v="2024-12-17"/>
    <x v="3"/>
    <x v="1"/>
    <n v="440022"/>
    <n v="7117"/>
    <n v="3"/>
    <n v="129.126213592233"/>
    <n v="4.42718446601942"/>
    <n v="133.55339805825241"/>
    <n v="40.776699029126199"/>
    <s v="Maharashtra"/>
  </r>
  <r>
    <n v="9.6438336572290592E+16"/>
    <s v="2024-12-06"/>
    <x v="3"/>
    <x v="2"/>
    <n v="805107"/>
    <n v="7117"/>
    <n v="3"/>
    <n v="181.55339805825199"/>
    <n v="5.44660194174757"/>
    <n v="186.99999999999955"/>
    <n v="59.223300970873801"/>
    <s v="Bihar"/>
  </r>
  <r>
    <n v="9.52007153344316E+16"/>
    <s v="2024-12-02"/>
    <x v="3"/>
    <x v="1"/>
    <n v="305801"/>
    <n v="7117"/>
    <n v="3"/>
    <n v="163.106796116504"/>
    <n v="5.0679611650485397"/>
    <n v="168.17475728155253"/>
    <n v="52.427184466019398"/>
    <s v="Rajasthan"/>
  </r>
  <r>
    <n v="9.9874292992722304E+16"/>
    <s v="2024-12-15"/>
    <x v="3"/>
    <x v="1"/>
    <n v="700018"/>
    <n v="7117"/>
    <n v="3"/>
    <n v="159.223300970873"/>
    <n v="4.7766990291262097"/>
    <n v="163.9999999999992"/>
    <n v="57.2815533980583"/>
    <s v="West Bengal"/>
  </r>
  <r>
    <n v="9.5093555023786896E+16"/>
    <s v="2024-12-02"/>
    <x v="3"/>
    <x v="2"/>
    <n v="302029"/>
    <n v="7117"/>
    <n v="3"/>
    <n v="179.611650485436"/>
    <n v="5.6796116504854401"/>
    <n v="185.29126213592144"/>
    <n v="49.514563106796103"/>
    <s v="Rajasthan"/>
  </r>
  <r>
    <n v="9.5463692717455808E+16"/>
    <s v="2024-12-03"/>
    <x v="3"/>
    <x v="1"/>
    <n v="563127"/>
    <n v="7117"/>
    <n v="3"/>
    <n v="181.55339805825199"/>
    <n v="5.44660194174757"/>
    <n v="186.99999999999955"/>
    <n v="59.223300970873801"/>
    <s v="Karnataka"/>
  </r>
  <r>
    <n v="9.5904244185363904E+16"/>
    <s v="2024-12-04"/>
    <x v="3"/>
    <x v="1"/>
    <n v="444806"/>
    <n v="7117"/>
    <n v="3"/>
    <n v="166.990291262135"/>
    <n v="5.0097087378640799"/>
    <n v="171.99999999999909"/>
    <n v="58.252427184466001"/>
    <s v="Maharashtra"/>
  </r>
  <r>
    <n v="9.7573064620848096E+16"/>
    <s v="2024-12-09"/>
    <x v="3"/>
    <x v="1"/>
    <n v="221304"/>
    <n v="7117"/>
    <n v="3"/>
    <n v="171.844660194174"/>
    <n v="5.44660194174757"/>
    <n v="177.29126213592156"/>
    <n v="49.514563106796103"/>
    <s v="Uttar Pradesh"/>
  </r>
  <r>
    <n v="9.7382439304754592E+16"/>
    <s v="2024-12-08"/>
    <x v="3"/>
    <x v="3"/>
    <n v="804432"/>
    <n v="7117"/>
    <n v="3"/>
    <n v="157.28155339805801"/>
    <n v="4.7184466019417499"/>
    <n v="161.99999999999977"/>
    <n v="59.223300970873801"/>
    <s v="Bihar"/>
  </r>
  <r>
    <n v="9.952999168062E+16"/>
    <s v="2024-12-14"/>
    <x v="3"/>
    <x v="6"/>
    <n v="824211"/>
    <n v="7117"/>
    <n v="3"/>
    <n v="142.718446601941"/>
    <n v="4.42718446601942"/>
    <n v="147.14563106796041"/>
    <n v="52.427184466019398"/>
    <s v="Bihar"/>
  </r>
  <r>
    <n v="9.6515865974863296E+16"/>
    <s v="2024-12-06"/>
    <x v="3"/>
    <x v="2"/>
    <n v="474006"/>
    <n v="7117"/>
    <n v="3"/>
    <n v="168.93203883495099"/>
    <n v="5.1262135922330101"/>
    <n v="174.05825242718399"/>
    <n v="57.2815533980583"/>
    <s v="Madhya Pradesh"/>
  </r>
  <r>
    <n v="9.68038178613016E+16"/>
    <s v="2024-12-07"/>
    <x v="3"/>
    <x v="3"/>
    <n v="524322"/>
    <n v="7117"/>
    <n v="3"/>
    <n v="151.45631067961099"/>
    <n v="4.5436893203883502"/>
    <n v="155.99999999999935"/>
    <n v="59.223300970873801"/>
    <s v="Andhra Pradesh"/>
  </r>
  <r>
    <n v="9.7343712723879296E+16"/>
    <s v="2024-12-08"/>
    <x v="3"/>
    <x v="3"/>
    <n v="802218"/>
    <n v="7117"/>
    <n v="3"/>
    <n v="155.339805825242"/>
    <n v="4.7184466019417499"/>
    <n v="160.05825242718373"/>
    <n v="57.2815533980583"/>
    <s v="Bihar"/>
  </r>
  <r>
    <n v="1.0449941857035501E+17"/>
    <s v="2024-12-28"/>
    <x v="3"/>
    <x v="0"/>
    <n v="766018"/>
    <n v="7117"/>
    <n v="3"/>
    <n v="267.96116504854302"/>
    <n v="8.2718446601941693"/>
    <n v="276.2330097087372"/>
    <n v="49.514563106796103"/>
    <s v="Odisha"/>
  </r>
  <r>
    <n v="1.0445798745600499E+17"/>
    <s v="2024-12-28"/>
    <x v="3"/>
    <x v="0"/>
    <n v="232110"/>
    <n v="7117"/>
    <n v="3"/>
    <n v="268.93203883495102"/>
    <n v="8.3300970873786397"/>
    <n v="277.26213592232966"/>
    <n v="50.485436893203897"/>
    <s v="Uttar Pradesh"/>
  </r>
  <r>
    <n v="1.0082887613908301E+17"/>
    <s v="2024-12-18"/>
    <x v="3"/>
    <x v="5"/>
    <n v="700145"/>
    <n v="7117"/>
    <n v="3"/>
    <n v="140.77669902912601"/>
    <n v="4.7766990291262097"/>
    <n v="145.55339805825221"/>
    <n v="39.805825242718498"/>
    <s v="West Bengal"/>
  </r>
  <r>
    <n v="9.7197157270718096E+16"/>
    <s v="2024-12-08"/>
    <x v="3"/>
    <x v="3"/>
    <n v="825412"/>
    <n v="7117"/>
    <n v="3"/>
    <n v="166.990291262135"/>
    <n v="5.0097087378640799"/>
    <n v="171.99999999999909"/>
    <n v="58.252427184466001"/>
    <s v="Jharkhand"/>
  </r>
  <r>
    <n v="9.7932638381093904E+16"/>
    <s v="2024-12-10"/>
    <x v="3"/>
    <x v="1"/>
    <n v="847115"/>
    <n v="7117"/>
    <n v="3"/>
    <n v="179.611650485436"/>
    <n v="5.3883495145631102"/>
    <n v="184.99999999999912"/>
    <n v="59.223300970873801"/>
    <s v="Bihar"/>
  </r>
  <r>
    <n v="1.0452658133011299E+17"/>
    <s v="2024-12-28"/>
    <x v="3"/>
    <x v="0"/>
    <n v="560026"/>
    <n v="7117"/>
    <n v="3"/>
    <n v="174.757281553398"/>
    <n v="5.2427184466019403"/>
    <n v="179.99999999999994"/>
    <n v="58.252427184466001"/>
    <s v="Karnataka"/>
  </r>
  <r>
    <n v="1.00019153718424E+17"/>
    <s v="2024-12-16"/>
    <x v="3"/>
    <x v="1"/>
    <n v="641654"/>
    <n v="7117"/>
    <n v="3"/>
    <n v="166.01941747572801"/>
    <n v="4.9805825242718402"/>
    <n v="170.99999999999986"/>
    <n v="57.2815533980583"/>
    <s v="Tamil Nadu"/>
  </r>
  <r>
    <n v="9.6556086941484704E+16"/>
    <s v="2024-12-06"/>
    <x v="3"/>
    <x v="1"/>
    <n v="282007"/>
    <n v="7117"/>
    <n v="3"/>
    <n v="169.90291262135901"/>
    <n v="5.3883495145631102"/>
    <n v="175.29126213592212"/>
    <n v="49.514563106796103"/>
    <s v="Uttar Pradesh"/>
  </r>
  <r>
    <n v="1.01908670335352E+17"/>
    <s v="2024-12-21"/>
    <x v="3"/>
    <x v="0"/>
    <n v="285122"/>
    <n v="7117"/>
    <n v="3"/>
    <n v="151.45631067961099"/>
    <n v="4.8058252427184502"/>
    <n v="156.26213592232943"/>
    <n v="48.543689320388303"/>
    <s v="Uttar Pradesh"/>
  </r>
  <r>
    <n v="9.53775238245892E+16"/>
    <s v="2024-12-03"/>
    <x v="3"/>
    <x v="1"/>
    <n v="522257"/>
    <n v="7117"/>
    <n v="3"/>
    <n v="165.04854368932001"/>
    <n v="4.9514563106796103"/>
    <n v="169.99999999999963"/>
    <n v="59.223300970873801"/>
    <s v="Andhra Pradesh"/>
  </r>
  <r>
    <n v="9.7990609349834096E+16"/>
    <s v="2024-12-10"/>
    <x v="3"/>
    <x v="3"/>
    <n v="413112"/>
    <n v="7117"/>
    <n v="3"/>
    <n v="179.611650485436"/>
    <n v="5.3883495145631102"/>
    <n v="184.99999999999912"/>
    <n v="59.223300970873801"/>
    <s v="Maharashtra"/>
  </r>
  <r>
    <n v="9.9772223276921904E+16"/>
    <s v="2024-12-15"/>
    <x v="3"/>
    <x v="1"/>
    <n v="841428"/>
    <n v="7117"/>
    <n v="3"/>
    <n v="142.718446601941"/>
    <n v="4.3980582524271803"/>
    <n v="147.11650485436817"/>
    <n v="55.339805825242699"/>
    <s v="Bihar"/>
  </r>
  <r>
    <n v="9.5325343695274896E+16"/>
    <s v="2024-12-03"/>
    <x v="3"/>
    <x v="1"/>
    <n v="273304"/>
    <n v="7117"/>
    <n v="3"/>
    <n v="169.90291262135901"/>
    <n v="5.3883495145631102"/>
    <n v="175.29126213592212"/>
    <n v="49.514563106796103"/>
    <s v="Uttar Pradesh"/>
  </r>
  <r>
    <n v="9.6516943649736304E+16"/>
    <s v="2024-12-06"/>
    <x v="3"/>
    <x v="1"/>
    <n v="805111"/>
    <n v="7117"/>
    <n v="3"/>
    <n v="168.93203883495099"/>
    <n v="5.0679611650485397"/>
    <n v="173.99999999999952"/>
    <n v="58.252427184466001"/>
    <s v="Bihar"/>
  </r>
  <r>
    <n v="9.5432182538893696E+16"/>
    <s v="2024-12-03"/>
    <x v="3"/>
    <x v="2"/>
    <n v="562138"/>
    <n v="7117"/>
    <n v="3"/>
    <n v="151.45631067961099"/>
    <n v="4.5436893203883502"/>
    <n v="155.99999999999935"/>
    <n v="59.223300970873801"/>
    <s v="Karnataka"/>
  </r>
  <r>
    <n v="1.04455113406742E+17"/>
    <s v="2024-12-28"/>
    <x v="3"/>
    <x v="0"/>
    <n v="843334"/>
    <n v="7117"/>
    <n v="3"/>
    <n v="174.757281553398"/>
    <n v="5.2427184466019403"/>
    <n v="179.99999999999994"/>
    <n v="58.252427184466001"/>
    <s v="Bihar"/>
  </r>
  <r>
    <n v="9.7393014915150896E+16"/>
    <s v="2024-12-08"/>
    <x v="3"/>
    <x v="6"/>
    <n v="222136"/>
    <n v="7117"/>
    <n v="3"/>
    <n v="171.844660194174"/>
    <n v="5.44660194174757"/>
    <n v="177.29126213592156"/>
    <n v="49.514563106796103"/>
    <s v="Uttar Pradesh"/>
  </r>
  <r>
    <n v="9.9516257121793408E+16"/>
    <s v="2024-12-14"/>
    <x v="3"/>
    <x v="6"/>
    <n v="581402"/>
    <n v="7117"/>
    <n v="3"/>
    <n v="159.223300970873"/>
    <n v="4.7766990291262097"/>
    <n v="163.9999999999992"/>
    <n v="58.252427184466001"/>
    <s v="Karnataka"/>
  </r>
  <r>
    <n v="9.5907101504648192E+16"/>
    <s v="2024-12-04"/>
    <x v="3"/>
    <x v="2"/>
    <n v="400607"/>
    <n v="7117"/>
    <n v="3"/>
    <n v="181.55339805825199"/>
    <n v="5.44660194174757"/>
    <n v="186.99999999999955"/>
    <n v="59.223300970873801"/>
    <s v="Maharashtra"/>
  </r>
  <r>
    <n v="9.5199678682837904E+16"/>
    <s v="2024-12-02"/>
    <x v="3"/>
    <x v="1"/>
    <n v="522402"/>
    <n v="7117"/>
    <n v="3"/>
    <n v="165.04854368932001"/>
    <n v="4.9514563106796103"/>
    <n v="169.99999999999963"/>
    <n v="59.223300970873801"/>
    <s v="Andhra Pradesh"/>
  </r>
  <r>
    <n v="9.5175923684276608E+16"/>
    <s v="2024-12-02"/>
    <x v="3"/>
    <x v="1"/>
    <n v="516454"/>
    <n v="7117"/>
    <n v="3"/>
    <n v="179.611650485436"/>
    <n v="5.3883495145631102"/>
    <n v="184.99999999999912"/>
    <n v="59.223300970873801"/>
    <s v="Andhra Pradesh"/>
  </r>
  <r>
    <n v="9.76689529559628E+16"/>
    <s v="2024-12-09"/>
    <x v="3"/>
    <x v="1"/>
    <n v="533105"/>
    <n v="7117"/>
    <n v="3"/>
    <n v="158.252427184466"/>
    <n v="4.7475728155339798"/>
    <n v="162.99999999999997"/>
    <n v="58.252427184466001"/>
    <s v="Andhra Pradesh"/>
  </r>
  <r>
    <n v="1.0407042389720701E+17"/>
    <s v="2024-12-27"/>
    <x v="3"/>
    <x v="0"/>
    <n v="496111"/>
    <n v="7117"/>
    <n v="3"/>
    <n v="130.09708737864"/>
    <n v="4.42718446601942"/>
    <n v="134.52427184465941"/>
    <n v="39.805825242718498"/>
    <s v="Chhattisgarh"/>
  </r>
  <r>
    <n v="9.5867622131692896E+16"/>
    <s v="2024-12-04"/>
    <x v="3"/>
    <x v="1"/>
    <n v="845459"/>
    <n v="7117"/>
    <n v="3"/>
    <n v="177.66990291262101"/>
    <n v="5.3883495145631102"/>
    <n v="183.05825242718413"/>
    <n v="57.2815533980583"/>
    <s v="Bihar"/>
  </r>
  <r>
    <n v="1.0385692466324701E+17"/>
    <s v="2024-12-26"/>
    <x v="3"/>
    <x v="1"/>
    <n v="852214"/>
    <n v="7117"/>
    <n v="3"/>
    <n v="156.31067961164999"/>
    <n v="4.6893203883495103"/>
    <n v="160.99999999999949"/>
    <n v="58.252427184466001"/>
    <s v="Bihar"/>
  </r>
  <r>
    <n v="1.0445177878717699E+17"/>
    <s v="2024-12-28"/>
    <x v="3"/>
    <x v="0"/>
    <n v="600039"/>
    <n v="7117"/>
    <n v="3"/>
    <n v="277.66990291262101"/>
    <n v="8.3300970873786397"/>
    <n v="285.99999999999966"/>
    <n v="59.223300970873801"/>
    <s v="Tamil Nadu"/>
  </r>
  <r>
    <n v="9.8898165194765296E+16"/>
    <s v="2024-12-13"/>
    <x v="3"/>
    <x v="3"/>
    <n v="841428"/>
    <n v="7117"/>
    <n v="3"/>
    <n v="152.42718446601901"/>
    <n v="4.6893203883495103"/>
    <n v="157.11650485436851"/>
    <n v="54.368932038834998"/>
    <s v="Bihar"/>
  </r>
  <r>
    <n v="9.6174073429554592E+16"/>
    <s v="2024-12-05"/>
    <x v="3"/>
    <x v="1"/>
    <n v="502307"/>
    <n v="7117"/>
    <n v="3"/>
    <n v="157.28155339805801"/>
    <n v="4.7184466019417499"/>
    <n v="161.99999999999977"/>
    <n v="59.223300970873801"/>
    <s v="Telangana"/>
  </r>
  <r>
    <n v="1.04858822419346E+17"/>
    <s v="2024-12-29"/>
    <x v="3"/>
    <x v="0"/>
    <n v="700150"/>
    <n v="7117"/>
    <n v="3"/>
    <n v="174.757281553398"/>
    <n v="5.2427184466019403"/>
    <n v="179.99999999999994"/>
    <n v="58.252427184466001"/>
    <s v="West Bengal"/>
  </r>
  <r>
    <n v="9.6153861267338304E+16"/>
    <s v="2024-12-05"/>
    <x v="3"/>
    <x v="1"/>
    <n v="229127"/>
    <n v="7117"/>
    <n v="3"/>
    <n v="141.747572815534"/>
    <n v="4.5436893203883502"/>
    <n v="146.29126213592235"/>
    <n v="49.514563106796103"/>
    <s v="Uttar Pradesh"/>
  </r>
  <r>
    <n v="9.4674197092956496E+16"/>
    <s v="2024-12-01"/>
    <x v="3"/>
    <x v="1"/>
    <n v="276201"/>
    <n v="7117"/>
    <n v="3"/>
    <n v="101.941747572815"/>
    <n v="3.4660194174757302"/>
    <n v="105.40776699029074"/>
    <n v="53.398058252427198"/>
    <s v="Uttar Pradesh"/>
  </r>
  <r>
    <n v="1.0527796856529699E+17"/>
    <s v="2024-12-30"/>
    <x v="3"/>
    <x v="0"/>
    <n v="721305"/>
    <n v="7117"/>
    <n v="3"/>
    <n v="233.009708737864"/>
    <n v="6.9902912621359201"/>
    <n v="239.99999999999991"/>
    <n v="57.2815533980583"/>
    <s v="West Bengal"/>
  </r>
  <r>
    <n v="1.0451791153164301E+17"/>
    <s v="2024-12-28"/>
    <x v="3"/>
    <x v="0"/>
    <n v="560076"/>
    <n v="7117"/>
    <n v="3"/>
    <n v="103.883495145631"/>
    <n v="3.6699029126213598"/>
    <n v="107.55339805825236"/>
    <n v="40.776699029126199"/>
    <s v="Karnataka"/>
  </r>
  <r>
    <n v="9.8497040327046592E+16"/>
    <s v="2024-12-12"/>
    <x v="3"/>
    <x v="1"/>
    <n v="400011"/>
    <n v="7117"/>
    <n v="3"/>
    <n v="185.43689320388299"/>
    <n v="5.5631067961165002"/>
    <n v="190.99999999999949"/>
    <n v="59.223300970873801"/>
    <s v="Maharashtra"/>
  </r>
  <r>
    <n v="9.9856227514644E+16"/>
    <s v="2024-12-15"/>
    <x v="3"/>
    <x v="2"/>
    <n v="842002"/>
    <n v="7117"/>
    <n v="3"/>
    <n v="170.873786407767"/>
    <n v="5.1262135922330101"/>
    <n v="176"/>
    <n v="59.223300970873801"/>
    <s v="Bihar"/>
  </r>
  <r>
    <n v="9.84130021909596E+16"/>
    <s v="2024-12-11"/>
    <x v="3"/>
    <x v="3"/>
    <n v="413211"/>
    <n v="7117"/>
    <n v="3"/>
    <n v="179.611650485436"/>
    <n v="5.3883495145631102"/>
    <n v="184.99999999999912"/>
    <n v="59.223300970873801"/>
    <s v="Maharashtra"/>
  </r>
  <r>
    <n v="9.5181694663689104E+16"/>
    <s v="2024-12-02"/>
    <x v="3"/>
    <x v="2"/>
    <n v="136026"/>
    <n v="7117"/>
    <n v="3"/>
    <n v="155.339805825242"/>
    <n v="4.9514563106796103"/>
    <n v="160.29126213592161"/>
    <n v="49.514563106796103"/>
    <s v="Haryana"/>
  </r>
  <r>
    <n v="1.0166932852456701E+17"/>
    <s v="2024-12-20"/>
    <x v="3"/>
    <x v="1"/>
    <n v="210126"/>
    <n v="7117"/>
    <n v="3"/>
    <n v="146.601941747572"/>
    <n v="4.6310679611650496"/>
    <n v="151.23300970873706"/>
    <n v="51.456310679611697"/>
    <s v="Uttar Pradesh"/>
  </r>
  <r>
    <n v="9.7318644792374304E+16"/>
    <s v="2024-12-08"/>
    <x v="3"/>
    <x v="3"/>
    <n v="535593"/>
    <n v="7117"/>
    <n v="3"/>
    <n v="157.28155339805801"/>
    <n v="4.7184466019417499"/>
    <n v="161.99999999999977"/>
    <n v="59.223300970873801"/>
    <s v="Andhra Pradesh"/>
  </r>
  <r>
    <n v="1.0449527911881101E+17"/>
    <s v="2024-12-28"/>
    <x v="3"/>
    <x v="3"/>
    <n v="203396"/>
    <n v="7117"/>
    <n v="3"/>
    <n v="243.68932038834899"/>
    <n v="7.57281553398058"/>
    <n v="251.26213592232958"/>
    <n v="49.514563106796103"/>
    <s v="Uttar Pradesh"/>
  </r>
  <r>
    <n v="1.05311383339692E+17"/>
    <s v="2024-12-30"/>
    <x v="3"/>
    <x v="3"/>
    <n v="855108"/>
    <n v="7117"/>
    <n v="3"/>
    <n v="156.31067961164999"/>
    <n v="4.6893203883495103"/>
    <n v="160.99999999999949"/>
    <n v="58.252427184466001"/>
    <s v="Bihar"/>
  </r>
  <r>
    <n v="1.0012271771834899E+17"/>
    <s v="2024-12-16"/>
    <x v="3"/>
    <x v="2"/>
    <n v="271801"/>
    <n v="7117"/>
    <n v="3"/>
    <n v="150.485436893203"/>
    <n v="4.7766990291262097"/>
    <n v="155.26213592232921"/>
    <n v="49.514563106796103"/>
    <s v="Uttar Pradesh"/>
  </r>
  <r>
    <n v="1.0487207900194E+17"/>
    <s v="2024-12-29"/>
    <x v="3"/>
    <x v="0"/>
    <n v="122508"/>
    <n v="7117"/>
    <n v="3"/>
    <n v="249.514563106796"/>
    <n v="7.7475728155339798"/>
    <n v="257.26213592233"/>
    <n v="50.485436893203897"/>
    <s v="Haryana"/>
  </r>
  <r>
    <n v="9.7693181253973408E+16"/>
    <s v="2024-12-09"/>
    <x v="3"/>
    <x v="3"/>
    <n v="444806"/>
    <n v="7117"/>
    <n v="3"/>
    <n v="166.990291262135"/>
    <n v="5.0097087378640799"/>
    <n v="171.99999999999909"/>
    <n v="58.252427184466001"/>
    <s v="Maharashtra"/>
  </r>
  <r>
    <n v="1.0460107070534099E+17"/>
    <s v="2024-12-28"/>
    <x v="3"/>
    <x v="0"/>
    <n v="361315"/>
    <n v="7117"/>
    <n v="3"/>
    <n v="239.80582524271799"/>
    <n v="7.7475728155339798"/>
    <n v="247.55339805825196"/>
    <n v="40.776699029126199"/>
    <s v="Gujarat"/>
  </r>
  <r>
    <n v="9.4690290015437696E+16"/>
    <s v="2024-12-01"/>
    <x v="3"/>
    <x v="1"/>
    <n v="324001"/>
    <n v="711790"/>
    <n v="3"/>
    <n v="135.92233009708701"/>
    <n v="4.3689320388349504"/>
    <n v="140.29126213592195"/>
    <n v="49.514563106796103"/>
    <s v="Rajasthan"/>
  </r>
  <r>
    <n v="1.00154616819168E+17"/>
    <s v="2024-12-16"/>
    <x v="3"/>
    <x v="1"/>
    <n v="516127"/>
    <n v="7117"/>
    <n v="3"/>
    <n v="169.90291262135901"/>
    <n v="5.0970873786407802"/>
    <n v="174.9999999999998"/>
    <n v="59.223300970873801"/>
    <s v="Andhra Pradesh"/>
  </r>
  <r>
    <n v="1.0448559660049699E+17"/>
    <s v="2024-12-28"/>
    <x v="3"/>
    <x v="3"/>
    <n v="532001"/>
    <n v="7117"/>
    <n v="3"/>
    <n v="174.757281553398"/>
    <n v="5.2427184466019403"/>
    <n v="179.99999999999994"/>
    <n v="58.252427184466001"/>
    <s v="Andhra Pradesh"/>
  </r>
  <r>
    <n v="9.7362037840999904E+16"/>
    <s v="2024-12-08"/>
    <x v="3"/>
    <x v="1"/>
    <n v="209729"/>
    <n v="7117"/>
    <n v="3"/>
    <n v="171.844660194174"/>
    <n v="5.44660194174757"/>
    <n v="177.29126213592156"/>
    <n v="49.514563106796103"/>
    <s v="Uttar Pradesh"/>
  </r>
  <r>
    <n v="1.0175232047122899E+17"/>
    <s v="2024-12-21"/>
    <x v="3"/>
    <x v="1"/>
    <n v="400103"/>
    <n v="7117"/>
    <n v="3"/>
    <n v="161.16504854368901"/>
    <n v="5.3883495145631102"/>
    <n v="166.55339805825213"/>
    <n v="40.776699029126199"/>
    <s v="Maharashtra"/>
  </r>
  <r>
    <n v="9.9358534904263696E+16"/>
    <s v="2024-12-14"/>
    <x v="3"/>
    <x v="2"/>
    <n v="852210"/>
    <n v="7117"/>
    <n v="3"/>
    <n v="147.57281553397999"/>
    <n v="4.42718446601942"/>
    <n v="151.9999999999994"/>
    <n v="57.2815533980583"/>
    <s v="Bihar"/>
  </r>
  <r>
    <n v="9.5077218426585904E+16"/>
    <s v="2024-12-02"/>
    <x v="3"/>
    <x v="1"/>
    <n v="284002"/>
    <n v="7117"/>
    <n v="3"/>
    <n v="124.27184466019401"/>
    <n v="4.4563106796116498"/>
    <n v="128.72815533980565"/>
    <n v="33.980582524271803"/>
    <s v="Uttar Pradesh"/>
  </r>
  <r>
    <n v="9.9194866735285904E+16"/>
    <s v="2024-12-13"/>
    <x v="3"/>
    <x v="1"/>
    <n v="261001"/>
    <n v="7117"/>
    <n v="3"/>
    <n v="151.45631067961099"/>
    <n v="4.8058252427184502"/>
    <n v="156.26213592232943"/>
    <n v="48.543689320388303"/>
    <s v="Uttar Pradesh"/>
  </r>
  <r>
    <n v="9.5413960699738496E+16"/>
    <s v="2024-12-03"/>
    <x v="3"/>
    <x v="5"/>
    <n v="228001"/>
    <n v="7117"/>
    <n v="3"/>
    <n v="179.611650485436"/>
    <n v="5.6796116504854401"/>
    <n v="185.29126213592144"/>
    <n v="49.514563106796103"/>
    <s v="Uttar Pradesh"/>
  </r>
  <r>
    <n v="1.05198537729668E+17"/>
    <s v="2024-12-30"/>
    <x v="3"/>
    <x v="4"/>
    <n v="560066"/>
    <n v="7117"/>
    <n v="3"/>
    <n v="200.970873786407"/>
    <n v="6.5825242718446599"/>
    <n v="207.55339805825164"/>
    <n v="39.805825242718498"/>
    <s v="Karnataka"/>
  </r>
  <r>
    <n v="9.8641301320168992E+16"/>
    <s v="2024-12-12"/>
    <x v="3"/>
    <x v="1"/>
    <n v="276403"/>
    <n v="7117"/>
    <n v="3"/>
    <n v="170.873786407767"/>
    <n v="5.3883495145631102"/>
    <n v="176.26213592233012"/>
    <n v="50.485436893203897"/>
    <s v="Uttar Pradesh"/>
  </r>
  <r>
    <n v="1.0532301151905E+17"/>
    <s v="2024-12-30"/>
    <x v="3"/>
    <x v="0"/>
    <n v="845426"/>
    <n v="7117"/>
    <n v="3"/>
    <n v="170.873786407767"/>
    <n v="5.2427184466019403"/>
    <n v="176.11650485436894"/>
    <n v="54.368932038834998"/>
    <s v="Bihar"/>
  </r>
  <r>
    <n v="1.0455403525180301E+17"/>
    <s v="2024-12-28"/>
    <x v="3"/>
    <x v="0"/>
    <n v="560058"/>
    <n v="7117"/>
    <n v="3"/>
    <n v="156.31067961164999"/>
    <n v="5.2427184466019403"/>
    <n v="161.55339805825193"/>
    <n v="39.805825242718498"/>
    <s v="Karnataka"/>
  </r>
  <r>
    <n v="9.6949600050411008E+16"/>
    <s v="2024-12-07"/>
    <x v="3"/>
    <x v="2"/>
    <n v="144004"/>
    <n v="7117"/>
    <n v="3"/>
    <n v="159.223300970873"/>
    <n v="5.0679611650485397"/>
    <n v="164.29126213592153"/>
    <n v="48.543689320388303"/>
    <s v="Punjab"/>
  </r>
  <r>
    <n v="9.58381725937156E+16"/>
    <s v="2024-12-04"/>
    <x v="3"/>
    <x v="1"/>
    <n v="284202"/>
    <n v="7117"/>
    <n v="3"/>
    <n v="138.83495145630999"/>
    <n v="4.4563106796116498"/>
    <n v="143.29126213592164"/>
    <n v="48.543689320388303"/>
    <s v="Uttar Pradesh"/>
  </r>
  <r>
    <n v="9.7954334165104E+16"/>
    <s v="2024-12-10"/>
    <x v="3"/>
    <x v="1"/>
    <n v="222137"/>
    <n v="7117"/>
    <n v="3"/>
    <n v="155.339805825242"/>
    <n v="5.3883495145631102"/>
    <n v="160.72815533980511"/>
    <n v="34.951456310679603"/>
    <s v="Uttar Pradesh"/>
  </r>
  <r>
    <n v="9.8075946959390096E+16"/>
    <s v="2024-12-10"/>
    <x v="3"/>
    <x v="1"/>
    <n v="143001"/>
    <n v="7117"/>
    <n v="3"/>
    <n v="170.873786407767"/>
    <n v="5.3883495145631102"/>
    <n v="176.26213592233012"/>
    <n v="50.485436893203897"/>
    <s v="Punjab"/>
  </r>
  <r>
    <n v="9.46662772098016E+16"/>
    <s v="2024-12-01"/>
    <x v="3"/>
    <x v="1"/>
    <n v="455336"/>
    <n v="7117"/>
    <n v="3"/>
    <n v="161.16504854368901"/>
    <n v="4.8349514563106801"/>
    <n v="165.99999999999969"/>
    <n v="58.252427184466001"/>
    <s v="Madhya Pradesh"/>
  </r>
  <r>
    <n v="9.47022158909408E+16"/>
    <s v="2024-12-01"/>
    <x v="3"/>
    <x v="1"/>
    <n v="276404"/>
    <n v="7117"/>
    <n v="3"/>
    <n v="142.718446601941"/>
    <n v="5.0097087378640799"/>
    <n v="147.72815533980508"/>
    <n v="33.980582524271803"/>
    <s v="Uttar Pradesh"/>
  </r>
  <r>
    <n v="1.03406415210544E+17"/>
    <s v="2024-12-25"/>
    <x v="3"/>
    <x v="1"/>
    <n v="485666"/>
    <n v="7117"/>
    <n v="3"/>
    <n v="155.339805825242"/>
    <n v="4.8058252427184502"/>
    <n v="160.14563106796044"/>
    <n v="52.427184466019398"/>
    <s v="Madhya Pradesh"/>
  </r>
  <r>
    <n v="1.0556658159013E+17"/>
    <s v="2024-12-31"/>
    <x v="3"/>
    <x v="0"/>
    <n v="221005"/>
    <n v="7117"/>
    <n v="3"/>
    <n v="132.03883495145601"/>
    <n v="4.6893203883495103"/>
    <n v="136.72815533980551"/>
    <n v="33.980582524271803"/>
    <s v="Uttar Pradesh"/>
  </r>
  <r>
    <n v="9.51559769292128E+16"/>
    <s v="2024-12-02"/>
    <x v="3"/>
    <x v="5"/>
    <n v="743126"/>
    <n v="7117"/>
    <n v="3"/>
    <n v="161.16504854368901"/>
    <n v="4.8349514563106801"/>
    <n v="165.99999999999969"/>
    <n v="58.252427184466001"/>
    <s v="West Bengal"/>
  </r>
  <r>
    <n v="1.0047340805111E+17"/>
    <s v="2024-12-17"/>
    <x v="3"/>
    <x v="1"/>
    <n v="246149"/>
    <n v="7117"/>
    <n v="3"/>
    <n v="136.893203883495"/>
    <n v="4.7766990291262097"/>
    <n v="141.66990291262121"/>
    <n v="35.922330097087404"/>
    <s v="Uttarakhand"/>
  </r>
  <r>
    <n v="1.049953980491E+17"/>
    <s v="2024-12-29"/>
    <x v="3"/>
    <x v="0"/>
    <n v="743234"/>
    <n v="7117"/>
    <n v="3"/>
    <n v="155.339805825242"/>
    <n v="5.2135922330097104"/>
    <n v="160.5533980582517"/>
    <n v="38.834951456310698"/>
    <s v="West Bengal"/>
  </r>
  <r>
    <n v="1.04986925493842E+17"/>
    <s v="2024-12-29"/>
    <x v="3"/>
    <x v="0"/>
    <n v="276207"/>
    <n v="7117"/>
    <n v="3"/>
    <n v="147.57281553397999"/>
    <n v="4.6893203883495103"/>
    <n v="152.26213592232949"/>
    <n v="50.485436893203897"/>
    <s v="Uttar Pradesh"/>
  </r>
  <r>
    <n v="9.9111710116054704E+16"/>
    <s v="2024-12-13"/>
    <x v="3"/>
    <x v="1"/>
    <n v="743312"/>
    <n v="7117"/>
    <n v="3"/>
    <n v="144.66019417475701"/>
    <n v="4.3398058252427196"/>
    <n v="148.99999999999972"/>
    <n v="57.2815533980583"/>
    <s v="West Bengal"/>
  </r>
  <r>
    <n v="1.03381569609072E+17"/>
    <s v="2024-12-25"/>
    <x v="3"/>
    <x v="5"/>
    <n v="121005"/>
    <n v="7117"/>
    <n v="3"/>
    <n v="277.66990291262101"/>
    <n v="9.6116504854368898"/>
    <n v="287.28155339805789"/>
    <n v="71.844660194174807"/>
    <s v="Haryana"/>
  </r>
  <r>
    <n v="9.76168930449996E+16"/>
    <s v="2024-12-09"/>
    <x v="3"/>
    <x v="2"/>
    <n v="801503"/>
    <n v="7117"/>
    <n v="3"/>
    <n v="187.378640776699"/>
    <n v="5.6796116504854401"/>
    <n v="193.05825242718444"/>
    <n v="57.2815533980583"/>
    <s v="Bihar"/>
  </r>
  <r>
    <n v="1.0411800464382E+17"/>
    <s v="2024-12-27"/>
    <x v="3"/>
    <x v="0"/>
    <n v="392001"/>
    <n v="7117"/>
    <n v="3"/>
    <n v="137.864077669902"/>
    <n v="4.6893203883495103"/>
    <n v="142.5533980582515"/>
    <n v="39.805825242718498"/>
    <s v="Gujarat"/>
  </r>
  <r>
    <n v="1.0570430181847501E+17"/>
    <s v="2024-12-31"/>
    <x v="3"/>
    <x v="0"/>
    <n v="123001"/>
    <n v="7117"/>
    <n v="3"/>
    <n v="199.02912621359201"/>
    <n v="5.2135922330097104"/>
    <n v="204.24271844660171"/>
    <n v="82.524271844660205"/>
    <s v="Haryana"/>
  </r>
  <r>
    <n v="9.7397963329844192E+16"/>
    <s v="2024-12-08"/>
    <x v="3"/>
    <x v="1"/>
    <n v="180010"/>
    <n v="7117"/>
    <n v="3"/>
    <n v="200.970873786407"/>
    <n v="6.0291262135922299"/>
    <n v="206.99999999999923"/>
    <n v="80.582524271844704"/>
    <s v="Jammu &amp; Kashmir"/>
  </r>
  <r>
    <n v="9.5431658799137696E+16"/>
    <s v="2024-12-03"/>
    <x v="3"/>
    <x v="3"/>
    <n v="560027"/>
    <n v="7117"/>
    <n v="3"/>
    <n v="151.45631067961099"/>
    <n v="4.5436893203883502"/>
    <n v="155.99999999999935"/>
    <n v="59.223300970873801"/>
    <s v="Karnataka"/>
  </r>
  <r>
    <n v="9.6131101195433408E+16"/>
    <s v="2024-12-05"/>
    <x v="3"/>
    <x v="2"/>
    <n v="228001"/>
    <n v="7117"/>
    <n v="3"/>
    <n v="141.747572815534"/>
    <n v="4.5436893203883502"/>
    <n v="146.29126213592235"/>
    <n v="49.514563106796103"/>
    <s v="Uttar Pradesh"/>
  </r>
  <r>
    <n v="1.0515202937011901E+17"/>
    <s v="2024-12-30"/>
    <x v="3"/>
    <x v="0"/>
    <n v="423203"/>
    <n v="7117"/>
    <n v="3"/>
    <n v="174.757281553398"/>
    <n v="5.2427184466019403"/>
    <n v="179.99999999999994"/>
    <n v="58.252427184466001"/>
    <s v="Maharashtra"/>
  </r>
  <r>
    <n v="9.7033231232550304E+16"/>
    <s v="2024-12-07"/>
    <x v="3"/>
    <x v="3"/>
    <n v="416122"/>
    <n v="7117"/>
    <n v="3"/>
    <n v="181.55339805825199"/>
    <n v="5.44660194174757"/>
    <n v="186.99999999999955"/>
    <n v="59.223300970873801"/>
    <s v="Maharashtra"/>
  </r>
  <r>
    <n v="9.68736093156776E+16"/>
    <s v="2024-12-07"/>
    <x v="3"/>
    <x v="1"/>
    <n v="788101"/>
    <n v="7117"/>
    <n v="3"/>
    <n v="177.66990291262101"/>
    <n v="5.3300970873786397"/>
    <n v="182.99999999999966"/>
    <n v="80.582524271844704"/>
    <s v="Assam"/>
  </r>
  <r>
    <n v="9.4733051599029104E+16"/>
    <s v="2024-12-01"/>
    <x v="3"/>
    <x v="1"/>
    <n v="600077"/>
    <n v="7117"/>
    <n v="3"/>
    <n v="144.66019417475701"/>
    <n v="4.8932038834951497"/>
    <n v="149.55339805825216"/>
    <n v="42.7184466019418"/>
    <s v="Tamil Nadu"/>
  </r>
  <r>
    <n v="9.5793795383984992E+16"/>
    <s v="2024-12-04"/>
    <x v="3"/>
    <x v="1"/>
    <n v="176092"/>
    <n v="7117"/>
    <n v="3"/>
    <n v="159.223300970873"/>
    <n v="5.0679611650485397"/>
    <n v="164.29126213592153"/>
    <n v="48.543689320388303"/>
    <s v="Himachal Pradesh"/>
  </r>
  <r>
    <n v="9.5433761644032896E+16"/>
    <s v="2024-12-03"/>
    <x v="3"/>
    <x v="3"/>
    <n v="562138"/>
    <n v="7117"/>
    <n v="3"/>
    <n v="151.45631067961099"/>
    <n v="4.5436893203883502"/>
    <n v="155.99999999999935"/>
    <n v="59.223300970873801"/>
    <s v="Karnataka"/>
  </r>
  <r>
    <n v="9.5821250103802304E+16"/>
    <s v="2024-12-04"/>
    <x v="3"/>
    <x v="3"/>
    <n v="284202"/>
    <n v="7117"/>
    <n v="3"/>
    <n v="138.83495145630999"/>
    <n v="4.4563106796116498"/>
    <n v="143.29126213592164"/>
    <n v="48.543689320388303"/>
    <s v="Uttar Pradesh"/>
  </r>
  <r>
    <n v="9.6953757142561792E+16"/>
    <s v="2024-12-07"/>
    <x v="3"/>
    <x v="3"/>
    <n v="412306"/>
    <n v="7117"/>
    <n v="3"/>
    <n v="148.54368932038801"/>
    <n v="4.4563106796116498"/>
    <n v="152.99999999999966"/>
    <n v="58.252427184466001"/>
    <s v="Maharashtra"/>
  </r>
  <r>
    <n v="9.6961135565010304E+16"/>
    <s v="2024-12-07"/>
    <x v="3"/>
    <x v="3"/>
    <n v="516127"/>
    <n v="7117"/>
    <n v="3"/>
    <n v="169.90291262135901"/>
    <n v="5.0970873786407802"/>
    <n v="174.9999999999998"/>
    <n v="59.223300970873801"/>
    <s v="Andhra Pradesh"/>
  </r>
  <r>
    <n v="9.47456329675252E+16"/>
    <s v="2024-12-01"/>
    <x v="3"/>
    <x v="3"/>
    <n v="441210"/>
    <n v="7117"/>
    <n v="3"/>
    <n v="146.601941747572"/>
    <n v="4.3980582524271803"/>
    <n v="150.99999999999918"/>
    <n v="59.223300970873801"/>
    <s v="Maharashtra"/>
  </r>
  <r>
    <n v="1.0131546041865901E+17"/>
    <s v="2024-12-19"/>
    <x v="3"/>
    <x v="5"/>
    <n v="206001"/>
    <n v="7117"/>
    <n v="3"/>
    <n v="156.31067961164999"/>
    <n v="5.2135922330097104"/>
    <n v="161.52427184465969"/>
    <n v="39.805825242718498"/>
    <s v="Uttar Pradesh"/>
  </r>
  <r>
    <n v="9.9853071376381504E+16"/>
    <s v="2024-12-15"/>
    <x v="3"/>
    <x v="1"/>
    <n v="131102"/>
    <n v="7117"/>
    <n v="3"/>
    <n v="151.45631067961099"/>
    <n v="4.8058252427184502"/>
    <n v="156.26213592232943"/>
    <n v="50.485436893203897"/>
    <s v="Haryana"/>
  </r>
  <r>
    <n v="1.0240359835415299E+17"/>
    <s v="2024-12-22"/>
    <x v="3"/>
    <x v="1"/>
    <n v="835207"/>
    <n v="7117"/>
    <n v="3"/>
    <n v="140.77669902912601"/>
    <n v="4.7766990291262097"/>
    <n v="145.55339805825221"/>
    <n v="39.805825242718498"/>
    <s v="Jharkhand"/>
  </r>
  <r>
    <n v="9.9091548911645696E+16"/>
    <s v="2024-12-13"/>
    <x v="3"/>
    <x v="1"/>
    <n v="361325"/>
    <n v="7117"/>
    <n v="3"/>
    <n v="146.601941747572"/>
    <n v="4.9514563106796103"/>
    <n v="151.55339805825162"/>
    <n v="39.805825242718498"/>
    <s v="Gujarat"/>
  </r>
  <r>
    <n v="9.5158463013618496E+16"/>
    <s v="2024-12-02"/>
    <x v="3"/>
    <x v="3"/>
    <n v="462041"/>
    <n v="7117"/>
    <n v="3"/>
    <n v="181.55339805825199"/>
    <n v="5.44660194174757"/>
    <n v="186.99999999999955"/>
    <n v="59.223300970873801"/>
    <s v="Madhya Pradesh"/>
  </r>
  <r>
    <n v="9.6519277789524992E+16"/>
    <s v="2024-12-06"/>
    <x v="3"/>
    <x v="3"/>
    <n v="614303"/>
    <n v="7117"/>
    <n v="3"/>
    <n v="147.57281553397999"/>
    <n v="4.9514563106796103"/>
    <n v="152.52427184465961"/>
    <n v="41.747572815533999"/>
    <s v="Tamil Nadu"/>
  </r>
  <r>
    <n v="9.5410541011174304E+16"/>
    <s v="2024-12-03"/>
    <x v="3"/>
    <x v="1"/>
    <n v="841424"/>
    <n v="7117"/>
    <n v="3"/>
    <n v="185.43689320388299"/>
    <n v="5.5631067961165002"/>
    <n v="190.99999999999949"/>
    <n v="59.223300970873801"/>
    <s v="Bihar"/>
  </r>
  <r>
    <n v="9.6560518793676192E+16"/>
    <s v="2024-12-06"/>
    <x v="3"/>
    <x v="1"/>
    <n v="752094"/>
    <n v="7117"/>
    <n v="3"/>
    <n v="157.28155339805801"/>
    <n v="4.7184466019417499"/>
    <n v="161.99999999999977"/>
    <n v="59.223300970873801"/>
    <s v="Odisha"/>
  </r>
  <r>
    <n v="9.5474598008533792E+16"/>
    <s v="2024-12-03"/>
    <x v="3"/>
    <x v="3"/>
    <n v="440001"/>
    <n v="7117"/>
    <n v="3"/>
    <n v="174.757281553398"/>
    <n v="5.2427184466019403"/>
    <n v="179.99999999999994"/>
    <n v="58.252427184466001"/>
    <s v="Maharashtra"/>
  </r>
  <r>
    <n v="1.0496605615374E+17"/>
    <s v="2024-12-29"/>
    <x v="3"/>
    <x v="4"/>
    <n v="533468"/>
    <n v="7117"/>
    <n v="3"/>
    <n v="148.54368932038801"/>
    <n v="4.9805825242718402"/>
    <n v="153.52427184465986"/>
    <n v="39.805825242718498"/>
    <s v="Andhra Pradesh"/>
  </r>
  <r>
    <n v="1.00837769751978E+17"/>
    <s v="2024-12-18"/>
    <x v="3"/>
    <x v="1"/>
    <n v="522101"/>
    <n v="7117"/>
    <n v="3"/>
    <n v="179.611650485436"/>
    <n v="5.3883495145631102"/>
    <n v="184.99999999999912"/>
    <n v="59.223300970873801"/>
    <s v="Andhra Pradesh"/>
  </r>
  <r>
    <n v="9.7319624640508896E+16"/>
    <s v="2024-12-08"/>
    <x v="3"/>
    <x v="6"/>
    <n v="535593"/>
    <n v="7117"/>
    <n v="3"/>
    <n v="157.28155339805801"/>
    <n v="4.7184466019417499"/>
    <n v="161.99999999999977"/>
    <n v="59.223300970873801"/>
    <s v="Andhra Pradesh"/>
  </r>
  <r>
    <n v="1.01579358474272E+17"/>
    <s v="2024-12-20"/>
    <x v="3"/>
    <x v="1"/>
    <n v="201201"/>
    <n v="7117"/>
    <n v="3"/>
    <n v="155.339805825242"/>
    <n v="4.8058252427184502"/>
    <n v="160.14563106796044"/>
    <n v="54.368932038834998"/>
    <s v="Uttar Pradesh"/>
  </r>
  <r>
    <n v="9.73850916735524E+16"/>
    <s v="2024-12-08"/>
    <x v="3"/>
    <x v="1"/>
    <n v="151001"/>
    <n v="7117"/>
    <n v="3"/>
    <n v="158.252427184466"/>
    <n v="5.44660194174757"/>
    <n v="163.69902912621356"/>
    <n v="35.922330097087404"/>
    <s v="Punjab"/>
  </r>
  <r>
    <n v="9.7901449960158704E+16"/>
    <s v="2024-12-10"/>
    <x v="3"/>
    <x v="2"/>
    <n v="852214"/>
    <n v="7117"/>
    <n v="3"/>
    <n v="164.07766990291199"/>
    <n v="4.9223300970873796"/>
    <n v="168.99999999999937"/>
    <n v="58.252427184466001"/>
    <s v="Bihar"/>
  </r>
  <r>
    <n v="1.0010044860611101E+17"/>
    <s v="2024-12-16"/>
    <x v="3"/>
    <x v="1"/>
    <n v="126115"/>
    <n v="7117"/>
    <n v="3"/>
    <n v="166.01941747572801"/>
    <n v="5.2427184466019403"/>
    <n v="171.26213592232995"/>
    <n v="49.514563106796103"/>
    <s v="Haryana"/>
  </r>
  <r>
    <n v="9.7749333122516608E+16"/>
    <s v="2024-12-09"/>
    <x v="3"/>
    <x v="3"/>
    <n v="841426"/>
    <n v="7117"/>
    <n v="3"/>
    <n v="155.339805825242"/>
    <n v="4.7184466019417499"/>
    <n v="160.05825242718373"/>
    <n v="57.2815533980583"/>
    <s v="Bihar"/>
  </r>
  <r>
    <n v="1.0155314922719699E+17"/>
    <s v="2024-12-20"/>
    <x v="3"/>
    <x v="2"/>
    <n v="184143"/>
    <n v="7117"/>
    <n v="3"/>
    <n v="166.01941747572801"/>
    <n v="4.9805825242718402"/>
    <n v="170.99999999999986"/>
    <n v="78.640776699029104"/>
    <s v="Jammu &amp; Kashmir"/>
  </r>
  <r>
    <n v="1.0486599006371501E+17"/>
    <s v="2024-12-29"/>
    <x v="3"/>
    <x v="4"/>
    <n v="532430"/>
    <n v="7117"/>
    <n v="3"/>
    <n v="174.757281553398"/>
    <n v="5.2427184466019403"/>
    <n v="179.99999999999994"/>
    <n v="58.252427184466001"/>
    <s v="Andhra Pradesh"/>
  </r>
  <r>
    <n v="9.6731599250323008E+16"/>
    <s v="2024-12-07"/>
    <x v="3"/>
    <x v="3"/>
    <n v="829119"/>
    <n v="7117"/>
    <n v="3"/>
    <n v="156.31067961164999"/>
    <n v="4.6893203883495103"/>
    <n v="160.99999999999949"/>
    <n v="59.223300970873801"/>
    <s v="Jharkhand"/>
  </r>
  <r>
    <n v="9.66004009162684E+16"/>
    <s v="2024-12-06"/>
    <x v="3"/>
    <x v="1"/>
    <n v="143001"/>
    <n v="7117"/>
    <n v="3"/>
    <n v="141.747572815534"/>
    <n v="4.5436893203883502"/>
    <n v="146.29126213592235"/>
    <n v="49.514563106796103"/>
    <s v="Punjab"/>
  </r>
  <r>
    <n v="1.05148777082716E+17"/>
    <s v="2024-12-30"/>
    <x v="3"/>
    <x v="0"/>
    <n v="803201"/>
    <n v="7117"/>
    <n v="3"/>
    <n v="253.39805825242701"/>
    <n v="7.7184466019417499"/>
    <n v="261.11650485436877"/>
    <n v="55.339805825242699"/>
    <s v="Bihar"/>
  </r>
  <r>
    <n v="9.6516537139016704E+16"/>
    <s v="2024-12-06"/>
    <x v="3"/>
    <x v="3"/>
    <n v="533435"/>
    <n v="7117"/>
    <n v="3"/>
    <n v="168.93203883495099"/>
    <n v="5.0679611650485397"/>
    <n v="173.99999999999952"/>
    <n v="58.252427184466001"/>
    <s v="Andhra Pradesh"/>
  </r>
  <r>
    <n v="9.6651093857830496E+16"/>
    <s v="2024-12-06"/>
    <x v="3"/>
    <x v="1"/>
    <n v="132103"/>
    <n v="7117"/>
    <n v="3"/>
    <n v="161.16504854368901"/>
    <n v="5.1262135922330101"/>
    <n v="166.29126213592201"/>
    <n v="49.514563106796103"/>
    <s v="Haryana"/>
  </r>
  <r>
    <n v="1.0276753196757699E+17"/>
    <s v="2024-12-23"/>
    <x v="3"/>
    <x v="6"/>
    <n v="711106"/>
    <n v="7117"/>
    <n v="3"/>
    <n v="146.601941747572"/>
    <n v="4.3980582524271803"/>
    <n v="150.99999999999918"/>
    <n v="59.223300970873801"/>
    <s v="West Bengal"/>
  </r>
  <r>
    <n v="9.5104906240668496E+16"/>
    <s v="2024-12-02"/>
    <x v="3"/>
    <x v="1"/>
    <n v="560067"/>
    <n v="7117"/>
    <n v="3"/>
    <n v="179.611650485436"/>
    <n v="5.3883495145631102"/>
    <n v="184.99999999999912"/>
    <n v="59.223300970873801"/>
    <s v="Karnataka"/>
  </r>
  <r>
    <n v="1.05172147504308E+17"/>
    <s v="2024-12-30"/>
    <x v="3"/>
    <x v="0"/>
    <n v="390001"/>
    <n v="7117"/>
    <n v="3"/>
    <n v="197.087378640776"/>
    <n v="5.2135922330097104"/>
    <n v="202.3009708737857"/>
    <n v="80.582524271844704"/>
    <s v="Gujarat"/>
  </r>
  <r>
    <n v="9.87727417897752E+16"/>
    <s v="2024-12-12"/>
    <x v="3"/>
    <x v="3"/>
    <n v="413112"/>
    <n v="7117"/>
    <n v="3"/>
    <n v="179.611650485436"/>
    <n v="5.3883495145631102"/>
    <n v="184.99999999999912"/>
    <n v="59.223300970873801"/>
    <s v="Maharashtra"/>
  </r>
  <r>
    <n v="9.90162689604296E+16"/>
    <s v="2024-12-13"/>
    <x v="3"/>
    <x v="1"/>
    <n v="413112"/>
    <n v="7117"/>
    <n v="3"/>
    <n v="179.611650485436"/>
    <n v="5.3883495145631102"/>
    <n v="184.99999999999912"/>
    <n v="59.223300970873801"/>
    <s v="Maharashtra"/>
  </r>
  <r>
    <n v="9.5428260357142896E+16"/>
    <s v="2024-12-03"/>
    <x v="3"/>
    <x v="3"/>
    <n v="813106"/>
    <n v="7117"/>
    <n v="3"/>
    <n v="151.45631067961099"/>
    <n v="4.5436893203883502"/>
    <n v="155.99999999999935"/>
    <n v="59.223300970873801"/>
    <s v="Bihar"/>
  </r>
  <r>
    <n v="9.5499712459473696E+16"/>
    <s v="2024-12-03"/>
    <x v="3"/>
    <x v="1"/>
    <n v="500008"/>
    <n v="7117"/>
    <n v="3"/>
    <n v="180.58252427184399"/>
    <n v="5.4174757281553401"/>
    <n v="185.99999999999935"/>
    <n v="60.194174757281601"/>
    <s v="Telangana"/>
  </r>
  <r>
    <n v="1.0078920891396099E+17"/>
    <s v="2024-12-18"/>
    <x v="3"/>
    <x v="1"/>
    <n v="670611"/>
    <n v="7117"/>
    <n v="3"/>
    <n v="154.368932038834"/>
    <n v="4.6310679611650496"/>
    <n v="158.99999999999906"/>
    <n v="66.990291262135898"/>
    <s v="Kerala"/>
  </r>
  <r>
    <n v="9.8752605733188992E+16"/>
    <s v="2024-12-12"/>
    <x v="3"/>
    <x v="1"/>
    <n v="152021"/>
    <n v="7117"/>
    <n v="3"/>
    <n v="132.03883495145601"/>
    <n v="4.6893203883495103"/>
    <n v="136.72815533980551"/>
    <n v="33.980582524271803"/>
    <s v="Punjab"/>
  </r>
  <r>
    <n v="9.5439597228295104E+16"/>
    <s v="2024-12-03"/>
    <x v="3"/>
    <x v="1"/>
    <n v="813106"/>
    <n v="7117"/>
    <n v="3"/>
    <n v="151.45631067961099"/>
    <n v="4.5436893203883502"/>
    <n v="155.99999999999935"/>
    <n v="59.223300970873801"/>
    <s v="Bihar"/>
  </r>
  <r>
    <n v="1.01036511132072E+17"/>
    <s v="2024-12-19"/>
    <x v="3"/>
    <x v="2"/>
    <n v="284002"/>
    <n v="7117"/>
    <n v="3"/>
    <n v="137.864077669902"/>
    <n v="4.3980582524271803"/>
    <n v="142.26213592232918"/>
    <n v="50.485436893203897"/>
    <s v="Uttar Pradesh"/>
  </r>
  <r>
    <n v="9.95145659364776E+16"/>
    <s v="2024-12-14"/>
    <x v="3"/>
    <x v="1"/>
    <n v="509210"/>
    <n v="7117"/>
    <n v="3"/>
    <n v="167.96116504854299"/>
    <n v="5.0388349514563098"/>
    <n v="172.99999999999932"/>
    <n v="57.2815533980583"/>
    <s v="Telangana"/>
  </r>
  <r>
    <n v="9.5827499549668304E+16"/>
    <s v="2024-12-04"/>
    <x v="3"/>
    <x v="3"/>
    <n v="751024"/>
    <n v="340600"/>
    <n v="12"/>
    <n v="200.892857142857"/>
    <n v="24.107142857142801"/>
    <n v="224.9999999999998"/>
    <n v="53.571428571428598"/>
    <s v="Odisha"/>
  </r>
  <r>
    <n v="1.0521177521487501E+17"/>
    <s v="2024-12-30"/>
    <x v="3"/>
    <x v="4"/>
    <n v="845451"/>
    <n v="7117"/>
    <n v="3"/>
    <n v="185.43689320388299"/>
    <n v="5.2135922330097104"/>
    <n v="190.65048543689269"/>
    <n v="68.932038834951499"/>
    <s v="Bihar"/>
  </r>
  <r>
    <n v="9.6654307731911696E+16"/>
    <s v="2024-12-06"/>
    <x v="3"/>
    <x v="2"/>
    <n v="600055"/>
    <n v="7117"/>
    <n v="3"/>
    <n v="161.16504854368901"/>
    <n v="4.8349514563106801"/>
    <n v="165.99999999999969"/>
    <n v="59.223300970873801"/>
    <s v="Tamil Nadu"/>
  </r>
  <r>
    <n v="9.5802812840999296E+16"/>
    <s v="2024-12-04"/>
    <x v="3"/>
    <x v="2"/>
    <n v="825336"/>
    <n v="7117"/>
    <n v="3"/>
    <n v="179.611650485436"/>
    <n v="5.3883495145631102"/>
    <n v="184.99999999999912"/>
    <n v="59.223300970873801"/>
    <s v="Jharkhand"/>
  </r>
  <r>
    <n v="9.54302384664216E+16"/>
    <s v="2024-12-03"/>
    <x v="3"/>
    <x v="3"/>
    <n v="813106"/>
    <n v="7117"/>
    <n v="3"/>
    <n v="170.873786407767"/>
    <n v="5.1262135922330101"/>
    <n v="176"/>
    <n v="59.223300970873801"/>
    <s v="Bihar"/>
  </r>
  <r>
    <n v="1.0388424453498099E+17"/>
    <s v="2024-12-26"/>
    <x v="3"/>
    <x v="0"/>
    <n v="301020"/>
    <n v="7117"/>
    <n v="3"/>
    <n v="149.514563106796"/>
    <n v="4.6601941747572804"/>
    <n v="154.1747572815533"/>
    <n v="51.456310679611697"/>
    <s v="Rajasthan"/>
  </r>
  <r>
    <n v="9.5309235403654E+16"/>
    <s v="2024-12-03"/>
    <x v="3"/>
    <x v="1"/>
    <n v="534112"/>
    <n v="7117"/>
    <n v="3"/>
    <n v="151.45631067961099"/>
    <n v="4.5436893203883502"/>
    <n v="155.99999999999935"/>
    <n v="59.223300970873801"/>
    <s v="Andhra Pradesh"/>
  </r>
  <r>
    <n v="9.5552885832319904E+16"/>
    <s v="2024-12-03"/>
    <x v="3"/>
    <x v="1"/>
    <n v="110059"/>
    <n v="7117"/>
    <n v="3"/>
    <n v="179.611650485436"/>
    <n v="5.6796116504854401"/>
    <n v="185.29126213592144"/>
    <n v="49.514563106796103"/>
    <s v="Uttar Pradesh"/>
  </r>
  <r>
    <n v="9.7010291024103104E+16"/>
    <s v="2024-12-07"/>
    <x v="3"/>
    <x v="1"/>
    <n v="828112"/>
    <n v="7117"/>
    <n v="3"/>
    <n v="181.55339805825199"/>
    <n v="5.44660194174757"/>
    <n v="186.99999999999955"/>
    <n v="59.223300970873801"/>
    <s v="Jharkhand"/>
  </r>
  <r>
    <n v="1.01584820854798E+17"/>
    <s v="2024-12-20"/>
    <x v="3"/>
    <x v="1"/>
    <n v="500030"/>
    <n v="7117"/>
    <n v="3"/>
    <n v="180.58252427184399"/>
    <n v="5.4174757281553401"/>
    <n v="185.99999999999935"/>
    <n v="60.194174757281601"/>
    <s v="Telangana"/>
  </r>
  <r>
    <n v="9.6510859506824192E+16"/>
    <s v="2024-12-06"/>
    <x v="3"/>
    <x v="3"/>
    <n v="486331"/>
    <n v="7117"/>
    <n v="3"/>
    <n v="155.339805825242"/>
    <n v="4.7475728155339798"/>
    <n v="160.08737864077597"/>
    <n v="55.339805825242699"/>
    <s v="Madhya Pradesh"/>
  </r>
  <r>
    <n v="9.67959728480928E+16"/>
    <s v="2024-12-07"/>
    <x v="3"/>
    <x v="1"/>
    <n v="841226"/>
    <n v="7117"/>
    <n v="3"/>
    <n v="144.66019417475701"/>
    <n v="4.3980582524271803"/>
    <n v="149.05825242718419"/>
    <n v="57.2815533980583"/>
    <s v="Bihar"/>
  </r>
  <r>
    <n v="9.5470979749020608E+16"/>
    <s v="2024-12-03"/>
    <x v="3"/>
    <x v="1"/>
    <n v="421002"/>
    <n v="7117"/>
    <n v="3"/>
    <n v="166.01941747572801"/>
    <n v="4.9805825242718402"/>
    <n v="170.99999999999986"/>
    <n v="59.223300970873801"/>
    <s v="Maharashtra"/>
  </r>
  <r>
    <n v="9.69633729901052E+16"/>
    <s v="2024-12-07"/>
    <x v="3"/>
    <x v="1"/>
    <n v="852109"/>
    <n v="7117"/>
    <n v="3"/>
    <n v="166.990291262135"/>
    <n v="5.0097087378640799"/>
    <n v="171.99999999999909"/>
    <n v="58.252427184466001"/>
    <s v="Bihar"/>
  </r>
  <r>
    <n v="9.61259742108236E+16"/>
    <s v="2024-12-05"/>
    <x v="3"/>
    <x v="3"/>
    <n v="403521"/>
    <n v="7117"/>
    <n v="3"/>
    <n v="137.864077669902"/>
    <n v="4.13592233009709"/>
    <n v="141.99999999999909"/>
    <n v="58.252427184466001"/>
    <s v="Goa"/>
  </r>
  <r>
    <n v="9.7382441123464608E+16"/>
    <s v="2024-12-08"/>
    <x v="3"/>
    <x v="1"/>
    <n v="804432"/>
    <n v="7117"/>
    <n v="3"/>
    <n v="157.28155339805801"/>
    <n v="4.7184466019417499"/>
    <n v="161.99999999999977"/>
    <n v="59.223300970873801"/>
    <s v="Bihar"/>
  </r>
  <r>
    <n v="1.00577383240852E+17"/>
    <s v="2024-12-17"/>
    <x v="3"/>
    <x v="5"/>
    <n v="495004"/>
    <n v="7117"/>
    <n v="3"/>
    <n v="159.223300970873"/>
    <n v="4.7766990291262097"/>
    <n v="163.9999999999992"/>
    <n v="58.252427184466001"/>
    <s v="Chhattisgarh"/>
  </r>
  <r>
    <n v="9.67647892182928E+16"/>
    <s v="2024-12-07"/>
    <x v="3"/>
    <x v="1"/>
    <n v="335501"/>
    <n v="7117"/>
    <n v="3"/>
    <n v="179.611650485436"/>
    <n v="5.6796116504854401"/>
    <n v="185.29126213592144"/>
    <n v="49.514563106796103"/>
    <s v="Rajasthan"/>
  </r>
  <r>
    <n v="1.04443127239344E+17"/>
    <s v="2024-12-28"/>
    <x v="3"/>
    <x v="0"/>
    <n v="829301"/>
    <n v="7117"/>
    <n v="3"/>
    <n v="162.135922330097"/>
    <n v="4.9805825242718402"/>
    <n v="167.11650485436886"/>
    <n v="53.398058252427198"/>
    <s v="Jharkhand"/>
  </r>
  <r>
    <n v="9.76406501213444E+16"/>
    <s v="2024-12-09"/>
    <x v="3"/>
    <x v="1"/>
    <n v="534437"/>
    <n v="7117"/>
    <n v="3"/>
    <n v="170.873786407767"/>
    <n v="5.1262135922330101"/>
    <n v="176"/>
    <n v="59.223300970873801"/>
    <s v="Andhra Pradesh"/>
  </r>
  <r>
    <n v="9.5831088665917792E+16"/>
    <s v="2024-12-04"/>
    <x v="3"/>
    <x v="1"/>
    <n v="811315"/>
    <n v="7117"/>
    <n v="3"/>
    <n v="166.990291262135"/>
    <n v="5.0097087378640799"/>
    <n v="171.99999999999909"/>
    <n v="58.252427184466001"/>
    <s v="Bihar"/>
  </r>
  <r>
    <n v="1.0496767449831501E+17"/>
    <s v="2024-12-29"/>
    <x v="3"/>
    <x v="0"/>
    <n v="281501"/>
    <n v="7117"/>
    <n v="3"/>
    <n v="157.28155339805801"/>
    <n v="4.9805825242718402"/>
    <n v="162.26213592232986"/>
    <n v="48.543689320388303"/>
    <s v="Uttar Pradesh"/>
  </r>
  <r>
    <n v="1.1543917314142499E+17"/>
    <s v="2025-01-27"/>
    <x v="4"/>
    <x v="0"/>
    <n v="814152"/>
    <n v="7117"/>
    <n v="3"/>
    <n v="154.368932038834"/>
    <n v="4.6310679611650496"/>
    <n v="158.99999999999906"/>
    <n v="56.3106796116505"/>
    <s v="Jharkhand"/>
  </r>
  <r>
    <n v="1.14314028800622E+17"/>
    <s v="2025-01-24"/>
    <x v="4"/>
    <x v="0"/>
    <n v="531024"/>
    <n v="7117"/>
    <n v="3"/>
    <n v="158.252427184466"/>
    <n v="5.1844660194174796"/>
    <n v="163.43689320388347"/>
    <n v="41.747572815533999"/>
    <s v="Andhra Pradesh"/>
  </r>
  <r>
    <n v="1.0748736035857699E+17"/>
    <s v="2025-01-05"/>
    <x v="4"/>
    <x v="1"/>
    <n v="431501"/>
    <n v="7117"/>
    <n v="3"/>
    <n v="144.66019417475701"/>
    <n v="4.8349514563106801"/>
    <n v="149.49514563106769"/>
    <n v="40.776699029126199"/>
    <s v="Maharashtra"/>
  </r>
  <r>
    <n v="1.0752307162087E+17"/>
    <s v="2025-01-05"/>
    <x v="4"/>
    <x v="1"/>
    <n v="140402"/>
    <n v="7117"/>
    <n v="3"/>
    <n v="155.339805825242"/>
    <n v="4.86407766990291"/>
    <n v="160.20388349514491"/>
    <n v="51.456310679611697"/>
    <s v="Punjab"/>
  </r>
  <r>
    <n v="1.09984456333656E+17"/>
    <s v="2025-01-12"/>
    <x v="4"/>
    <x v="1"/>
    <n v="501218"/>
    <n v="7117"/>
    <n v="3"/>
    <n v="195.14563106796101"/>
    <n v="6.4077669902912602"/>
    <n v="201.55339805825227"/>
    <n v="39.805825242718498"/>
    <s v="Telangana"/>
  </r>
  <r>
    <n v="1.16915542253792E+17"/>
    <s v="2025-01-31"/>
    <x v="4"/>
    <x v="3"/>
    <n v="273006"/>
    <n v="7117"/>
    <n v="3"/>
    <n v="164.07766990291199"/>
    <n v="5.1844660194174796"/>
    <n v="169.26213592232946"/>
    <n v="47.572815533980602"/>
    <s v="Uttar Pradesh"/>
  </r>
  <r>
    <n v="1.15162386252762E+17"/>
    <s v="2025-01-27"/>
    <x v="4"/>
    <x v="1"/>
    <n v="440034"/>
    <n v="7117"/>
    <n v="3"/>
    <n v="160.19417475728099"/>
    <n v="4.8058252427184502"/>
    <n v="164.99999999999943"/>
    <n v="57.2815533980583"/>
    <s v="Maharashtra"/>
  </r>
  <r>
    <n v="1.07514981855294E+17"/>
    <s v="2025-01-05"/>
    <x v="4"/>
    <x v="1"/>
    <n v="276205"/>
    <n v="7117"/>
    <n v="3"/>
    <n v="149.514563106796"/>
    <n v="4.7475728155339798"/>
    <n v="154.26213592232997"/>
    <n v="50.485436893203897"/>
    <s v="Uttar Pradesh"/>
  </r>
  <r>
    <n v="1.11508411858056E+17"/>
    <s v="2025-01-16"/>
    <x v="4"/>
    <x v="1"/>
    <n v="303712"/>
    <n v="7117"/>
    <n v="3"/>
    <n v="146.601941747572"/>
    <n v="5.0679611650485397"/>
    <n v="151.66990291262053"/>
    <n v="35.922330097087404"/>
    <s v="Rajasthan"/>
  </r>
  <r>
    <n v="1.1393708558220899E+17"/>
    <s v="2025-01-23"/>
    <x v="4"/>
    <x v="1"/>
    <n v="493118"/>
    <n v="7117"/>
    <n v="3"/>
    <n v="132.03883495145601"/>
    <n v="4.42718446601942"/>
    <n v="136.46601941747542"/>
    <n v="41.747572815533999"/>
    <s v="Chhattisgarh"/>
  </r>
  <r>
    <n v="1.10709191873814E+17"/>
    <s v="2025-01-14"/>
    <x v="4"/>
    <x v="2"/>
    <n v="145025"/>
    <n v="7117"/>
    <n v="3"/>
    <n v="138.83495145630999"/>
    <n v="4.42718446601942"/>
    <n v="143.26213592232941"/>
    <n v="50.485436893203897"/>
    <s v="Punjab"/>
  </r>
  <r>
    <n v="1.14122471732494E+17"/>
    <s v="2025-01-24"/>
    <x v="4"/>
    <x v="3"/>
    <n v="121003"/>
    <n v="7117"/>
    <n v="3"/>
    <n v="185.43689320388299"/>
    <n v="5.8252427184466002"/>
    <n v="191.26213592232958"/>
    <n v="50.485436893203897"/>
    <s v="Haryana"/>
  </r>
  <r>
    <n v="1.1501222060546301E+17"/>
    <s v="2025-01-26"/>
    <x v="4"/>
    <x v="1"/>
    <n v="207242"/>
    <n v="7117"/>
    <n v="3"/>
    <n v="151.45631067961099"/>
    <n v="4.8058252427184502"/>
    <n v="156.26213592232943"/>
    <n v="48.543689320388303"/>
    <s v="Uttar Pradesh"/>
  </r>
  <r>
    <n v="1.0845857813813299E+17"/>
    <s v="2025-01-08"/>
    <x v="4"/>
    <x v="1"/>
    <n v="788001"/>
    <n v="7117"/>
    <n v="3"/>
    <n v="178.640776699029"/>
    <n v="5.3592233009708696"/>
    <n v="183.99999999999989"/>
    <n v="75.728155339805795"/>
    <s v="Assam"/>
  </r>
  <r>
    <n v="1.07131351777702E+17"/>
    <s v="2025-01-04"/>
    <x v="4"/>
    <x v="1"/>
    <n v="501501"/>
    <n v="7117"/>
    <n v="3"/>
    <n v="143.68932038834899"/>
    <n v="4.3106796116504897"/>
    <n v="147.99999999999949"/>
    <n v="56.3106796116505"/>
    <s v="Telangana"/>
  </r>
  <r>
    <n v="1.0734498498785699E+17"/>
    <s v="2025-01-05"/>
    <x v="4"/>
    <x v="3"/>
    <n v="847240"/>
    <n v="7117"/>
    <n v="3"/>
    <n v="162.135922330097"/>
    <n v="4.86407766990291"/>
    <n v="166.99999999999991"/>
    <n v="58.252427184466001"/>
    <s v="Bihar"/>
  </r>
  <r>
    <n v="1.07392160709632E+17"/>
    <s v="2025-01-05"/>
    <x v="4"/>
    <x v="1"/>
    <n v="844115"/>
    <n v="7117"/>
    <n v="3"/>
    <n v="126.213592233009"/>
    <n v="4.3689320388349504"/>
    <n v="130.58252427184394"/>
    <n v="38.834951456310698"/>
    <s v="Bihar"/>
  </r>
  <r>
    <n v="1.0737530896518E+17"/>
    <s v="2025-01-05"/>
    <x v="4"/>
    <x v="1"/>
    <n v="276123"/>
    <n v="7117"/>
    <n v="3"/>
    <n v="129.126213592233"/>
    <n v="4.13592233009709"/>
    <n v="133.26213592233009"/>
    <n v="50.485436893203897"/>
    <s v="Uttar Pradesh"/>
  </r>
  <r>
    <n v="1.07037906291684E+17"/>
    <s v="2025-01-04"/>
    <x v="4"/>
    <x v="3"/>
    <n v="761105"/>
    <n v="7117"/>
    <n v="3"/>
    <n v="160.19417475728099"/>
    <n v="4.8058252427184502"/>
    <n v="164.99999999999943"/>
    <n v="56.3106796116505"/>
    <s v="Odisha"/>
  </r>
  <r>
    <n v="1.1629383856976301E+17"/>
    <s v="2025-01-30"/>
    <x v="4"/>
    <x v="0"/>
    <n v="400053"/>
    <n v="7117"/>
    <n v="3"/>
    <n v="154.368932038834"/>
    <n v="4.6310679611650496"/>
    <n v="158.99999999999906"/>
    <n v="56.3106796116505"/>
    <s v="Maharashtra"/>
  </r>
  <r>
    <n v="1.0783786739252899E+17"/>
    <s v="2025-01-06"/>
    <x v="4"/>
    <x v="2"/>
    <n v="845451"/>
    <n v="7117"/>
    <n v="3"/>
    <n v="185.43689320388299"/>
    <n v="5.2135922330097104"/>
    <n v="190.65048543689269"/>
    <n v="68.932038834951499"/>
    <s v="Bihar"/>
  </r>
  <r>
    <n v="1.0706157473237901E+17"/>
    <s v="2025-01-04"/>
    <x v="4"/>
    <x v="1"/>
    <n v="332719"/>
    <n v="7117"/>
    <n v="3"/>
    <n v="153.39805825242701"/>
    <n v="4.8058252427184502"/>
    <n v="158.20388349514545"/>
    <n v="49.514563106796103"/>
    <s v="Rajasthan"/>
  </r>
  <r>
    <n v="1.1388005709453299E+17"/>
    <s v="2025-01-23"/>
    <x v="4"/>
    <x v="2"/>
    <n v="281501"/>
    <n v="7117"/>
    <n v="3"/>
    <n v="161.16504854368901"/>
    <n v="5.0970873786407802"/>
    <n v="166.2621359223298"/>
    <n v="50.485436893203897"/>
    <s v="Uttar Pradesh"/>
  </r>
  <r>
    <n v="1.0748493917251101E+17"/>
    <s v="2025-01-05"/>
    <x v="4"/>
    <x v="0"/>
    <n v="263126"/>
    <n v="7117"/>
    <n v="3"/>
    <n v="150.485436893203"/>
    <n v="4.7766990291262097"/>
    <n v="155.26213592232921"/>
    <n v="50.485436893203897"/>
    <s v="Uttarakhand"/>
  </r>
  <r>
    <n v="1.1388737436650301E+17"/>
    <s v="2025-01-23"/>
    <x v="4"/>
    <x v="1"/>
    <n v="312601"/>
    <n v="7117"/>
    <n v="3"/>
    <n v="147.57281553397999"/>
    <n v="4.6310679611650496"/>
    <n v="152.20388349514505"/>
    <n v="49.514563106796103"/>
    <s v="Rajasthan"/>
  </r>
  <r>
    <n v="1.07288007429742E+17"/>
    <s v="2025-01-05"/>
    <x v="4"/>
    <x v="1"/>
    <n v="110053"/>
    <n v="7117"/>
    <n v="3"/>
    <n v="205.82524271844599"/>
    <n v="6.4368932038834998"/>
    <n v="212.26213592232949"/>
    <n v="50.485436893203897"/>
    <s v="Delhi"/>
  </r>
  <r>
    <n v="1.1239990536414499E+17"/>
    <s v="2025-01-19"/>
    <x v="4"/>
    <x v="3"/>
    <n v="277123"/>
    <n v="7117"/>
    <n v="3"/>
    <n v="138.83495145630999"/>
    <n v="4.42718446601942"/>
    <n v="143.26213592232941"/>
    <n v="50.485436893203897"/>
    <s v="Uttar Pradesh"/>
  </r>
  <r>
    <n v="1.1081037193025901E+17"/>
    <s v="2025-01-15"/>
    <x v="4"/>
    <x v="1"/>
    <n v="700119"/>
    <n v="7117"/>
    <n v="3"/>
    <n v="166.01941747572801"/>
    <n v="4.9805825242718402"/>
    <n v="170.99999999999986"/>
    <n v="57.2815533980583"/>
    <s v="West Bengal"/>
  </r>
  <r>
    <n v="1.0626756048771101E+17"/>
    <s v="2025-01-02"/>
    <x v="4"/>
    <x v="1"/>
    <n v="440017"/>
    <n v="7117"/>
    <n v="3"/>
    <n v="194.17475728155301"/>
    <n v="5.8252427184466002"/>
    <n v="199.9999999999996"/>
    <n v="58.252427184466001"/>
    <s v="Maharashtra"/>
  </r>
  <r>
    <n v="1.1165485083999901E+17"/>
    <s v="2025-01-17"/>
    <x v="4"/>
    <x v="3"/>
    <n v="232327"/>
    <n v="7117"/>
    <n v="3"/>
    <n v="138.83495145630999"/>
    <n v="4.42718446601942"/>
    <n v="143.26213592232941"/>
    <n v="50.485436893203897"/>
    <s v="Uttar Pradesh"/>
  </r>
  <r>
    <n v="1.10633916500472E+17"/>
    <s v="2025-01-14"/>
    <x v="4"/>
    <x v="3"/>
    <n v="144001"/>
    <n v="7117"/>
    <n v="3"/>
    <n v="161.16504854368901"/>
    <n v="5.0970873786407802"/>
    <n v="166.2621359223298"/>
    <n v="50.485436893203897"/>
    <s v="Punjab"/>
  </r>
  <r>
    <n v="1.16385167966326E+17"/>
    <s v="2025-01-30"/>
    <x v="4"/>
    <x v="0"/>
    <n v="766100"/>
    <n v="7117"/>
    <n v="3"/>
    <n v="136.893203883495"/>
    <n v="4.6310679611650496"/>
    <n v="141.52427184466006"/>
    <n v="38.834951456310698"/>
    <s v="Odisha"/>
  </r>
  <r>
    <n v="1.05987743963832E+17"/>
    <s v="2025-01-01"/>
    <x v="4"/>
    <x v="3"/>
    <n v="276123"/>
    <n v="7117"/>
    <n v="3"/>
    <n v="166.01941747572801"/>
    <n v="5.2427184466019403"/>
    <n v="171.26213592232995"/>
    <n v="49.514563106796103"/>
    <s v="Uttarpradesh"/>
  </r>
  <r>
    <n v="1.0744001414053101E+17"/>
    <s v="2025-01-05"/>
    <x v="4"/>
    <x v="3"/>
    <n v="591234"/>
    <n v="7117"/>
    <n v="3"/>
    <n v="145.631067961165"/>
    <n v="4.3689320388349504"/>
    <n v="149.99999999999994"/>
    <n v="59.223300970873801"/>
    <s v="Karnataka"/>
  </r>
  <r>
    <n v="1.12014880990852E+17"/>
    <s v="2025-01-18"/>
    <x v="4"/>
    <x v="5"/>
    <n v="844102"/>
    <n v="7117"/>
    <n v="3"/>
    <n v="166.01941747572801"/>
    <n v="5.0970873786407802"/>
    <n v="171.1165048543688"/>
    <n v="55.339805825242699"/>
    <s v="Bihar"/>
  </r>
  <r>
    <n v="1.1279201699551299E+17"/>
    <s v="2025-01-20"/>
    <x v="4"/>
    <x v="3"/>
    <n v="274702"/>
    <n v="7117"/>
    <n v="3"/>
    <n v="157.28155339805801"/>
    <n v="4.9805825242718402"/>
    <n v="162.26213592232986"/>
    <n v="48.543689320388303"/>
    <s v="Uttar Pradesh"/>
  </r>
  <r>
    <n v="1.15482773317516E+17"/>
    <s v="2025-01-27"/>
    <x v="4"/>
    <x v="3"/>
    <n v="825408"/>
    <n v="7117"/>
    <n v="3"/>
    <n v="169.90291262135901"/>
    <n v="5.0970873786407802"/>
    <n v="174.9999999999998"/>
    <n v="59.223300970873801"/>
    <s v="Jharkhand"/>
  </r>
  <r>
    <n v="1.1459869515635E+17"/>
    <s v="2025-01-25"/>
    <x v="4"/>
    <x v="0"/>
    <n v="307024"/>
    <n v="7117"/>
    <n v="3"/>
    <n v="168.93203883495099"/>
    <n v="5.0679611650485397"/>
    <n v="173.99999999999952"/>
    <n v="57.2815533980583"/>
    <s v="Rajasthan"/>
  </r>
  <r>
    <n v="1.0896930881801101E+17"/>
    <s v="2025-01-09"/>
    <x v="4"/>
    <x v="1"/>
    <n v="532430"/>
    <n v="7117"/>
    <n v="3"/>
    <n v="172.81553398058199"/>
    <n v="5.1844660194174796"/>
    <n v="177.99999999999946"/>
    <n v="56.3106796116505"/>
    <s v="Andhra Pradesh"/>
  </r>
  <r>
    <n v="1.14066611350094E+17"/>
    <s v="2025-01-23"/>
    <x v="4"/>
    <x v="1"/>
    <n v="208021"/>
    <n v="7117"/>
    <n v="3"/>
    <n v="151.45631067961099"/>
    <n v="5.2718446601941702"/>
    <n v="156.72815533980517"/>
    <n v="34.951456310679603"/>
    <s v="Uttar Pradesh"/>
  </r>
  <r>
    <n v="1.10991866322678E+17"/>
    <s v="2025-01-15"/>
    <x v="4"/>
    <x v="3"/>
    <n v="803114"/>
    <n v="7117"/>
    <n v="3"/>
    <n v="147.57281553397999"/>
    <n v="4.42718446601942"/>
    <n v="151.9999999999994"/>
    <n v="59.223300970873801"/>
    <s v="Bihar"/>
  </r>
  <r>
    <n v="1.0717123942405699E+17"/>
    <s v="2025-01-04"/>
    <x v="4"/>
    <x v="3"/>
    <n v="825409"/>
    <n v="7117"/>
    <n v="3"/>
    <n v="160.19417475728099"/>
    <n v="4.8058252427184502"/>
    <n v="164.99999999999943"/>
    <n v="56.3106796116505"/>
    <s v="Jharkhand"/>
  </r>
  <r>
    <n v="1.13885136273306E+17"/>
    <s v="2025-01-23"/>
    <x v="4"/>
    <x v="2"/>
    <n v="481880"/>
    <n v="7117"/>
    <n v="3"/>
    <n v="172.81553398058199"/>
    <n v="5.1844660194174796"/>
    <n v="177.99999999999946"/>
    <n v="56.3106796116505"/>
    <s v="Chhattisgarh"/>
  </r>
  <r>
    <n v="1.13187068544578E+17"/>
    <s v="2025-01-21"/>
    <x v="4"/>
    <x v="1"/>
    <n v="638152"/>
    <n v="7117"/>
    <n v="3"/>
    <n v="172.81553398058199"/>
    <n v="5.1844660194174796"/>
    <n v="177.99999999999946"/>
    <n v="56.3106796116505"/>
    <s v="Tamil Nadu"/>
  </r>
  <r>
    <n v="1.15487397056416E+17"/>
    <s v="2025-01-27"/>
    <x v="4"/>
    <x v="0"/>
    <n v="141006"/>
    <n v="7117"/>
    <n v="3"/>
    <n v="164.07766990291199"/>
    <n v="5.1844660194174796"/>
    <n v="169.26213592232946"/>
    <n v="47.572815533980602"/>
    <s v="Punjab"/>
  </r>
  <r>
    <n v="1.11306540720652E+17"/>
    <s v="2025-01-16"/>
    <x v="4"/>
    <x v="1"/>
    <n v="841436"/>
    <n v="7117"/>
    <n v="3"/>
    <n v="170.873786407767"/>
    <n v="5.2427184466019403"/>
    <n v="176.11650485436894"/>
    <n v="54.368932038834998"/>
    <s v="Bihar"/>
  </r>
  <r>
    <n v="1.0743979789060499E+17"/>
    <s v="2025-01-05"/>
    <x v="4"/>
    <x v="3"/>
    <n v="591234"/>
    <n v="7117"/>
    <n v="3"/>
    <n v="145.631067961165"/>
    <n v="4.3689320388349504"/>
    <n v="149.99999999999994"/>
    <n v="59.223300970873801"/>
    <s v="Karnataka"/>
  </r>
  <r>
    <n v="1.15014385680022E+17"/>
    <s v="2025-01-26"/>
    <x v="4"/>
    <x v="0"/>
    <n v="601201"/>
    <n v="7117"/>
    <n v="3"/>
    <n v="169.90291262135901"/>
    <n v="5.0970873786407802"/>
    <n v="174.9999999999998"/>
    <n v="59.223300970873801"/>
    <s v="Tamil Nadu"/>
  </r>
  <r>
    <n v="1.11673519331672E+17"/>
    <s v="2025-01-17"/>
    <x v="4"/>
    <x v="3"/>
    <n v="822117"/>
    <n v="7117"/>
    <n v="3"/>
    <n v="149.514563106796"/>
    <n v="5.0388349514563098"/>
    <n v="154.55339805825233"/>
    <n v="40.776699029126199"/>
    <s v="Jharkhand"/>
  </r>
  <r>
    <n v="1.06388058010878E+17"/>
    <s v="2025-01-02"/>
    <x v="4"/>
    <x v="3"/>
    <n v="493445"/>
    <n v="7117"/>
    <n v="3"/>
    <n v="156.31067961164999"/>
    <n v="4.6893203883495103"/>
    <n v="160.99999999999949"/>
    <n v="58.252427184466001"/>
    <s v="Chhattisgarh"/>
  </r>
  <r>
    <n v="1.12791068277502E+17"/>
    <s v="2025-01-20"/>
    <x v="4"/>
    <x v="1"/>
    <n v="272194"/>
    <n v="7117"/>
    <n v="3"/>
    <n v="148.54368932038801"/>
    <n v="4.9805825242718402"/>
    <n v="153.52427184465986"/>
    <n v="39.805825242718498"/>
    <s v="Uttar Pradesh"/>
  </r>
  <r>
    <n v="1.1436591249636499E+17"/>
    <s v="2025-01-24"/>
    <x v="4"/>
    <x v="1"/>
    <n v="272191"/>
    <n v="7117"/>
    <n v="3"/>
    <n v="145.631067961165"/>
    <n v="4.6310679611650496"/>
    <n v="150.26213592233006"/>
    <n v="47.572815533980602"/>
    <s v="Uttar Pradesh"/>
  </r>
  <r>
    <n v="1.0808589931871901E+17"/>
    <s v="2025-01-07"/>
    <x v="4"/>
    <x v="1"/>
    <n v="455001"/>
    <n v="7117"/>
    <n v="3"/>
    <n v="168.93203883495099"/>
    <n v="5.0679611650485397"/>
    <n v="173.99999999999952"/>
    <n v="57.2815533980583"/>
    <s v="Madhya Pradesh"/>
  </r>
  <r>
    <n v="1.1498770738689101E+17"/>
    <s v="2025-01-26"/>
    <x v="4"/>
    <x v="2"/>
    <n v="212659"/>
    <n v="7117"/>
    <n v="3"/>
    <n v="164.07766990291199"/>
    <n v="5.1844660194174796"/>
    <n v="169.26213592232946"/>
    <n v="47.572815533980602"/>
    <s v="Uttar Pradesh"/>
  </r>
  <r>
    <n v="1.07856702553912E+17"/>
    <s v="2025-01-06"/>
    <x v="4"/>
    <x v="6"/>
    <n v="442905"/>
    <n v="7117"/>
    <n v="3"/>
    <n v="163.106796116504"/>
    <n v="5.0679611650485397"/>
    <n v="168.17475728155253"/>
    <n v="51.456310679611697"/>
    <s v="Maharashtra"/>
  </r>
  <r>
    <n v="1.09224214507356E+17"/>
    <s v="2025-01-10"/>
    <x v="4"/>
    <x v="1"/>
    <n v="799264"/>
    <n v="7117"/>
    <n v="3"/>
    <n v="166.990291262135"/>
    <n v="5.0097087378640799"/>
    <n v="171.99999999999909"/>
    <n v="78.640776699029104"/>
    <s v="Tripura"/>
  </r>
  <r>
    <n v="1.14601368569706E+17"/>
    <s v="2025-01-25"/>
    <x v="4"/>
    <x v="3"/>
    <n v="284204"/>
    <n v="7117"/>
    <n v="3"/>
    <n v="164.07766990291199"/>
    <n v="5.1844660194174796"/>
    <n v="169.26213592232946"/>
    <n v="47.572815533980602"/>
    <s v="Uttar Pradesh"/>
  </r>
  <r>
    <n v="1.07366706663322E+17"/>
    <s v="2025-01-05"/>
    <x v="4"/>
    <x v="1"/>
    <n v="243005"/>
    <n v="7117"/>
    <n v="3"/>
    <n v="153.39805825242701"/>
    <n v="4.86407766990291"/>
    <n v="158.26213592232992"/>
    <n v="49.514563106796103"/>
    <s v="Uttar Pradesh"/>
  </r>
  <r>
    <n v="1.1561690350186701E+17"/>
    <s v="2025-01-28"/>
    <x v="4"/>
    <x v="1"/>
    <n v="475675"/>
    <n v="7117"/>
    <n v="3"/>
    <n v="132.03883495145601"/>
    <n v="4.1067961165048503"/>
    <n v="136.14563106796086"/>
    <n v="52.427184466019398"/>
    <s v="Madhya Pradesh"/>
  </r>
  <r>
    <n v="1.12931704112706E+17"/>
    <s v="2025-01-20"/>
    <x v="4"/>
    <x v="6"/>
    <n v="824211"/>
    <n v="7117"/>
    <n v="3"/>
    <n v="139.80582524271799"/>
    <n v="4.3980582524271803"/>
    <n v="144.20388349514516"/>
    <n v="51.456310679611697"/>
    <s v="Bihar"/>
  </r>
  <r>
    <n v="1.10040819336934E+17"/>
    <s v="2025-01-12"/>
    <x v="4"/>
    <x v="3"/>
    <n v="123029"/>
    <n v="7117"/>
    <n v="3"/>
    <n v="100"/>
    <n v="3.1456310679611699"/>
    <n v="103.14563106796118"/>
    <n v="52.427184466019398"/>
    <s v="Haryana"/>
  </r>
  <r>
    <n v="1.1472215259146099E+17"/>
    <s v="2025-01-25"/>
    <x v="4"/>
    <x v="1"/>
    <n v="768110"/>
    <n v="7117"/>
    <n v="3"/>
    <n v="172.81553398058199"/>
    <n v="5.1844660194174796"/>
    <n v="177.99999999999946"/>
    <n v="56.3106796116505"/>
    <s v="Odisha"/>
  </r>
  <r>
    <n v="1.0632417751822301E+17"/>
    <s v="2025-01-02"/>
    <x v="4"/>
    <x v="3"/>
    <n v="110074"/>
    <n v="7117"/>
    <n v="3"/>
    <n v="166.01941747572801"/>
    <n v="5.2427184466019403"/>
    <n v="171.26213592232995"/>
    <n v="49.514563106796103"/>
    <s v="Delhi"/>
  </r>
  <r>
    <n v="1.14639459517234E+17"/>
    <s v="2025-01-25"/>
    <x v="4"/>
    <x v="3"/>
    <n v="390010"/>
    <n v="7117"/>
    <n v="3"/>
    <n v="147.57281553397999"/>
    <n v="4.42718446601942"/>
    <n v="151.9999999999994"/>
    <n v="59.223300970873801"/>
    <s v="Gujarat"/>
  </r>
  <r>
    <n v="1.0715149769090301E+17"/>
    <s v="2025-01-04"/>
    <x v="4"/>
    <x v="2"/>
    <n v="445301"/>
    <n v="7117"/>
    <n v="3"/>
    <n v="184.466019417475"/>
    <n v="4.4854368932038797"/>
    <n v="188.95145631067888"/>
    <n v="92.233009708737896"/>
    <s v="Maharashtra"/>
  </r>
  <r>
    <n v="1.1636801031856499E+17"/>
    <s v="2025-01-30"/>
    <x v="4"/>
    <x v="2"/>
    <n v="743504"/>
    <n v="7117"/>
    <n v="3"/>
    <n v="136.893203883495"/>
    <n v="4.1067961165048503"/>
    <n v="140.99999999999986"/>
    <n v="57.2815533980583"/>
    <s v="West Bengal"/>
  </r>
  <r>
    <n v="1.12992339971342E+17"/>
    <s v="2025-01-21"/>
    <x v="4"/>
    <x v="1"/>
    <n v="500067"/>
    <n v="7117"/>
    <n v="3"/>
    <n v="148.54368932038801"/>
    <n v="4.4563106796116498"/>
    <n v="152.99999999999966"/>
    <n v="60.194174757281601"/>
    <s v="Telangana"/>
  </r>
  <r>
    <n v="1.1388662062896701E+17"/>
    <s v="2025-01-23"/>
    <x v="4"/>
    <x v="5"/>
    <n v="517408"/>
    <n v="7117"/>
    <n v="3"/>
    <n v="172.81553398058199"/>
    <n v="4.6310679611650496"/>
    <n v="177.44660194174705"/>
    <n v="74.757281553398101"/>
    <s v="Andhra Pradesh"/>
  </r>
  <r>
    <n v="1.1583985824054701E+17"/>
    <s v="2025-01-28"/>
    <x v="4"/>
    <x v="1"/>
    <n v="281005"/>
    <n v="7117"/>
    <n v="3"/>
    <n v="152.42718446601901"/>
    <n v="5.1844660194174796"/>
    <n v="157.61165048543648"/>
    <n v="35.922330097087404"/>
    <s v="Uttar Pradesh"/>
  </r>
  <r>
    <n v="1.07079675185266E+17"/>
    <s v="2025-01-04"/>
    <x v="4"/>
    <x v="1"/>
    <n v="624710"/>
    <n v="7117"/>
    <n v="3"/>
    <n v="160.19417475728099"/>
    <n v="4.8058252427184502"/>
    <n v="164.99999999999943"/>
    <n v="56.3106796116505"/>
    <s v="Tamil Nadu"/>
  </r>
  <r>
    <n v="1.0606879182556E+17"/>
    <s v="2025-01-01"/>
    <x v="4"/>
    <x v="1"/>
    <n v="828402"/>
    <n v="7117"/>
    <n v="3"/>
    <n v="146.601941747572"/>
    <n v="4.9223300970873796"/>
    <n v="151.52427184465938"/>
    <n v="39.805825242718498"/>
    <s v="Jharkhand"/>
  </r>
  <r>
    <n v="1.1470678807468301E+17"/>
    <s v="2025-01-25"/>
    <x v="4"/>
    <x v="3"/>
    <n v="440016"/>
    <n v="7117"/>
    <n v="3"/>
    <n v="170.873786407767"/>
    <n v="5.1262135922330101"/>
    <n v="176"/>
    <n v="59.223300970873801"/>
    <s v="Maharashtra"/>
  </r>
  <r>
    <n v="1.1468489849703501E+17"/>
    <s v="2025-01-25"/>
    <x v="4"/>
    <x v="1"/>
    <n v="782105"/>
    <n v="7117"/>
    <n v="3"/>
    <n v="189.32038834951399"/>
    <n v="5.6796116504854401"/>
    <n v="194.99999999999943"/>
    <n v="78.640776699029104"/>
    <s v="Assam"/>
  </r>
  <r>
    <n v="1.09711453900272E+17"/>
    <s v="2025-01-11"/>
    <x v="4"/>
    <x v="1"/>
    <n v="621719"/>
    <n v="7117"/>
    <n v="3"/>
    <n v="147.57281553397999"/>
    <n v="4.42718446601942"/>
    <n v="151.9999999999994"/>
    <n v="59.223300970873801"/>
    <s v="Tamil Nadu"/>
  </r>
  <r>
    <n v="1.15468537968266E+17"/>
    <s v="2025-01-27"/>
    <x v="4"/>
    <x v="1"/>
    <n v="332025"/>
    <n v="7117"/>
    <n v="3"/>
    <n v="147.57281553397999"/>
    <n v="4.6310679611650496"/>
    <n v="152.20388349514505"/>
    <n v="49.514563106796103"/>
    <s v="Rajasthan"/>
  </r>
  <r>
    <n v="1.1387983989915299E+17"/>
    <s v="2025-01-23"/>
    <x v="4"/>
    <x v="1"/>
    <n v="508222"/>
    <n v="7117"/>
    <n v="3"/>
    <n v="172.81553398058199"/>
    <n v="5.1844660194174796"/>
    <n v="177.99999999999946"/>
    <n v="56.3106796116505"/>
    <s v="Telangana"/>
  </r>
  <r>
    <n v="1.0749002398894499E+17"/>
    <s v="2025-01-05"/>
    <x v="4"/>
    <x v="1"/>
    <n v="148023"/>
    <n v="7117"/>
    <n v="3"/>
    <n v="155.339805825242"/>
    <n v="4.86407766990291"/>
    <n v="160.20388349514491"/>
    <n v="51.456310679611697"/>
    <s v="Punjab"/>
  </r>
  <r>
    <n v="1.07391612589732E+17"/>
    <s v="2025-01-05"/>
    <x v="4"/>
    <x v="1"/>
    <n v="497225"/>
    <n v="7117"/>
    <n v="3"/>
    <n v="167.96116504854299"/>
    <n v="4.7184466019417499"/>
    <n v="172.67961165048473"/>
    <n v="68.932038834951499"/>
    <s v="Chhattisgarh"/>
  </r>
  <r>
    <n v="1.0698851281302E+17"/>
    <s v="2025-01-04"/>
    <x v="4"/>
    <x v="1"/>
    <n v="764073"/>
    <n v="7117"/>
    <n v="3"/>
    <n v="142.718446601941"/>
    <n v="4.8058252427184502"/>
    <n v="147.52427184465944"/>
    <n v="38.834951456310698"/>
    <s v="Odisha"/>
  </r>
  <r>
    <n v="1.13186799287038E+17"/>
    <s v="2025-01-21"/>
    <x v="4"/>
    <x v="5"/>
    <n v="382418"/>
    <n v="7117"/>
    <n v="3"/>
    <n v="160.19417475728099"/>
    <n v="4.8058252427184502"/>
    <n v="164.99999999999943"/>
    <n v="57.2815533980583"/>
    <s v="Gujarat"/>
  </r>
  <r>
    <n v="1.15016481272826E+17"/>
    <s v="2025-01-26"/>
    <x v="4"/>
    <x v="3"/>
    <n v="243751"/>
    <n v="7117"/>
    <n v="3"/>
    <n v="145.631067961165"/>
    <n v="4.6310679611650496"/>
    <n v="150.26213592233006"/>
    <n v="47.572815533980602"/>
    <s v="Uttar Pradesh"/>
  </r>
  <r>
    <n v="1.0712321519284701E+17"/>
    <s v="2025-01-04"/>
    <x v="4"/>
    <x v="1"/>
    <n v="110081"/>
    <n v="7117"/>
    <n v="3"/>
    <n v="122.33009708737799"/>
    <n v="4.3106796116504897"/>
    <n v="126.64077669902848"/>
    <n v="34.951456310679603"/>
    <s v="Delhi"/>
  </r>
  <r>
    <n v="1.1690743401526099E+17"/>
    <s v="2025-01-31"/>
    <x v="4"/>
    <x v="0"/>
    <n v="123501"/>
    <n v="7117"/>
    <n v="3"/>
    <n v="155.339805825242"/>
    <n v="4.8058252427184502"/>
    <n v="160.14563106796044"/>
    <n v="52.427184466019398"/>
    <s v="Haryana"/>
  </r>
  <r>
    <n v="1.07419569890816E+17"/>
    <s v="2025-01-05"/>
    <x v="4"/>
    <x v="1"/>
    <n v="532421"/>
    <n v="7117"/>
    <n v="3"/>
    <n v="145.631067961165"/>
    <n v="4.3689320388349504"/>
    <n v="149.99999999999994"/>
    <n v="58.252427184466001"/>
    <s v="Andhra Pradesh"/>
  </r>
  <r>
    <n v="1.12123669983158E+17"/>
    <s v="2025-01-18"/>
    <x v="4"/>
    <x v="1"/>
    <n v="444107"/>
    <n v="7117"/>
    <n v="3"/>
    <n v="170.873786407767"/>
    <n v="5.1262135922330101"/>
    <n v="176"/>
    <n v="59.223300970873801"/>
    <s v="Maharashtra"/>
  </r>
  <r>
    <n v="1.0991717017953501E+17"/>
    <s v="2025-01-12"/>
    <x v="4"/>
    <x v="1"/>
    <n v="121003"/>
    <n v="7117"/>
    <n v="3"/>
    <n v="138.83495145630999"/>
    <n v="4.8058252427184502"/>
    <n v="143.64077669902844"/>
    <n v="35.922330097087404"/>
    <s v="Haryana"/>
  </r>
  <r>
    <n v="1.0709474401402499E+17"/>
    <s v="2025-01-04"/>
    <x v="4"/>
    <x v="1"/>
    <n v="209733"/>
    <n v="7117"/>
    <n v="3"/>
    <n v="134.95145631067899"/>
    <n v="4.3106796116504897"/>
    <n v="139.26213592232949"/>
    <n v="47.572815533980602"/>
    <s v="Uttar Pradesh"/>
  </r>
  <r>
    <n v="1.0824764683324301E+17"/>
    <s v="2025-01-07"/>
    <x v="4"/>
    <x v="3"/>
    <n v="517424"/>
    <n v="7117"/>
    <n v="3"/>
    <n v="172.81553398058199"/>
    <n v="5.1844660194174796"/>
    <n v="177.99999999999946"/>
    <n v="56.3106796116505"/>
    <s v="Andhra Pradesh"/>
  </r>
  <r>
    <n v="1.1071792388748E+17"/>
    <s v="2025-01-14"/>
    <x v="4"/>
    <x v="1"/>
    <n v="226022"/>
    <n v="7117"/>
    <n v="3"/>
    <n v="167.96116504854299"/>
    <n v="5.8252427184466002"/>
    <n v="173.78640776698958"/>
    <n v="33.009708737864102"/>
    <s v="Uttar Pradesh"/>
  </r>
  <r>
    <n v="1.12217523152552E+17"/>
    <s v="2025-01-18"/>
    <x v="4"/>
    <x v="3"/>
    <n v="753001"/>
    <n v="7117"/>
    <n v="3"/>
    <n v="213.592233009708"/>
    <n v="6.4077669902912602"/>
    <n v="219.99999999999926"/>
    <n v="58.252427184466001"/>
    <s v="Odisha"/>
  </r>
  <r>
    <n v="1.06010949387056E+17"/>
    <s v="2025-01-01"/>
    <x v="4"/>
    <x v="1"/>
    <n v="201102"/>
    <n v="7117"/>
    <n v="3"/>
    <n v="170.873786407767"/>
    <n v="5.2135922330097104"/>
    <n v="176.08737864077671"/>
    <n v="54.368932038834998"/>
    <s v="Uttar Pradesh"/>
  </r>
  <r>
    <n v="1.1206034502323E+17"/>
    <s v="2025-01-18"/>
    <x v="4"/>
    <x v="2"/>
    <n v="847402"/>
    <n v="7117"/>
    <n v="3"/>
    <n v="169.90291262135901"/>
    <n v="5.0970873786407802"/>
    <n v="174.9999999999998"/>
    <n v="59.223300970873801"/>
    <s v="Bihar"/>
  </r>
  <r>
    <n v="1.07306177091756E+17"/>
    <s v="2025-01-05"/>
    <x v="4"/>
    <x v="2"/>
    <n v="759122"/>
    <n v="7117"/>
    <n v="3"/>
    <n v="167.96116504854299"/>
    <n v="5.0388349514563098"/>
    <n v="172.99999999999932"/>
    <n v="58.252427184466001"/>
    <s v="Odisha"/>
  </r>
  <r>
    <n v="1.14657532957584E+17"/>
    <s v="2025-01-25"/>
    <x v="4"/>
    <x v="3"/>
    <n v="411039"/>
    <n v="7117"/>
    <n v="3"/>
    <n v="169.90291262135901"/>
    <n v="5.0970873786407802"/>
    <n v="174.9999999999998"/>
    <n v="59.223300970873801"/>
    <s v="Maharashtra"/>
  </r>
  <r>
    <n v="1.07082584126944E+17"/>
    <s v="2025-01-04"/>
    <x v="4"/>
    <x v="1"/>
    <n v="274409"/>
    <n v="7117"/>
    <n v="3"/>
    <n v="151.45631067961099"/>
    <n v="4.8058252427184502"/>
    <n v="156.26213592232943"/>
    <n v="47.572815533980602"/>
    <s v="Uttar Pradesh"/>
  </r>
  <r>
    <n v="1.1419410516418499E+17"/>
    <s v="2025-01-24"/>
    <x v="4"/>
    <x v="2"/>
    <n v="636905"/>
    <n v="7117"/>
    <n v="3"/>
    <n v="169.90291262135901"/>
    <n v="5.0970873786407802"/>
    <n v="174.9999999999998"/>
    <n v="59.223300970873801"/>
    <s v="Tamil Nadu"/>
  </r>
  <r>
    <n v="1.1616851943938E+17"/>
    <s v="2025-01-29"/>
    <x v="4"/>
    <x v="0"/>
    <n v="560026"/>
    <n v="7117"/>
    <n v="3"/>
    <n v="168.93203883495099"/>
    <n v="5.0679611650485397"/>
    <n v="173.99999999999952"/>
    <n v="57.2815533980583"/>
    <s v="Karnataka"/>
  </r>
  <r>
    <n v="1.11707036489544E+17"/>
    <s v="2025-01-17"/>
    <x v="4"/>
    <x v="6"/>
    <n v="225409"/>
    <n v="7117"/>
    <n v="3"/>
    <n v="138.83495145630999"/>
    <n v="4.42718446601942"/>
    <n v="143.26213592232941"/>
    <n v="50.485436893203897"/>
    <s v="Uttar Pradesh"/>
  </r>
  <r>
    <n v="1.0958705468669901E+17"/>
    <s v="2025-01-11"/>
    <x v="4"/>
    <x v="2"/>
    <n v="403516"/>
    <n v="7117"/>
    <n v="3"/>
    <n v="166.01941747572801"/>
    <n v="4.9805825242718402"/>
    <n v="170.99999999999986"/>
    <n v="57.2815533980583"/>
    <s v="Goa"/>
  </r>
  <r>
    <n v="1.1646178993668099E+17"/>
    <s v="2025-01-30"/>
    <x v="4"/>
    <x v="0"/>
    <n v="302016"/>
    <n v="7117"/>
    <n v="3"/>
    <n v="166.990291262135"/>
    <n v="5.2718446601941702"/>
    <n v="172.26213592232918"/>
    <n v="50.485436893203897"/>
    <s v="Rajasthan"/>
  </r>
  <r>
    <n v="1.11429733144884E+17"/>
    <s v="2025-01-16"/>
    <x v="4"/>
    <x v="1"/>
    <n v="122508"/>
    <n v="7117"/>
    <n v="3"/>
    <n v="161.16504854368901"/>
    <n v="5.0970873786407802"/>
    <n v="166.2621359223298"/>
    <n v="50.485436893203897"/>
    <s v="Haryana"/>
  </r>
  <r>
    <n v="1.1544255146455299E+17"/>
    <s v="2025-01-27"/>
    <x v="4"/>
    <x v="0"/>
    <n v="425001"/>
    <n v="7117"/>
    <n v="3"/>
    <n v="136.893203883495"/>
    <n v="4.1067961165048503"/>
    <n v="140.99999999999986"/>
    <n v="57.2815533980583"/>
    <s v="Maharashtra"/>
  </r>
  <r>
    <n v="1.11403680594686E+17"/>
    <s v="2025-01-16"/>
    <x v="4"/>
    <x v="1"/>
    <n v="502103"/>
    <n v="7117"/>
    <n v="3"/>
    <n v="147.57281553397999"/>
    <n v="4.42718446601942"/>
    <n v="151.9999999999994"/>
    <n v="59.223300970873801"/>
    <s v="Telangana"/>
  </r>
  <r>
    <n v="1.06927010359472E+17"/>
    <s v="2025-01-04"/>
    <x v="4"/>
    <x v="1"/>
    <n v="276123"/>
    <n v="7117"/>
    <n v="3"/>
    <n v="139.80582524271799"/>
    <n v="4.4563106796116498"/>
    <n v="144.26213592232963"/>
    <n v="47.572815533980602"/>
    <s v="Uttar Pradesh"/>
  </r>
  <r>
    <n v="1.1465603226916701E+17"/>
    <s v="2025-01-25"/>
    <x v="4"/>
    <x v="1"/>
    <n v="360001"/>
    <n v="7117"/>
    <n v="3"/>
    <n v="172.81553398058199"/>
    <n v="5.1844660194174796"/>
    <n v="177.99999999999946"/>
    <n v="56.3106796116505"/>
    <s v="Gujarat"/>
  </r>
  <r>
    <n v="1.1657946040870099E+17"/>
    <s v="2025-01-30"/>
    <x v="4"/>
    <x v="0"/>
    <n v="490023"/>
    <n v="7117"/>
    <n v="3"/>
    <n v="151.45631067961099"/>
    <n v="4.5436893203883502"/>
    <n v="155.99999999999935"/>
    <n v="59.223300970873801"/>
    <s v="Chhattisgarh"/>
  </r>
  <r>
    <n v="1.1259028933564E+17"/>
    <s v="2025-01-19"/>
    <x v="4"/>
    <x v="3"/>
    <n v="390010"/>
    <n v="7117"/>
    <n v="3"/>
    <n v="147.57281553397999"/>
    <n v="4.42718446601942"/>
    <n v="151.9999999999994"/>
    <n v="59.223300970873801"/>
    <s v="Gujarat"/>
  </r>
  <r>
    <n v="1.1151303840294499E+17"/>
    <s v="2025-01-16"/>
    <x v="4"/>
    <x v="2"/>
    <n v="583236"/>
    <n v="7117"/>
    <n v="3"/>
    <n v="153.39805825242701"/>
    <n v="5.0679611650485397"/>
    <n v="158.46601941747554"/>
    <n v="42.7184466019418"/>
    <s v="Karnataka"/>
  </r>
  <r>
    <n v="1.1221667272451299E+17"/>
    <s v="2025-01-18"/>
    <x v="4"/>
    <x v="1"/>
    <n v="560091"/>
    <n v="7117"/>
    <n v="3"/>
    <n v="151.45631067961099"/>
    <n v="5.0970873786407802"/>
    <n v="156.55339805825179"/>
    <n v="40.776699029126199"/>
    <s v="Karnataka"/>
  </r>
  <r>
    <n v="1.0712681972072099E+17"/>
    <s v="2025-01-04"/>
    <x v="4"/>
    <x v="3"/>
    <n v="457339"/>
    <n v="7117"/>
    <n v="3"/>
    <n v="143.68932038834899"/>
    <n v="4.3106796116504897"/>
    <n v="147.99999999999949"/>
    <n v="56.3106796116505"/>
    <s v="Madhya Pradesh"/>
  </r>
  <r>
    <n v="1.07143652639536E+17"/>
    <s v="2025-01-04"/>
    <x v="4"/>
    <x v="1"/>
    <n v="700018"/>
    <n v="7117"/>
    <n v="3"/>
    <n v="137.864077669902"/>
    <n v="4.13592233009709"/>
    <n v="141.99999999999909"/>
    <n v="59.223300970873801"/>
    <s v="West Bengal"/>
  </r>
  <r>
    <n v="1.1060349876194099E+17"/>
    <s v="2025-01-14"/>
    <x v="4"/>
    <x v="2"/>
    <n v="517619"/>
    <n v="7117"/>
    <n v="3"/>
    <n v="159.223300970873"/>
    <n v="5.0679611650485397"/>
    <n v="164.29126213592153"/>
    <n v="48.543689320388303"/>
    <s v="Andhra Pradesh"/>
  </r>
  <r>
    <n v="1.07806223428116E+17"/>
    <s v="2025-01-06"/>
    <x v="4"/>
    <x v="1"/>
    <n v="396195"/>
    <n v="7117"/>
    <n v="3"/>
    <n v="119.417475728155"/>
    <n v="3.5825242718446599"/>
    <n v="122.99999999999966"/>
    <n v="57.2815533980583"/>
    <s v="Gujarat"/>
  </r>
  <r>
    <n v="1.0700399677410099E+17"/>
    <s v="2025-01-04"/>
    <x v="4"/>
    <x v="3"/>
    <n v="627106"/>
    <n v="7117"/>
    <n v="3"/>
    <n v="143.68932038834899"/>
    <n v="4.3106796116504897"/>
    <n v="147.99999999999949"/>
    <n v="56.3106796116505"/>
    <s v="Tamil Nadu"/>
  </r>
  <r>
    <n v="1.1288557552749699E+17"/>
    <s v="2025-01-20"/>
    <x v="4"/>
    <x v="0"/>
    <n v="641050"/>
    <n v="7117"/>
    <n v="3"/>
    <n v="136.893203883495"/>
    <n v="4.1067961165048503"/>
    <n v="140.99999999999986"/>
    <n v="57.2815533980583"/>
    <s v="Tamil Nadu"/>
  </r>
  <r>
    <n v="1.10436791136616E+17"/>
    <s v="2025-01-13"/>
    <x v="4"/>
    <x v="1"/>
    <n v="140603"/>
    <n v="7117"/>
    <n v="3"/>
    <n v="147.57281553397999"/>
    <n v="5.0970873786407802"/>
    <n v="152.66990291262078"/>
    <n v="36.893203883495197"/>
    <s v="Punjab"/>
  </r>
  <r>
    <n v="1.1060120889238301E+17"/>
    <s v="2025-01-14"/>
    <x v="4"/>
    <x v="3"/>
    <n v="788734"/>
    <n v="7117"/>
    <n v="3"/>
    <n v="175.728155339805"/>
    <n v="5.2718446601941702"/>
    <n v="180.99999999999918"/>
    <n v="77.669902912621396"/>
    <s v="Assam"/>
  </r>
  <r>
    <n v="1.0893901881455E+17"/>
    <s v="2025-01-09"/>
    <x v="4"/>
    <x v="1"/>
    <n v="151001"/>
    <n v="7117"/>
    <n v="3"/>
    <n v="151.45631067961099"/>
    <n v="5.1844660194174796"/>
    <n v="156.64077669902846"/>
    <n v="34.951456310679603"/>
    <s v="Punjab"/>
  </r>
  <r>
    <n v="1.0668162725789299E+17"/>
    <s v="2025-01-03"/>
    <x v="4"/>
    <x v="1"/>
    <n v="247129"/>
    <n v="7117"/>
    <n v="3"/>
    <n v="166.01941747572801"/>
    <n v="5.2427184466019403"/>
    <n v="171.26213592232995"/>
    <n v="49.514563106796103"/>
    <s v="Uttar Pradesh"/>
  </r>
  <r>
    <n v="1.09659068779754E+17"/>
    <s v="2025-01-11"/>
    <x v="4"/>
    <x v="1"/>
    <n v="734001"/>
    <n v="7117"/>
    <n v="3"/>
    <n v="141.747572815534"/>
    <n v="4.8058252427184502"/>
    <n v="146.55339805825244"/>
    <n v="38.834951456310698"/>
    <s v="West Bengal"/>
  </r>
  <r>
    <n v="1.0703705143973901E+17"/>
    <s v="2025-01-04"/>
    <x v="4"/>
    <x v="2"/>
    <n v="843329"/>
    <n v="7117"/>
    <n v="3"/>
    <n v="137.864077669902"/>
    <n v="4.13592233009709"/>
    <n v="141.99999999999909"/>
    <n v="59.223300970873801"/>
    <s v="Bihar"/>
  </r>
  <r>
    <n v="1.0731413328501101E+17"/>
    <s v="2025-01-05"/>
    <x v="4"/>
    <x v="1"/>
    <n v="562123"/>
    <n v="7117"/>
    <n v="3"/>
    <n v="167.96116504854299"/>
    <n v="5.0388349514563098"/>
    <n v="172.99999999999932"/>
    <n v="58.252427184466001"/>
    <s v="Karnataka"/>
  </r>
  <r>
    <n v="1.09557143327142E+17"/>
    <s v="2025-01-11"/>
    <x v="4"/>
    <x v="1"/>
    <n v="276123"/>
    <n v="7117"/>
    <n v="3"/>
    <n v="138.83495145630999"/>
    <n v="4.42718446601942"/>
    <n v="143.26213592232941"/>
    <n v="50.485436893203897"/>
    <s v="Uttar Pradesh"/>
  </r>
  <r>
    <n v="1.1417998451988499E+17"/>
    <s v="2025-01-24"/>
    <x v="4"/>
    <x v="1"/>
    <n v="848213"/>
    <n v="7117"/>
    <n v="3"/>
    <n v="172.81553398058199"/>
    <n v="5.1844660194174796"/>
    <n v="177.99999999999946"/>
    <n v="56.3106796116505"/>
    <s v="Bihar"/>
  </r>
  <r>
    <n v="1.06665745592906E+17"/>
    <s v="2025-01-03"/>
    <x v="4"/>
    <x v="1"/>
    <n v="207001"/>
    <n v="7117"/>
    <n v="3"/>
    <n v="155.339805825242"/>
    <n v="5.2135922330097104"/>
    <n v="160.5533980582517"/>
    <n v="38.834951456310698"/>
    <s v="Uttar Pradesh"/>
  </r>
  <r>
    <n v="1.07487053285192E+17"/>
    <s v="2025-01-05"/>
    <x v="4"/>
    <x v="1"/>
    <n v="304504"/>
    <n v="7117"/>
    <n v="3"/>
    <n v="138.83495145630999"/>
    <n v="4.86407766990291"/>
    <n v="143.69902912621291"/>
    <n v="34.951456310679603"/>
    <s v="Rajasthan"/>
  </r>
  <r>
    <n v="1.1142384502573901E+17"/>
    <s v="2025-01-16"/>
    <x v="4"/>
    <x v="3"/>
    <n v="700016"/>
    <n v="7117"/>
    <n v="3"/>
    <n v="175.728155339805"/>
    <n v="5.8252427184466002"/>
    <n v="181.55339805825159"/>
    <n v="40.776699029126199"/>
    <s v="West Bengal"/>
  </r>
  <r>
    <n v="1.06365826774266E+17"/>
    <s v="2025-01-02"/>
    <x v="4"/>
    <x v="1"/>
    <n v="110076"/>
    <n v="7117"/>
    <n v="3"/>
    <n v="224.27184466019401"/>
    <n v="6.9902912621359201"/>
    <n v="231.26213592232992"/>
    <n v="50.485436893203897"/>
    <s v="Delhi"/>
  </r>
  <r>
    <n v="1.1371784801002301E+17"/>
    <s v="2025-01-23"/>
    <x v="4"/>
    <x v="1"/>
    <n v="453112"/>
    <n v="7117"/>
    <n v="3"/>
    <n v="194.17475728155301"/>
    <n v="5.8252427184466002"/>
    <n v="199.9999999999996"/>
    <n v="59.223300970873801"/>
    <s v="Madhya Pradesh"/>
  </r>
  <r>
    <n v="1.1313074302644701E+17"/>
    <s v="2025-01-21"/>
    <x v="4"/>
    <x v="1"/>
    <n v="605202"/>
    <n v="7117"/>
    <n v="3"/>
    <n v="169.90291262135901"/>
    <n v="5.0970873786407802"/>
    <n v="174.9999999999998"/>
    <n v="59.223300970873801"/>
    <s v="Tamil Nadu"/>
  </r>
  <r>
    <n v="1.1224300775096E+17"/>
    <s v="2025-01-18"/>
    <x v="4"/>
    <x v="1"/>
    <n v="835227"/>
    <n v="7117"/>
    <n v="3"/>
    <n v="119.417475728155"/>
    <n v="4.1067961165048503"/>
    <n v="123.52427184465985"/>
    <n v="39.805825242718498"/>
    <s v="Jharkhand"/>
  </r>
  <r>
    <n v="1.16896252511284E+17"/>
    <s v="2025-01-31"/>
    <x v="4"/>
    <x v="0"/>
    <n v="533341"/>
    <n v="7117"/>
    <n v="3"/>
    <n v="172.81553398058199"/>
    <n v="5.1844660194174796"/>
    <n v="177.99999999999946"/>
    <n v="56.3106796116505"/>
    <s v="Andhra Pradesh"/>
  </r>
  <r>
    <n v="1.08948672250934E+17"/>
    <s v="2025-01-09"/>
    <x v="4"/>
    <x v="3"/>
    <n v="531133"/>
    <n v="7117"/>
    <n v="3"/>
    <n v="173.78640776699001"/>
    <n v="5.2427184466019403"/>
    <n v="179.02912621359195"/>
    <n v="57.2815533980583"/>
    <s v="Andhra Pradesh"/>
  </r>
  <r>
    <n v="1.10944780435092E+17"/>
    <s v="2025-01-15"/>
    <x v="4"/>
    <x v="5"/>
    <n v="204101"/>
    <n v="7117"/>
    <n v="3"/>
    <n v="150.485436893203"/>
    <n v="5.2427184466019403"/>
    <n v="155.72815533980494"/>
    <n v="33.980582524271803"/>
    <s v="Uttar Pradesh"/>
  </r>
  <r>
    <n v="1.12136573562418E+17"/>
    <s v="2025-01-18"/>
    <x v="4"/>
    <x v="3"/>
    <n v="576108"/>
    <n v="7117"/>
    <n v="3"/>
    <n v="142.718446601941"/>
    <n v="4.8058252427184502"/>
    <n v="147.52427184465944"/>
    <n v="39.805825242718498"/>
    <s v="Karnataka"/>
  </r>
  <r>
    <n v="1.1469085187954899E+17"/>
    <s v="2025-01-25"/>
    <x v="4"/>
    <x v="1"/>
    <n v="201304"/>
    <n v="7117"/>
    <n v="3"/>
    <n v="164.07766990291199"/>
    <n v="5.1844660194174796"/>
    <n v="169.26213592232946"/>
    <n v="47.572815533980602"/>
    <s v="Uttar Pradesh"/>
  </r>
  <r>
    <n v="1.12223999580468E+17"/>
    <s v="2025-01-18"/>
    <x v="4"/>
    <x v="1"/>
    <n v="844123"/>
    <n v="7117"/>
    <n v="3"/>
    <n v="169.90291262135901"/>
    <n v="5.0970873786407802"/>
    <n v="174.9999999999998"/>
    <n v="59.223300970873801"/>
    <s v="Bihar"/>
  </r>
  <r>
    <n v="1.1176610138976701E+17"/>
    <s v="2025-01-17"/>
    <x v="4"/>
    <x v="1"/>
    <n v="580024"/>
    <n v="7117"/>
    <n v="3"/>
    <n v="194.17475728155301"/>
    <n v="5.8252427184466002"/>
    <n v="199.9999999999996"/>
    <n v="59.223300970873801"/>
    <s v="Karnataka"/>
  </r>
  <r>
    <n v="1.1178809113752E+17"/>
    <s v="2025-01-17"/>
    <x v="4"/>
    <x v="1"/>
    <n v="855102"/>
    <n v="7117"/>
    <n v="3"/>
    <n v="169.90291262135901"/>
    <n v="5.0970873786407802"/>
    <n v="174.9999999999998"/>
    <n v="59.223300970873801"/>
    <s v="Bihar"/>
  </r>
  <r>
    <n v="1.1575393903040301E+17"/>
    <s v="2025-01-28"/>
    <x v="4"/>
    <x v="0"/>
    <n v="757037"/>
    <n v="7117"/>
    <n v="3"/>
    <n v="155.339805825242"/>
    <n v="5.1844660194174796"/>
    <n v="160.52427184465947"/>
    <n v="38.834951456310698"/>
    <s v="Odisha"/>
  </r>
  <r>
    <n v="1.1493534912128E+17"/>
    <s v="2025-01-26"/>
    <x v="4"/>
    <x v="1"/>
    <n v="457339"/>
    <n v="7117"/>
    <n v="3"/>
    <n v="154.368932038834"/>
    <n v="4.6310679611650496"/>
    <n v="158.99999999999906"/>
    <n v="56.3106796116505"/>
    <s v="Madhya Pradesh"/>
  </r>
  <r>
    <n v="1.14752356301962E+17"/>
    <s v="2025-01-25"/>
    <x v="4"/>
    <x v="2"/>
    <n v="500019"/>
    <n v="7117"/>
    <n v="3"/>
    <n v="149.514563106796"/>
    <n v="4.4854368932038797"/>
    <n v="153.99999999999989"/>
    <n v="57.2815533980583"/>
    <s v="Telangana"/>
  </r>
  <r>
    <n v="1.06016217021838E+17"/>
    <s v="2025-01-01"/>
    <x v="4"/>
    <x v="2"/>
    <n v="124103"/>
    <n v="7117"/>
    <n v="3"/>
    <n v="154.368932038834"/>
    <n v="4.6601941747572804"/>
    <n v="159.0291262135913"/>
    <n v="56.3106796116505"/>
    <s v="Haryana"/>
  </r>
  <r>
    <n v="1.11516208163086E+17"/>
    <s v="2025-01-16"/>
    <x v="4"/>
    <x v="1"/>
    <n v="767032"/>
    <n v="7117"/>
    <n v="3"/>
    <n v="133.980582524271"/>
    <n v="4.3980582524271803"/>
    <n v="138.37864077669818"/>
    <n v="45.631067961165002"/>
    <s v="Odisha"/>
  </r>
  <r>
    <n v="1.14342618246308E+17"/>
    <s v="2025-01-24"/>
    <x v="4"/>
    <x v="5"/>
    <n v="752091"/>
    <n v="7117"/>
    <n v="3"/>
    <n v="155.339805825242"/>
    <n v="5.1844660194174796"/>
    <n v="160.52427184465947"/>
    <n v="38.834951456310698"/>
    <s v="Odisha"/>
  </r>
  <r>
    <n v="1.1465454171540899E+17"/>
    <s v="2025-01-25"/>
    <x v="4"/>
    <x v="0"/>
    <n v="535183"/>
    <n v="7117"/>
    <n v="3"/>
    <n v="172.81553398058199"/>
    <n v="5.1844660194174796"/>
    <n v="177.99999999999946"/>
    <n v="56.3106796116505"/>
    <s v="Andhra Pradesh"/>
  </r>
  <r>
    <n v="1.0598122530657901E+17"/>
    <s v="2025-01-01"/>
    <x v="4"/>
    <x v="1"/>
    <n v="509001"/>
    <n v="7117"/>
    <n v="3"/>
    <n v="212.621359223301"/>
    <n v="6.3786407766990303"/>
    <n v="219.00000000000003"/>
    <n v="57.2815533980583"/>
    <s v="Telangana"/>
  </r>
  <r>
    <n v="1.1651185730050099E+17"/>
    <s v="2025-01-30"/>
    <x v="4"/>
    <x v="0"/>
    <n v="384130"/>
    <n v="7117"/>
    <n v="3"/>
    <n v="172.81553398058199"/>
    <n v="5.1844660194174796"/>
    <n v="177.99999999999946"/>
    <n v="56.3106796116505"/>
    <s v="Gujarat"/>
  </r>
  <r>
    <n v="1.07074338657956E+17"/>
    <s v="2025-01-04"/>
    <x v="4"/>
    <x v="3"/>
    <n v="743329"/>
    <n v="7117"/>
    <n v="3"/>
    <n v="164.07766990291199"/>
    <n v="4.8058252427184502"/>
    <n v="168.88349514563043"/>
    <n v="60.194174757281601"/>
    <s v="West Bengal"/>
  </r>
  <r>
    <n v="1.07026852916388E+17"/>
    <s v="2025-01-04"/>
    <x v="4"/>
    <x v="3"/>
    <n v="493445"/>
    <n v="7117"/>
    <n v="3"/>
    <n v="137.864077669902"/>
    <n v="4.13592233009709"/>
    <n v="141.99999999999909"/>
    <n v="59.223300970873801"/>
    <s v="Chhattisgarh"/>
  </r>
  <r>
    <n v="1.0713657604338099E+17"/>
    <s v="2025-01-04"/>
    <x v="4"/>
    <x v="3"/>
    <n v="482056"/>
    <n v="7117"/>
    <n v="3"/>
    <n v="150.485436893203"/>
    <n v="4.5145631067961203"/>
    <n v="154.99999999999912"/>
    <n v="59.223300970873801"/>
    <s v="Madhya Pradesh"/>
  </r>
  <r>
    <n v="1.10040308280226E+17"/>
    <s v="2025-01-12"/>
    <x v="4"/>
    <x v="1"/>
    <n v="272153"/>
    <n v="7117"/>
    <n v="3"/>
    <n v="138.83495145630999"/>
    <n v="4.42718446601942"/>
    <n v="143.26213592232941"/>
    <n v="50.485436893203897"/>
    <s v="Uttar Pradesh"/>
  </r>
  <r>
    <n v="1.09309609139008E+17"/>
    <s v="2025-01-10"/>
    <x v="4"/>
    <x v="1"/>
    <n v="248001"/>
    <n v="7117"/>
    <n v="3"/>
    <n v="157.28155339805801"/>
    <n v="4.9805825242718402"/>
    <n v="162.26213592232986"/>
    <n v="48.543689320388303"/>
    <s v="Uttarakhand"/>
  </r>
  <r>
    <n v="1.13104490169958E+17"/>
    <s v="2025-01-21"/>
    <x v="4"/>
    <x v="1"/>
    <n v="226016"/>
    <n v="7117"/>
    <n v="3"/>
    <n v="167.96116504854299"/>
    <n v="5.8252427184466002"/>
    <n v="173.78640776698958"/>
    <n v="32.038834951456302"/>
    <s v="Uttar Pradesh"/>
  </r>
  <r>
    <n v="1.1459103680292701E+17"/>
    <s v="2025-01-25"/>
    <x v="4"/>
    <x v="1"/>
    <n v="144001"/>
    <n v="7117"/>
    <n v="3"/>
    <n v="161.16504854368901"/>
    <n v="5.0970873786407802"/>
    <n v="166.2621359223298"/>
    <n v="50.485436893203897"/>
    <s v="Punjab"/>
  </r>
  <r>
    <n v="1.1113380788666E+17"/>
    <s v="2025-01-15"/>
    <x v="4"/>
    <x v="3"/>
    <n v="332001"/>
    <n v="7117"/>
    <n v="3"/>
    <n v="157.28155339805801"/>
    <n v="4.9805825242718402"/>
    <n v="162.26213592232986"/>
    <n v="48.543689320388303"/>
    <s v="Rajasthan"/>
  </r>
  <r>
    <n v="1.09242975197134E+17"/>
    <s v="2025-01-10"/>
    <x v="4"/>
    <x v="3"/>
    <n v="788101"/>
    <n v="7117"/>
    <n v="3"/>
    <n v="188.349514563106"/>
    <n v="5.5339805825242703"/>
    <n v="193.88349514563026"/>
    <n v="77.669902912621396"/>
    <s v="Assam"/>
  </r>
  <r>
    <n v="1.13888020238988E+17"/>
    <s v="2025-01-23"/>
    <x v="4"/>
    <x v="1"/>
    <n v="852202"/>
    <n v="7117"/>
    <n v="3"/>
    <n v="153.39805825242701"/>
    <n v="4.6310679611650496"/>
    <n v="158.02912621359206"/>
    <n v="55.339805825242699"/>
    <s v="Bihar"/>
  </r>
  <r>
    <n v="1.1616560857251901E+17"/>
    <s v="2025-01-29"/>
    <x v="4"/>
    <x v="0"/>
    <n v="560026"/>
    <n v="7117"/>
    <n v="3"/>
    <n v="168.93203883495099"/>
    <n v="5.0679611650485397"/>
    <n v="173.99999999999952"/>
    <n v="57.2815533980583"/>
    <s v="Karnataka"/>
  </r>
  <r>
    <n v="1.11754426879992E+17"/>
    <s v="2025-01-17"/>
    <x v="4"/>
    <x v="5"/>
    <n v="385340"/>
    <n v="7117"/>
    <n v="3"/>
    <n v="155.339805825242"/>
    <n v="5.1844660194174796"/>
    <n v="160.52427184465947"/>
    <n v="38.834951456310698"/>
    <s v="Gujarat"/>
  </r>
  <r>
    <n v="1.0751688533517101E+17"/>
    <s v="2025-01-05"/>
    <x v="4"/>
    <x v="1"/>
    <n v="736182"/>
    <n v="7117"/>
    <n v="3"/>
    <n v="154.368932038834"/>
    <n v="4.6310679611650496"/>
    <n v="158.99999999999906"/>
    <n v="57.2815533980583"/>
    <s v="West Bengal"/>
  </r>
  <r>
    <n v="1.07083630257664E+17"/>
    <s v="2025-01-04"/>
    <x v="4"/>
    <x v="3"/>
    <n v="273006"/>
    <n v="7117"/>
    <n v="3"/>
    <n v="135.92233009708701"/>
    <n v="4.8058252427184502"/>
    <n v="140.72815533980545"/>
    <n v="32.038834951456302"/>
    <s v="Uttar Pradesh"/>
  </r>
  <r>
    <n v="1.1223907936272301E+17"/>
    <s v="2025-01-18"/>
    <x v="4"/>
    <x v="1"/>
    <n v="360510"/>
    <n v="7117"/>
    <n v="3"/>
    <n v="147.57281553397999"/>
    <n v="4.42718446601942"/>
    <n v="151.9999999999994"/>
    <n v="59.223300970873801"/>
    <s v="Gujarat"/>
  </r>
  <r>
    <n v="1.10981072616878E+17"/>
    <s v="2025-01-15"/>
    <x v="4"/>
    <x v="1"/>
    <n v="442905"/>
    <n v="7117"/>
    <n v="3"/>
    <n v="151.45631067961099"/>
    <n v="5.0679611650485397"/>
    <n v="156.52427184465952"/>
    <n v="39.805825242718498"/>
    <s v="Maharashtra"/>
  </r>
  <r>
    <n v="1.1582532677248499E+17"/>
    <s v="2025-01-28"/>
    <x v="4"/>
    <x v="4"/>
    <n v="122002"/>
    <n v="711790"/>
    <n v="12"/>
    <n v="91.071428571428598"/>
    <n v="11.785714285714199"/>
    <n v="102.8571428571428"/>
    <n v="43.75"/>
    <s v="Haryana"/>
  </r>
  <r>
    <n v="1.15695086982204E+17"/>
    <s v="2025-01-28"/>
    <x v="4"/>
    <x v="1"/>
    <n v="852201"/>
    <n v="7117"/>
    <n v="3"/>
    <n v="119.417475728155"/>
    <n v="4.1067961165048503"/>
    <n v="123.52427184465985"/>
    <n v="39.805825242718498"/>
    <s v="Bihar"/>
  </r>
  <r>
    <n v="1.0748015267783901E+17"/>
    <s v="2025-01-05"/>
    <x v="4"/>
    <x v="3"/>
    <n v="516269"/>
    <n v="7117"/>
    <n v="3"/>
    <n v="162.135922330097"/>
    <n v="4.86407766990291"/>
    <n v="166.99999999999991"/>
    <n v="58.252427184466001"/>
    <s v="Andhra Pradesh"/>
  </r>
  <r>
    <n v="1.1420479125253299E+17"/>
    <s v="2025-01-24"/>
    <x v="4"/>
    <x v="1"/>
    <n v="743330"/>
    <n v="7117"/>
    <n v="3"/>
    <n v="172.81553398058199"/>
    <n v="5.1844660194174796"/>
    <n v="177.99999999999946"/>
    <n v="56.3106796116505"/>
    <s v="West Bengal"/>
  </r>
  <r>
    <n v="1.1074783503269501E+17"/>
    <s v="2025-01-14"/>
    <x v="4"/>
    <x v="1"/>
    <n v="212301"/>
    <n v="7117"/>
    <n v="3"/>
    <n v="166.01941747572801"/>
    <n v="5.2427184466019403"/>
    <n v="171.26213592232995"/>
    <n v="49.514563106796103"/>
    <s v="Uttar Pradesh"/>
  </r>
  <r>
    <n v="1.1242846818012E+17"/>
    <s v="2025-01-19"/>
    <x v="4"/>
    <x v="5"/>
    <n v="202165"/>
    <n v="7117"/>
    <n v="3"/>
    <n v="138.83495145630999"/>
    <n v="4.42718446601942"/>
    <n v="143.26213592232941"/>
    <n v="50.485436893203897"/>
    <s v="Uttar Pradesh"/>
  </r>
  <r>
    <n v="1.1548392136671501E+17"/>
    <s v="2025-01-27"/>
    <x v="4"/>
    <x v="5"/>
    <n v="121005"/>
    <n v="7117"/>
    <n v="3"/>
    <n v="115.53398058252399"/>
    <n v="4.1067961165048503"/>
    <n v="119.64077669902885"/>
    <n v="35.922330097087404"/>
    <s v="Haryana"/>
  </r>
  <r>
    <n v="1.1675333512691699E+17"/>
    <s v="2025-01-31"/>
    <x v="4"/>
    <x v="0"/>
    <n v="221308"/>
    <n v="7117"/>
    <n v="3"/>
    <n v="164.07766990291199"/>
    <n v="5.1844660194174796"/>
    <n v="169.26213592232946"/>
    <n v="47.572815533980602"/>
    <s v="Uttar Pradesh"/>
  </r>
  <r>
    <n v="1.1437580842390301E+17"/>
    <s v="2025-01-24"/>
    <x v="4"/>
    <x v="1"/>
    <n v="752089"/>
    <n v="7117"/>
    <n v="3"/>
    <n v="165.04854368932001"/>
    <n v="5.1844660194174796"/>
    <n v="170.23300970873748"/>
    <n v="48.543689320388303"/>
    <s v="Odisha"/>
  </r>
  <r>
    <n v="1.1573652904195101E+17"/>
    <s v="2025-01-28"/>
    <x v="4"/>
    <x v="0"/>
    <n v="500037"/>
    <n v="7117"/>
    <n v="3"/>
    <n v="160.19417475728099"/>
    <n v="4.8058252427184502"/>
    <n v="164.99999999999943"/>
    <n v="57.2815533980583"/>
    <s v="Telangana"/>
  </r>
  <r>
    <n v="1.0714746719125101E+17"/>
    <s v="2025-01-04"/>
    <x v="4"/>
    <x v="1"/>
    <n v="110077"/>
    <n v="7117"/>
    <n v="3"/>
    <n v="148.54368932038801"/>
    <n v="4.8058252427184502"/>
    <n v="153.34951456310645"/>
    <n v="44.660194174757301"/>
    <s v="Delhi"/>
  </r>
  <r>
    <n v="1.12174747606774E+17"/>
    <s v="2025-01-18"/>
    <x v="4"/>
    <x v="1"/>
    <n v="759123"/>
    <n v="7117"/>
    <n v="3"/>
    <n v="164.07766990291199"/>
    <n v="4.9223300970873796"/>
    <n v="168.99999999999937"/>
    <n v="57.2815533980583"/>
    <s v="Odisha"/>
  </r>
  <r>
    <n v="1.07036959792324E+17"/>
    <s v="2025-01-04"/>
    <x v="4"/>
    <x v="3"/>
    <n v="246446"/>
    <n v="7117"/>
    <n v="3"/>
    <n v="153.39805825242701"/>
    <n v="4.8058252427184502"/>
    <n v="158.20388349514545"/>
    <n v="49.514563106796103"/>
    <s v="Uttarakhand"/>
  </r>
  <r>
    <n v="1.0705641422417901E+17"/>
    <s v="2025-01-04"/>
    <x v="4"/>
    <x v="3"/>
    <n v="362630"/>
    <n v="7117"/>
    <n v="3"/>
    <n v="142.718446601941"/>
    <n v="4.8058252427184502"/>
    <n v="147.52427184465944"/>
    <n v="38.834951456310698"/>
    <s v="Gujarat"/>
  </r>
  <r>
    <n v="1.16849979620094E+17"/>
    <s v="2025-01-31"/>
    <x v="4"/>
    <x v="0"/>
    <n v="276001"/>
    <n v="7117"/>
    <n v="3"/>
    <n v="164.07766990291199"/>
    <n v="5.1844660194174796"/>
    <n v="169.26213592232946"/>
    <n v="47.572815533980602"/>
    <s v="Uttar Pradesh"/>
  </r>
  <r>
    <n v="1.0921741340864499E+17"/>
    <s v="2025-01-10"/>
    <x v="4"/>
    <x v="2"/>
    <n v="795005"/>
    <n v="7117"/>
    <n v="3"/>
    <n v="195.14563106796101"/>
    <n v="5.8543689320388301"/>
    <n v="200.99999999999983"/>
    <n v="78.640776699029104"/>
    <s v="Manipur"/>
  </r>
  <r>
    <n v="1.0702235381651E+17"/>
    <s v="2025-01-04"/>
    <x v="4"/>
    <x v="1"/>
    <n v="396126"/>
    <n v="7117"/>
    <n v="3"/>
    <n v="143.68932038834899"/>
    <n v="4.3106796116504897"/>
    <n v="147.99999999999949"/>
    <n v="56.3106796116505"/>
    <s v="Gujarat"/>
  </r>
  <r>
    <n v="1.1395195352586301E+17"/>
    <s v="2025-01-23"/>
    <x v="4"/>
    <x v="1"/>
    <n v="560026"/>
    <n v="7117"/>
    <n v="3"/>
    <n v="168.93203883495099"/>
    <n v="5.0679611650485397"/>
    <n v="173.99999999999952"/>
    <n v="57.2815533980583"/>
    <s v="Karnataka"/>
  </r>
  <r>
    <n v="1.0809870720899101E+17"/>
    <s v="2025-01-07"/>
    <x v="4"/>
    <x v="2"/>
    <n v="110086"/>
    <n v="7117"/>
    <n v="3"/>
    <n v="157.28155339805801"/>
    <n v="4.9805825242718402"/>
    <n v="162.26213592232986"/>
    <n v="48.543689320388303"/>
    <s v="Delhi"/>
  </r>
  <r>
    <n v="1.09607058579682E+17"/>
    <s v="2025-01-11"/>
    <x v="4"/>
    <x v="2"/>
    <n v="799275"/>
    <n v="7117"/>
    <n v="3"/>
    <n v="233.009708737864"/>
    <n v="6.9902912621359201"/>
    <n v="239.99999999999991"/>
    <n v="77.669902912621396"/>
    <s v="Tripura"/>
  </r>
  <r>
    <n v="1.07017124572328E+17"/>
    <s v="2025-01-04"/>
    <x v="4"/>
    <x v="1"/>
    <n v="332302"/>
    <n v="7117"/>
    <n v="3"/>
    <n v="121.35922330097"/>
    <n v="3.84466019417476"/>
    <n v="125.20388349514477"/>
    <n v="50.485436893203897"/>
    <s v="Rajasthan"/>
  </r>
  <r>
    <n v="1.1349634346047501E+17"/>
    <s v="2025-01-22"/>
    <x v="4"/>
    <x v="1"/>
    <n v="799131"/>
    <n v="7117"/>
    <n v="3"/>
    <n v="189.32038834951399"/>
    <n v="5.6796116504854401"/>
    <n v="194.99999999999943"/>
    <n v="78.640776699029104"/>
    <s v="Tripura"/>
  </r>
  <r>
    <n v="1.11003133078208E+17"/>
    <s v="2025-01-15"/>
    <x v="4"/>
    <x v="1"/>
    <n v="273212"/>
    <n v="7117"/>
    <n v="3"/>
    <n v="157.28155339805801"/>
    <n v="4.9805825242718402"/>
    <n v="162.26213592232986"/>
    <n v="48.543689320388303"/>
    <s v="Uttar Pradesh"/>
  </r>
  <r>
    <n v="1.1416265321955E+17"/>
    <s v="2025-01-24"/>
    <x v="4"/>
    <x v="1"/>
    <n v="400053"/>
    <n v="7117"/>
    <n v="3"/>
    <n v="155.339805825242"/>
    <n v="5.1844660194174796"/>
    <n v="160.52427184465947"/>
    <n v="38.834951456310698"/>
    <s v="Maharashtra"/>
  </r>
  <r>
    <n v="1.06427518256706E+17"/>
    <s v="2025-01-02"/>
    <x v="4"/>
    <x v="3"/>
    <n v="532430"/>
    <n v="7117"/>
    <n v="3"/>
    <n v="174.757281553398"/>
    <n v="5.2427184466019403"/>
    <n v="179.99999999999994"/>
    <n v="58.252427184466001"/>
    <s v="Andhra Pradesh"/>
  </r>
  <r>
    <n v="1.0993865819560301E+17"/>
    <s v="2025-01-12"/>
    <x v="4"/>
    <x v="3"/>
    <n v="492001"/>
    <n v="7117"/>
    <n v="3"/>
    <n v="166.01941747572801"/>
    <n v="4.9805825242718402"/>
    <n v="170.99999999999986"/>
    <n v="57.2815533980583"/>
    <s v="Chhattisgarh"/>
  </r>
  <r>
    <n v="1.13955893352398E+17"/>
    <s v="2025-01-23"/>
    <x v="4"/>
    <x v="1"/>
    <n v="822117"/>
    <n v="7117"/>
    <n v="3"/>
    <n v="148.54368932038801"/>
    <n v="4.9805825242718402"/>
    <n v="153.52427184465986"/>
    <n v="39.805825242718498"/>
    <s v="Jharkhand"/>
  </r>
  <r>
    <n v="1.1280892739079E+17"/>
    <s v="2025-01-20"/>
    <x v="4"/>
    <x v="2"/>
    <n v="854108"/>
    <n v="7117"/>
    <n v="3"/>
    <n v="169.90291262135901"/>
    <n v="5.0970873786407802"/>
    <n v="174.9999999999998"/>
    <n v="59.223300970873801"/>
    <s v="Bihar"/>
  </r>
  <r>
    <n v="1.1493141247770499E+17"/>
    <s v="2025-01-26"/>
    <x v="4"/>
    <x v="0"/>
    <n v="516227"/>
    <n v="7117"/>
    <n v="3"/>
    <n v="172.81553398058199"/>
    <n v="5.1844660194174796"/>
    <n v="177.99999999999946"/>
    <n v="56.3106796116505"/>
    <s v="Andhra Pradesh"/>
  </r>
  <r>
    <n v="1.0967063489708E+17"/>
    <s v="2025-01-11"/>
    <x v="4"/>
    <x v="1"/>
    <n v="825106"/>
    <n v="7117"/>
    <n v="3"/>
    <n v="172.81553398058199"/>
    <n v="5.1844660194174796"/>
    <n v="177.99999999999946"/>
    <n v="56.3106796116505"/>
    <s v="Jharkhand"/>
  </r>
  <r>
    <n v="1.06670108600202E+17"/>
    <s v="2025-01-03"/>
    <x v="4"/>
    <x v="3"/>
    <n v="415639"/>
    <n v="7117"/>
    <n v="3"/>
    <n v="137.864077669902"/>
    <n v="4.6893203883495103"/>
    <n v="142.5533980582515"/>
    <n v="40.776699029126199"/>
    <s v="Maharashtra"/>
  </r>
  <r>
    <n v="1.14614584891042E+17"/>
    <s v="2025-01-25"/>
    <x v="4"/>
    <x v="2"/>
    <n v="712407"/>
    <n v="7117"/>
    <n v="3"/>
    <n v="136.893203883495"/>
    <n v="4.6310679611650496"/>
    <n v="141.52427184466006"/>
    <n v="38.834951456310698"/>
    <s v="West Bengal"/>
  </r>
  <r>
    <n v="1.07924627704316E+17"/>
    <s v="2025-01-07"/>
    <x v="4"/>
    <x v="1"/>
    <n v="401208"/>
    <n v="7117"/>
    <n v="3"/>
    <n v="142.718446601941"/>
    <n v="4.8058252427184502"/>
    <n v="147.52427184465944"/>
    <n v="39.805825242718498"/>
    <s v="Maharashtra"/>
  </r>
  <r>
    <n v="1.1059725261527101E+17"/>
    <s v="2025-01-14"/>
    <x v="4"/>
    <x v="3"/>
    <n v="223224"/>
    <n v="7117"/>
    <n v="3"/>
    <n v="133.980582524271"/>
    <n v="4.6310679611650496"/>
    <n v="138.61165048543606"/>
    <n v="36.893203883495197"/>
    <s v="Uttar Pradesh"/>
  </r>
  <r>
    <n v="1.1169356455519E+17"/>
    <s v="2025-01-17"/>
    <x v="4"/>
    <x v="1"/>
    <n v="222203"/>
    <n v="7117"/>
    <n v="3"/>
    <n v="169.90291262135901"/>
    <n v="5.0970873786407802"/>
    <n v="174.9999999999998"/>
    <n v="59.223300970873801"/>
    <s v="Uttar Pradesh"/>
  </r>
  <r>
    <n v="1.16611353196954E+17"/>
    <s v="2025-01-31"/>
    <x v="4"/>
    <x v="0"/>
    <n v="670309"/>
    <n v="7117"/>
    <n v="3"/>
    <n v="155.339805825242"/>
    <n v="5.1844660194174796"/>
    <n v="160.52427184465947"/>
    <n v="38.834951456310698"/>
    <s v="Kerala"/>
  </r>
  <r>
    <n v="1.1191764630457501E+17"/>
    <s v="2025-01-18"/>
    <x v="4"/>
    <x v="3"/>
    <n v="591102"/>
    <n v="7117"/>
    <n v="3"/>
    <n v="169.90291262135901"/>
    <n v="5.0970873786407802"/>
    <n v="174.9999999999998"/>
    <n v="59.223300970873801"/>
    <s v="Karnataka"/>
  </r>
  <r>
    <n v="1.15634174673882E+17"/>
    <s v="2025-01-28"/>
    <x v="4"/>
    <x v="2"/>
    <n v="486669"/>
    <n v="7117"/>
    <n v="3"/>
    <n v="170.873786407767"/>
    <n v="5.1262135922330101"/>
    <n v="176"/>
    <n v="59.223300970873801"/>
    <s v="Madhya Pradesh"/>
  </r>
  <r>
    <n v="1.0587620923738499E+17"/>
    <s v="2025-01-01"/>
    <x v="4"/>
    <x v="3"/>
    <n v="272155"/>
    <n v="7117"/>
    <n v="3"/>
    <n v="147.57281553397999"/>
    <n v="4.6893203883495103"/>
    <n v="152.26213592232949"/>
    <n v="49.514563106796103"/>
    <s v="Uttar Pradesh"/>
  </r>
  <r>
    <n v="1.0636110952270701E+17"/>
    <s v="2025-01-02"/>
    <x v="4"/>
    <x v="1"/>
    <n v="847122"/>
    <n v="7117"/>
    <n v="3"/>
    <n v="147.57281553397999"/>
    <n v="4.42718446601942"/>
    <n v="151.9999999999994"/>
    <n v="59.223300970873801"/>
    <s v="Bihar"/>
  </r>
  <r>
    <n v="1.12488636548936E+17"/>
    <s v="2025-01-19"/>
    <x v="4"/>
    <x v="3"/>
    <n v="461775"/>
    <n v="7117"/>
    <n v="3"/>
    <n v="146.601941747572"/>
    <n v="4.3980582524271803"/>
    <n v="150.99999999999918"/>
    <n v="58.252427184466001"/>
    <s v="Madhya Pradesh"/>
  </r>
  <r>
    <n v="1.0752799004035901E+17"/>
    <s v="2025-01-05"/>
    <x v="4"/>
    <x v="1"/>
    <n v="577229"/>
    <n v="7117"/>
    <n v="3"/>
    <n v="162.135922330097"/>
    <n v="4.86407766990291"/>
    <n v="166.99999999999991"/>
    <n v="58.252427184466001"/>
    <s v="Karnataka"/>
  </r>
  <r>
    <n v="1.1351935936813101E+17"/>
    <s v="2025-01-22"/>
    <x v="4"/>
    <x v="5"/>
    <n v="825301"/>
    <n v="7117"/>
    <n v="3"/>
    <n v="164.07766990291199"/>
    <n v="4.9223300970873796"/>
    <n v="168.99999999999937"/>
    <n v="57.2815533980583"/>
    <s v="Jharkhand"/>
  </r>
  <r>
    <n v="1.12547668840046E+17"/>
    <s v="2025-01-19"/>
    <x v="4"/>
    <x v="6"/>
    <n v="273202"/>
    <n v="7117"/>
    <n v="3"/>
    <n v="162.135922330097"/>
    <n v="5.1262135922330101"/>
    <n v="167.26213592233"/>
    <n v="50.485436893203897"/>
    <s v="Uttar Pradesh"/>
  </r>
  <r>
    <n v="1.11510288125288E+17"/>
    <s v="2025-01-16"/>
    <x v="4"/>
    <x v="1"/>
    <n v="770042"/>
    <n v="7117"/>
    <n v="3"/>
    <n v="169.90291262135901"/>
    <n v="5.0970873786407802"/>
    <n v="174.9999999999998"/>
    <n v="59.223300970873801"/>
    <s v="Odisha"/>
  </r>
  <r>
    <n v="1.0661070605244E+17"/>
    <s v="2025-01-03"/>
    <x v="4"/>
    <x v="1"/>
    <n v="121102"/>
    <n v="7117"/>
    <n v="3"/>
    <n v="152.42718446601901"/>
    <n v="5.2427184466019403"/>
    <n v="157.66990291262096"/>
    <n v="35.922330097087404"/>
    <s v="Haryana"/>
  </r>
  <r>
    <n v="1.1495047399554899E+17"/>
    <s v="2025-01-26"/>
    <x v="4"/>
    <x v="1"/>
    <n v="497111"/>
    <n v="7117"/>
    <n v="3"/>
    <n v="154.368932038834"/>
    <n v="4.6310679611650496"/>
    <n v="158.99999999999906"/>
    <n v="56.3106796116505"/>
    <s v="Chhattisgarh"/>
  </r>
  <r>
    <n v="1.1062538472642099E+17"/>
    <s v="2025-01-14"/>
    <x v="4"/>
    <x v="1"/>
    <n v="222161"/>
    <n v="7117"/>
    <n v="3"/>
    <n v="131.06796116504799"/>
    <n v="4.6310679611650496"/>
    <n v="135.69902912621305"/>
    <n v="33.980582524271803"/>
    <s v="Uttar Pradesh"/>
  </r>
  <r>
    <n v="1.0711555596766E+17"/>
    <s v="2025-01-04"/>
    <x v="4"/>
    <x v="3"/>
    <n v="621716"/>
    <n v="7117"/>
    <n v="3"/>
    <n v="119.417475728155"/>
    <n v="4.13592233009709"/>
    <n v="123.55339805825209"/>
    <n v="40.776699029126199"/>
    <s v="Tamil Nadu"/>
  </r>
  <r>
    <n v="1.0708393562396701E+17"/>
    <s v="2025-01-04"/>
    <x v="4"/>
    <x v="5"/>
    <n v="815353"/>
    <n v="7117"/>
    <n v="3"/>
    <n v="142.718446601941"/>
    <n v="4.8058252427184502"/>
    <n v="147.52427184465944"/>
    <n v="38.834951456310698"/>
    <s v="Jharkhand"/>
  </r>
  <r>
    <n v="1.0732656183823501E+17"/>
    <s v="2025-01-05"/>
    <x v="4"/>
    <x v="3"/>
    <n v="276123"/>
    <n v="7117"/>
    <n v="3"/>
    <n v="153.39805825242701"/>
    <n v="4.86407766990291"/>
    <n v="158.26213592232992"/>
    <n v="49.514563106796103"/>
    <s v="Uttarpradesh"/>
  </r>
  <r>
    <n v="1.1414396473869901E+17"/>
    <s v="2025-01-24"/>
    <x v="4"/>
    <x v="2"/>
    <n v="276139"/>
    <n v="7117"/>
    <n v="3"/>
    <n v="185.43689320388299"/>
    <n v="5.8252427184466002"/>
    <n v="191.26213592232958"/>
    <n v="50.485436893203897"/>
    <s v="Uttar Pradesh"/>
  </r>
  <r>
    <n v="1.13886516388066E+17"/>
    <s v="2025-01-23"/>
    <x v="4"/>
    <x v="1"/>
    <n v="561203"/>
    <n v="7117"/>
    <n v="3"/>
    <n v="167.96116504854299"/>
    <n v="5.1844660194174796"/>
    <n v="173.14563106796047"/>
    <n v="51.456310679611697"/>
    <s v="Karnataka"/>
  </r>
  <r>
    <n v="1.12548308959166E+17"/>
    <s v="2025-01-19"/>
    <x v="4"/>
    <x v="3"/>
    <n v="231221"/>
    <n v="7117"/>
    <n v="3"/>
    <n v="161.16504854368901"/>
    <n v="5.0970873786407802"/>
    <n v="166.2621359223298"/>
    <n v="50.485436893203897"/>
    <s v="Uttar Pradesh"/>
  </r>
  <r>
    <n v="1.1750366647137101E+17"/>
    <s v="2025-02-02"/>
    <x v="5"/>
    <x v="2"/>
    <n v="562159"/>
    <n v="7117"/>
    <n v="3"/>
    <n v="150.485436893203"/>
    <n v="4.5145631067961203"/>
    <n v="154.99999999999912"/>
    <n v="57.2815533980583"/>
    <s v="Karnataka"/>
  </r>
  <r>
    <n v="9.0476957670185904E+16"/>
    <s v="2024-11-19"/>
    <x v="2"/>
    <x v="3"/>
    <n v="208013"/>
    <n v="7117"/>
    <n v="3"/>
    <n v="0"/>
    <n v="0"/>
    <n v="0"/>
    <n v="-24.271844660194201"/>
    <s v="Uttar Pradesh"/>
  </r>
  <r>
    <n v="1.2149125974653699E+17"/>
    <s v="2025-02-13"/>
    <x v="5"/>
    <x v="1"/>
    <n v="626114"/>
    <n v="7117"/>
    <n v="3"/>
    <n v="172.81553398058199"/>
    <n v="5.1844660194174796"/>
    <n v="177.99999999999946"/>
    <n v="56.3106796116505"/>
    <s v="Tamil Nadu"/>
  </r>
  <r>
    <n v="1.2149111308556701E+17"/>
    <s v="2025-02-13"/>
    <x v="5"/>
    <x v="1"/>
    <n v="626114"/>
    <n v="7117"/>
    <n v="3"/>
    <n v="172.81553398058199"/>
    <n v="5.1844660194174796"/>
    <n v="177.99999999999946"/>
    <n v="56.3106796116505"/>
    <s v="Tamil Nadu"/>
  </r>
  <r>
    <n v="1.2264541440317901E+17"/>
    <s v="2025-02-16"/>
    <x v="5"/>
    <x v="1"/>
    <n v="486001"/>
    <n v="7117"/>
    <n v="3"/>
    <n v="166.01941747572801"/>
    <n v="5.0970873786407802"/>
    <n v="171.1165048543688"/>
    <n v="55.339805825242699"/>
    <s v="Madhya Pradesh"/>
  </r>
  <r>
    <n v="1.2144403710607E+17"/>
    <s v="2025-02-13"/>
    <x v="5"/>
    <x v="1"/>
    <n v="845306"/>
    <n v="7117"/>
    <n v="3"/>
    <n v="136.893203883495"/>
    <n v="4.6310679611650496"/>
    <n v="141.52427184466006"/>
    <n v="38.834951456310698"/>
    <s v="Bihar"/>
  </r>
  <r>
    <n v="1.1974721841986301E+17"/>
    <s v="2025-02-08"/>
    <x v="5"/>
    <x v="1"/>
    <n v="456010"/>
    <n v="7117"/>
    <n v="3"/>
    <n v="155.339805825242"/>
    <n v="5.1844660194174796"/>
    <n v="160.52427184465947"/>
    <n v="38.834951456310698"/>
    <s v="Madhya Pradesh"/>
  </r>
  <r>
    <n v="1.2263308124818099E+17"/>
    <s v="2025-02-16"/>
    <x v="5"/>
    <x v="5"/>
    <n v="284003"/>
    <n v="7117"/>
    <n v="3"/>
    <n v="136.893203883495"/>
    <n v="4.8058252427184502"/>
    <n v="141.69902912621345"/>
    <n v="33.980582524271803"/>
    <s v="Uttar Pradesh"/>
  </r>
  <r>
    <n v="1.2277699232306301E+17"/>
    <s v="2025-02-17"/>
    <x v="5"/>
    <x v="1"/>
    <n v="229301"/>
    <n v="7117"/>
    <n v="3"/>
    <n v="131.06796116504799"/>
    <n v="4.6310679611650496"/>
    <n v="135.69902912621305"/>
    <n v="33.009708737864102"/>
    <s v="Uttar Pradesh"/>
  </r>
  <r>
    <n v="1.2012036324291E+17"/>
    <s v="2025-02-09"/>
    <x v="5"/>
    <x v="3"/>
    <n v="221003"/>
    <n v="7117"/>
    <n v="3"/>
    <n v="151.45631067961099"/>
    <n v="4.8058252427184502"/>
    <n v="156.26213592232943"/>
    <n v="48.543689320388303"/>
    <s v="Uttar Pradesh"/>
  </r>
  <r>
    <n v="8.9236241979675904E+16"/>
    <s v="2024-11-16"/>
    <x v="2"/>
    <x v="3"/>
    <n v="845401"/>
    <n v="7117"/>
    <n v="3"/>
    <n v="0"/>
    <n v="0"/>
    <n v="0"/>
    <n v="-1.9417475728155"/>
    <s v="Bihar"/>
  </r>
  <r>
    <n v="1.2275586212013299E+17"/>
    <s v="2025-02-16"/>
    <x v="5"/>
    <x v="1"/>
    <n v="285001"/>
    <n v="7117"/>
    <n v="3"/>
    <n v="145.631067961165"/>
    <n v="4.6310679611650496"/>
    <n v="150.26213592233006"/>
    <n v="47.572815533980602"/>
    <s v="Uttar Pradesh"/>
  </r>
  <r>
    <n v="1.1748570416627299E+17"/>
    <s v="2025-02-02"/>
    <x v="5"/>
    <x v="2"/>
    <n v="176051"/>
    <n v="7117"/>
    <n v="3"/>
    <n v="152.42718446601901"/>
    <n v="4.8349514563106801"/>
    <n v="157.26213592232969"/>
    <n v="47.572815533980602"/>
    <s v="Himachal Pradesh"/>
  </r>
  <r>
    <n v="1.19003712592178E+17"/>
    <s v="2025-02-06"/>
    <x v="5"/>
    <x v="1"/>
    <n v="121007"/>
    <n v="7117"/>
    <n v="3"/>
    <n v="164.07766990291199"/>
    <n v="5.1844660194174796"/>
    <n v="169.26213592232946"/>
    <n v="47.572815533980602"/>
    <s v="Haryana"/>
  </r>
  <r>
    <n v="1.2596792550834E+17"/>
    <s v="2025-02-25"/>
    <x v="5"/>
    <x v="0"/>
    <n v="272162"/>
    <n v="7117"/>
    <n v="3"/>
    <n v="168.93203883495099"/>
    <n v="5.3300970873786397"/>
    <n v="174.26213592232963"/>
    <n v="47.572815533980602"/>
    <s v="Uttar Pradesh"/>
  </r>
  <r>
    <n v="1.21948045668676E+17"/>
    <s v="2025-02-14"/>
    <x v="5"/>
    <x v="1"/>
    <n v="122015"/>
    <n v="7117"/>
    <n v="3"/>
    <n v="147.57281553397999"/>
    <n v="5.0970873786407802"/>
    <n v="152.66990291262078"/>
    <n v="36.893203883495197"/>
    <s v="Haryana"/>
  </r>
  <r>
    <n v="1.1744831355655299E+17"/>
    <s v="2025-02-02"/>
    <x v="5"/>
    <x v="2"/>
    <n v="152128"/>
    <n v="7117"/>
    <n v="3"/>
    <n v="137.864077669902"/>
    <n v="4.3398058252427196"/>
    <n v="142.20388349514471"/>
    <n v="49.514563106796103"/>
    <s v="Punjab"/>
  </r>
  <r>
    <n v="1.26291729287772E+17"/>
    <s v="2025-02-26"/>
    <x v="5"/>
    <x v="0"/>
    <n v="445001"/>
    <n v="7117"/>
    <n v="3"/>
    <n v="156.31067961164999"/>
    <n v="4.6893203883495103"/>
    <n v="160.99999999999949"/>
    <n v="59.223300970873801"/>
    <s v="Maharashtra"/>
  </r>
  <r>
    <n v="1.2145541757336301E+17"/>
    <s v="2025-02-13"/>
    <x v="5"/>
    <x v="2"/>
    <n v="284404"/>
    <n v="7117"/>
    <n v="3"/>
    <n v="138.83495145630999"/>
    <n v="4.42718446601942"/>
    <n v="143.26213592232941"/>
    <n v="50.485436893203897"/>
    <s v="Uttar Pradesh"/>
  </r>
  <r>
    <n v="1.1748361914839501E+17"/>
    <s v="2025-02-02"/>
    <x v="5"/>
    <x v="1"/>
    <n v="333032"/>
    <n v="7117"/>
    <n v="3"/>
    <n v="154.368932038834"/>
    <n v="4.8349514563106801"/>
    <n v="159.20388349514468"/>
    <n v="49.514563106796103"/>
    <s v="Rajasthan"/>
  </r>
  <r>
    <n v="1.1760819876412899E+17"/>
    <s v="2025-02-02"/>
    <x v="5"/>
    <x v="1"/>
    <n v="735222"/>
    <n v="7117"/>
    <n v="3"/>
    <n v="144.66019417475701"/>
    <n v="4.3398058252427196"/>
    <n v="148.99999999999972"/>
    <n v="56.3106796116505"/>
    <s v="West Bengal"/>
  </r>
  <r>
    <n v="8.88911766325932E+16"/>
    <s v="2024-11-15"/>
    <x v="2"/>
    <x v="3"/>
    <n v="143507"/>
    <n v="340600"/>
    <n v="12"/>
    <n v="0"/>
    <n v="0"/>
    <n v="0"/>
    <n v="-8.0357142857143007"/>
    <s v="Punjab"/>
  </r>
  <r>
    <n v="1.2552076466034499E+17"/>
    <s v="2025-02-24"/>
    <x v="5"/>
    <x v="0"/>
    <n v="133302"/>
    <n v="7117"/>
    <n v="3"/>
    <n v="84.466019417475707"/>
    <n v="3.1747572815534002"/>
    <n v="87.640776699029104"/>
    <n v="36.893203883495197"/>
    <s v="Haryana"/>
  </r>
  <r>
    <n v="1.2086863101286301E+17"/>
    <s v="2025-02-11"/>
    <x v="5"/>
    <x v="1"/>
    <n v="222148"/>
    <n v="7117"/>
    <n v="3"/>
    <n v="161.16504854368901"/>
    <n v="5.0970873786407802"/>
    <n v="166.2621359223298"/>
    <n v="50.485436893203897"/>
    <s v="Uttar Pradesh"/>
  </r>
  <r>
    <n v="1.193790838048E+17"/>
    <s v="2025-02-07"/>
    <x v="5"/>
    <x v="1"/>
    <n v="533229"/>
    <n v="7117"/>
    <n v="3"/>
    <n v="170.873786407767"/>
    <n v="5.1262135922330101"/>
    <n v="176"/>
    <n v="54.368932038834998"/>
    <s v="Andhra Pradesh"/>
  </r>
  <r>
    <n v="1.22733284428992E+17"/>
    <s v="2025-02-16"/>
    <x v="5"/>
    <x v="1"/>
    <n v="342603"/>
    <n v="7117"/>
    <n v="3"/>
    <n v="172.81553398058199"/>
    <n v="5.1844660194174796"/>
    <n v="177.99999999999946"/>
    <n v="56.3106796116505"/>
    <s v="Rajasthan"/>
  </r>
  <r>
    <n v="8.3364523666969904E+16"/>
    <s v="2024-10-31"/>
    <x v="1"/>
    <x v="4"/>
    <n v="123401"/>
    <n v="7117"/>
    <n v="3"/>
    <n v="0"/>
    <n v="0"/>
    <n v="0"/>
    <n v="-6.7961165048543997"/>
    <s v="Haryana"/>
  </r>
  <r>
    <n v="1.17469107401682E+17"/>
    <s v="2025-02-02"/>
    <x v="5"/>
    <x v="1"/>
    <n v="821108"/>
    <n v="7117"/>
    <n v="3"/>
    <n v="161.16504854368901"/>
    <n v="4.8349514563106801"/>
    <n v="165.99999999999969"/>
    <n v="56.3106796116505"/>
    <s v="Bihar"/>
  </r>
  <r>
    <n v="1.2360885255303699E+17"/>
    <s v="2025-02-19"/>
    <x v="5"/>
    <x v="3"/>
    <n v="410503"/>
    <n v="7117"/>
    <n v="3"/>
    <n v="209.70873786407699"/>
    <n v="6.29126213592233"/>
    <n v="215.99999999999932"/>
    <n v="59.223300970873801"/>
    <s v="Maharashtra"/>
  </r>
  <r>
    <n v="1.1974749539706099E+17"/>
    <s v="2025-02-08"/>
    <x v="5"/>
    <x v="1"/>
    <n v="110044"/>
    <n v="7117"/>
    <n v="3"/>
    <n v="151.45631067961099"/>
    <n v="4.8058252427184502"/>
    <n v="156.26213592232943"/>
    <n v="48.543689320388303"/>
    <s v="Delhi"/>
  </r>
  <r>
    <n v="8.05450147526536E+16"/>
    <s v="2024-10-23"/>
    <x v="1"/>
    <x v="3"/>
    <n v="141016"/>
    <n v="7117"/>
    <n v="3"/>
    <n v="0"/>
    <n v="0"/>
    <n v="0"/>
    <n v="-9.7087378640776993"/>
    <s v="Punjab"/>
  </r>
  <r>
    <n v="1.21542298522776E+17"/>
    <s v="2025-02-13"/>
    <x v="5"/>
    <x v="5"/>
    <n v="212601"/>
    <n v="7117"/>
    <n v="3"/>
    <n v="145.631067961165"/>
    <n v="5.0679611650485397"/>
    <n v="150.69902912621353"/>
    <n v="33.980582524271803"/>
    <s v="Uttar Pradesh"/>
  </r>
  <r>
    <n v="1.2521652468334E+17"/>
    <s v="2025-02-23"/>
    <x v="5"/>
    <x v="3"/>
    <n v="769001"/>
    <n v="7117"/>
    <n v="3"/>
    <n v="177.66990291262101"/>
    <n v="5.3300970873786397"/>
    <n v="182.99999999999966"/>
    <n v="56.3106796116505"/>
    <s v="Odisha"/>
  </r>
  <r>
    <n v="1.1797000739228499E+17"/>
    <s v="2025-02-03"/>
    <x v="5"/>
    <x v="2"/>
    <n v="782445"/>
    <n v="7117"/>
    <n v="3"/>
    <n v="172.81553398058199"/>
    <n v="5.1844660194174796"/>
    <n v="177.99999999999946"/>
    <n v="74.757281553398101"/>
    <s v="Assam"/>
  </r>
  <r>
    <n v="1.1941996730426499E+17"/>
    <s v="2025-02-07"/>
    <x v="5"/>
    <x v="1"/>
    <n v="272302"/>
    <n v="7117"/>
    <n v="3"/>
    <n v="155.339805825242"/>
    <n v="4.8932038834951497"/>
    <n v="160.23300970873714"/>
    <n v="46.601941747572802"/>
    <s v="Uttar Pradesh"/>
  </r>
  <r>
    <n v="1.22661062259798E+17"/>
    <s v="2025-02-16"/>
    <x v="5"/>
    <x v="1"/>
    <n v="813210"/>
    <n v="7117"/>
    <n v="3"/>
    <n v="154.368932038834"/>
    <n v="4.6310679611650496"/>
    <n v="158.99999999999906"/>
    <n v="56.3106796116505"/>
    <s v="Bihar"/>
  </r>
  <r>
    <n v="1.1751170523977699E+17"/>
    <s v="2025-02-02"/>
    <x v="5"/>
    <x v="2"/>
    <n v="123001"/>
    <n v="7117"/>
    <n v="3"/>
    <n v="154.368932038834"/>
    <n v="4.8349514563106801"/>
    <n v="159.20388349514468"/>
    <n v="49.514563106796103"/>
    <s v="Haryana"/>
  </r>
  <r>
    <n v="1.19659524197084E+17"/>
    <s v="2025-02-08"/>
    <x v="5"/>
    <x v="1"/>
    <n v="814112"/>
    <n v="7117"/>
    <n v="3"/>
    <n v="170.873786407767"/>
    <n v="5.1262135922330101"/>
    <n v="176"/>
    <n v="54.368932038834998"/>
    <s v="Jharkhand"/>
  </r>
  <r>
    <n v="1.1892148243660499E+17"/>
    <s v="2025-02-06"/>
    <x v="5"/>
    <x v="3"/>
    <n v="389120"/>
    <n v="7117"/>
    <n v="3"/>
    <n v="154.368932038834"/>
    <n v="4.6310679611650496"/>
    <n v="158.99999999999906"/>
    <n v="56.3106796116505"/>
    <s v="Gujarat"/>
  </r>
  <r>
    <n v="8.0865079555253904E+16"/>
    <s v="2024-10-24"/>
    <x v="1"/>
    <x v="3"/>
    <n v="144211"/>
    <n v="7117"/>
    <n v="3"/>
    <n v="0"/>
    <n v="0"/>
    <n v="0"/>
    <n v="-6.7961165048543997"/>
    <s v="Punjab"/>
  </r>
  <r>
    <n v="1.2295943377206899E+17"/>
    <s v="2025-02-17"/>
    <x v="5"/>
    <x v="1"/>
    <n v="457001"/>
    <n v="7117"/>
    <n v="3"/>
    <n v="155.339805825242"/>
    <n v="5.1844660194174796"/>
    <n v="160.52427184465947"/>
    <n v="38.834951456310698"/>
    <s v="Madhya Pradesh"/>
  </r>
  <r>
    <n v="7.9700916300670592E+16"/>
    <s v="2024-10-21"/>
    <x v="1"/>
    <x v="3"/>
    <n v="572137"/>
    <n v="7117"/>
    <n v="3"/>
    <n v="0"/>
    <n v="0"/>
    <n v="0"/>
    <n v="-5.8252427184466002"/>
    <s v="Karnataka"/>
  </r>
  <r>
    <n v="8.3238848961325904E+16"/>
    <s v="2024-10-30"/>
    <x v="1"/>
    <x v="3"/>
    <n v="271855"/>
    <n v="7117"/>
    <n v="3"/>
    <n v="0"/>
    <n v="0"/>
    <n v="0"/>
    <n v="-9.7087378640776993"/>
    <s v="Uttar Pradesh"/>
  </r>
  <r>
    <n v="1.2057378556598301E+17"/>
    <s v="2025-02-10"/>
    <x v="5"/>
    <x v="1"/>
    <n v="734003"/>
    <n v="7117"/>
    <n v="3"/>
    <n v="169.90291262135901"/>
    <n v="5.0970873786407802"/>
    <n v="174.9999999999998"/>
    <n v="59.223300970873801"/>
    <s v="West Bengal"/>
  </r>
  <r>
    <n v="1.2185602621049699E+17"/>
    <s v="2025-02-14"/>
    <x v="5"/>
    <x v="1"/>
    <n v="261001"/>
    <n v="7117"/>
    <n v="3"/>
    <n v="164.07766990291199"/>
    <n v="5.1844660194174796"/>
    <n v="169.26213592232946"/>
    <n v="47.572815533980602"/>
    <s v="Uttar Pradesh"/>
  </r>
  <r>
    <n v="1.2239160934516701E+17"/>
    <s v="2025-02-15"/>
    <x v="5"/>
    <x v="1"/>
    <n v="462044"/>
    <n v="7117"/>
    <n v="3"/>
    <n v="172.81553398058199"/>
    <n v="5.1844660194174796"/>
    <n v="177.99999999999946"/>
    <n v="56.3106796116505"/>
    <s v="Madhya Pradesh"/>
  </r>
  <r>
    <n v="1.21535902279598E+17"/>
    <s v="2025-02-13"/>
    <x v="5"/>
    <x v="1"/>
    <n v="394210"/>
    <n v="7117"/>
    <n v="3"/>
    <n v="107.766990291262"/>
    <n v="3.78640776699029"/>
    <n v="111.5533980582523"/>
    <n v="40.776699029126199"/>
    <s v="Gujarat"/>
  </r>
  <r>
    <n v="8.10092355226284E+16"/>
    <s v="2024-10-24"/>
    <x v="1"/>
    <x v="3"/>
    <n v="201102"/>
    <n v="7117"/>
    <n v="3"/>
    <n v="0"/>
    <n v="0"/>
    <n v="0"/>
    <n v="-9.7087378640776993"/>
    <s v="Uttar Pradesh"/>
  </r>
  <r>
    <n v="1.17245979736002E+17"/>
    <s v="2025-02-01"/>
    <x v="5"/>
    <x v="1"/>
    <n v="390010"/>
    <n v="7117"/>
    <n v="3"/>
    <n v="147.57281553397999"/>
    <n v="4.42718446601942"/>
    <n v="151.9999999999994"/>
    <n v="59.223300970873801"/>
    <s v="Gujarat"/>
  </r>
  <r>
    <n v="8.6706459009807104E+16"/>
    <s v="2024-11-09"/>
    <x v="2"/>
    <x v="3"/>
    <n v="160101"/>
    <n v="7117"/>
    <n v="3"/>
    <n v="0"/>
    <n v="0"/>
    <n v="0"/>
    <n v="-9.7087378640776993"/>
    <s v="Chandigarh"/>
  </r>
  <r>
    <n v="1.1729365464236499E+17"/>
    <s v="2025-02-01"/>
    <x v="5"/>
    <x v="1"/>
    <n v="301019"/>
    <n v="7117"/>
    <n v="3"/>
    <n v="167.96116504854299"/>
    <n v="5.1844660194174796"/>
    <n v="173.14563106796047"/>
    <n v="51.456310679611697"/>
    <s v="Rajasthan"/>
  </r>
  <r>
    <n v="1.1897879313383101E+17"/>
    <s v="2025-02-06"/>
    <x v="5"/>
    <x v="3"/>
    <n v="143501"/>
    <n v="7117"/>
    <n v="3"/>
    <n v="164.07766990291199"/>
    <n v="5.1844660194174796"/>
    <n v="169.26213592232946"/>
    <n v="47.572815533980602"/>
    <s v="Punjab"/>
  </r>
  <r>
    <n v="1.1751289489538701E+17"/>
    <s v="2025-02-02"/>
    <x v="5"/>
    <x v="1"/>
    <n v="829210"/>
    <n v="7117"/>
    <n v="3"/>
    <n v="143.68932038834899"/>
    <n v="4.8349514563106801"/>
    <n v="148.52427184465967"/>
    <n v="38.834951456310698"/>
    <s v="Jharkhand"/>
  </r>
  <r>
    <n v="1.17101768911122E+17"/>
    <s v="2025-02-01"/>
    <x v="5"/>
    <x v="1"/>
    <n v="110084"/>
    <n v="7117"/>
    <n v="3"/>
    <n v="145.631067961165"/>
    <n v="4.6310679611650496"/>
    <n v="150.26213592233006"/>
    <n v="47.572815533980602"/>
    <s v="Delhi"/>
  </r>
  <r>
    <n v="1.2016822005651299E+17"/>
    <s v="2025-02-09"/>
    <x v="5"/>
    <x v="3"/>
    <n v="518502"/>
    <n v="7117"/>
    <n v="3"/>
    <n v="170.873786407767"/>
    <n v="5.1262135922330101"/>
    <n v="176"/>
    <n v="59.223300970873801"/>
    <s v="Andhra Pradesh"/>
  </r>
  <r>
    <n v="1.19821325828214E+17"/>
    <s v="2025-02-08"/>
    <x v="5"/>
    <x v="2"/>
    <n v="843129"/>
    <n v="7117"/>
    <n v="3"/>
    <n v="169.90291262135901"/>
    <n v="5.0970873786407802"/>
    <n v="174.9999999999998"/>
    <n v="59.223300970873801"/>
    <s v="Bihar"/>
  </r>
  <r>
    <n v="1.17629672610886E+17"/>
    <s v="2025-02-02"/>
    <x v="5"/>
    <x v="2"/>
    <n v="761035"/>
    <n v="7117"/>
    <n v="3"/>
    <n v="161.16504854368901"/>
    <n v="4.8349514563106801"/>
    <n v="165.99999999999969"/>
    <n v="56.3106796116505"/>
    <s v="Odisha"/>
  </r>
  <r>
    <n v="1.19317096441344E+17"/>
    <s v="2025-02-07"/>
    <x v="5"/>
    <x v="3"/>
    <n v="786614"/>
    <n v="961590"/>
    <n v="12"/>
    <n v="161.60714285714201"/>
    <n v="19.3928571428571"/>
    <n v="180.99999999999912"/>
    <n v="67.857142857142904"/>
    <s v="Assam"/>
  </r>
  <r>
    <n v="1.2258074976652099E+17"/>
    <s v="2025-02-16"/>
    <x v="5"/>
    <x v="3"/>
    <n v="486001"/>
    <n v="7117"/>
    <n v="3"/>
    <n v="166.01941747572801"/>
    <n v="5.0970873786407802"/>
    <n v="171.1165048543688"/>
    <n v="55.339805825242699"/>
    <s v="Madhya Pradesh"/>
  </r>
  <r>
    <n v="1.1763172361764499E+17"/>
    <s v="2025-02-02"/>
    <x v="5"/>
    <x v="1"/>
    <n v="484771"/>
    <n v="7117"/>
    <n v="3"/>
    <n v="156.31067961164999"/>
    <n v="4.8349514563106801"/>
    <n v="161.14563106796066"/>
    <n v="51.456310679611697"/>
    <s v="Madhya Pradesh"/>
  </r>
  <r>
    <n v="1.25128857598888E+17"/>
    <s v="2025-02-23"/>
    <x v="5"/>
    <x v="4"/>
    <n v="140201"/>
    <n v="7117"/>
    <n v="3"/>
    <n v="146.601941747572"/>
    <n v="4.6601941747572804"/>
    <n v="151.26213592232929"/>
    <n v="52.427184466019398"/>
    <s v="Punjab"/>
  </r>
  <r>
    <n v="1.21140068655822E+17"/>
    <s v="2025-02-12"/>
    <x v="5"/>
    <x v="1"/>
    <n v="209861"/>
    <n v="7117"/>
    <n v="3"/>
    <n v="164.07766990291199"/>
    <n v="5.1844660194174796"/>
    <n v="169.26213592232946"/>
    <n v="47.572815533980602"/>
    <s v="Uttar Pradesh"/>
  </r>
  <r>
    <n v="7.6989792849111904E+16"/>
    <s v="2024-10-13"/>
    <x v="1"/>
    <x v="3"/>
    <n v="700041"/>
    <n v="7117"/>
    <n v="3"/>
    <n v="0"/>
    <n v="0"/>
    <n v="0"/>
    <n v="-18.446601941747598"/>
    <s v="West Bengal"/>
  </r>
  <r>
    <n v="1.17626681724006E+17"/>
    <s v="2025-02-02"/>
    <x v="5"/>
    <x v="1"/>
    <n v="828202"/>
    <n v="7117"/>
    <n v="3"/>
    <n v="127.184466019417"/>
    <n v="4.3398058252427196"/>
    <n v="131.52427184465972"/>
    <n v="38.834951456310698"/>
    <s v="Jharkhand"/>
  </r>
  <r>
    <n v="1.2190920279185299E+17"/>
    <s v="2025-02-14"/>
    <x v="5"/>
    <x v="3"/>
    <n v="676101"/>
    <n v="7117"/>
    <n v="3"/>
    <n v="134.95145631067899"/>
    <n v="4.0485436893203897"/>
    <n v="138.99999999999937"/>
    <n v="67.961165048543705"/>
    <s v="Kerala"/>
  </r>
  <r>
    <n v="1.1747998961145E+17"/>
    <s v="2025-02-02"/>
    <x v="5"/>
    <x v="2"/>
    <n v="395013"/>
    <n v="7117"/>
    <n v="3"/>
    <n v="161.16504854368901"/>
    <n v="4.8349514563106801"/>
    <n v="165.99999999999969"/>
    <n v="56.3106796116505"/>
    <s v="Gujarat"/>
  </r>
  <r>
    <n v="1.2568173951030899E+17"/>
    <s v="2025-02-25"/>
    <x v="5"/>
    <x v="0"/>
    <n v="682010"/>
    <n v="7117"/>
    <n v="3"/>
    <n v="143.68932038834899"/>
    <n v="4.9514563106796103"/>
    <n v="148.64077669902861"/>
    <n v="48.543689320388303"/>
    <s v="Kerala"/>
  </r>
  <r>
    <n v="1.20780893915868E+17"/>
    <s v="2025-02-11"/>
    <x v="5"/>
    <x v="1"/>
    <n v="812006"/>
    <n v="7117"/>
    <n v="3"/>
    <n v="147.57281553397999"/>
    <n v="4.42718446601942"/>
    <n v="151.9999999999994"/>
    <n v="59.223300970873801"/>
    <s v="Bihar"/>
  </r>
  <r>
    <n v="1.1969061072997101E+17"/>
    <s v="2025-02-08"/>
    <x v="5"/>
    <x v="3"/>
    <n v="274501"/>
    <n v="7117"/>
    <n v="3"/>
    <n v="163.106796116504"/>
    <n v="5.1262135922330101"/>
    <n v="168.233009708737"/>
    <n v="46.601941747572802"/>
    <s v="Uttar Pradesh"/>
  </r>
  <r>
    <n v="1.2156081509839299E+17"/>
    <s v="2025-02-13"/>
    <x v="5"/>
    <x v="1"/>
    <n v="734003"/>
    <n v="7117"/>
    <n v="3"/>
    <n v="194.17475728155301"/>
    <n v="5.8252427184466002"/>
    <n v="199.9999999999996"/>
    <n v="59.223300970873801"/>
    <s v="West Bengal"/>
  </r>
  <r>
    <n v="1.2125185281900099E+17"/>
    <s v="2025-02-12"/>
    <x v="5"/>
    <x v="1"/>
    <n v="281501"/>
    <n v="7117"/>
    <n v="3"/>
    <n v="164.07766990291199"/>
    <n v="5.1844660194174796"/>
    <n v="169.26213592232946"/>
    <n v="47.572815533980602"/>
    <s v="Uttar Pradesh"/>
  </r>
  <r>
    <n v="1.2073046907039299E+17"/>
    <s v="2025-02-11"/>
    <x v="5"/>
    <x v="1"/>
    <n v="221603"/>
    <n v="7117"/>
    <n v="3"/>
    <n v="157.28155339805801"/>
    <n v="4.9805825242718402"/>
    <n v="162.26213592232986"/>
    <n v="48.543689320388303"/>
    <s v="Uttar Pradesh"/>
  </r>
  <r>
    <n v="1.20066106221294E+17"/>
    <s v="2025-02-09"/>
    <x v="5"/>
    <x v="1"/>
    <n v="695002"/>
    <n v="7117"/>
    <n v="3"/>
    <n v="149.514563106796"/>
    <n v="5.0679611650485397"/>
    <n v="154.58252427184453"/>
    <n v="46.601941747572802"/>
    <s v="Kerala"/>
  </r>
  <r>
    <n v="1.2294011692999E+17"/>
    <s v="2025-02-17"/>
    <x v="5"/>
    <x v="1"/>
    <n v="413216"/>
    <n v="7117"/>
    <n v="3"/>
    <n v="172.81553398058199"/>
    <n v="5.1844660194174796"/>
    <n v="177.99999999999946"/>
    <n v="56.3106796116505"/>
    <s v="Maharashtra"/>
  </r>
  <r>
    <n v="8.0985967641105696E+16"/>
    <s v="2024-10-24"/>
    <x v="1"/>
    <x v="3"/>
    <n v="301701"/>
    <n v="7117"/>
    <n v="3"/>
    <n v="0"/>
    <n v="0"/>
    <n v="0"/>
    <n v="-6.7961165048543997"/>
    <s v="Rajasthan"/>
  </r>
  <r>
    <n v="1.19815628269548E+17"/>
    <s v="2025-02-08"/>
    <x v="5"/>
    <x v="5"/>
    <n v="324002"/>
    <n v="7117"/>
    <n v="3"/>
    <n v="164.07766990291199"/>
    <n v="5.1844660194174796"/>
    <n v="169.26213592232946"/>
    <n v="47.572815533980602"/>
    <s v="Rajasthan"/>
  </r>
  <r>
    <n v="1.2082949988892301E+17"/>
    <s v="2025-02-11"/>
    <x v="5"/>
    <x v="2"/>
    <n v="803101"/>
    <n v="7117"/>
    <n v="3"/>
    <n v="147.57281553397999"/>
    <n v="4.42718446601942"/>
    <n v="151.9999999999994"/>
    <n v="59.223300970873801"/>
    <s v="Bihar"/>
  </r>
  <r>
    <n v="1.2030403881388899E+17"/>
    <s v="2025-02-10"/>
    <x v="5"/>
    <x v="1"/>
    <n v="852139"/>
    <n v="7117"/>
    <n v="3"/>
    <n v="172.81553398058199"/>
    <n v="5.1844660194174796"/>
    <n v="177.99999999999946"/>
    <n v="56.3106796116505"/>
    <s v="Bihar"/>
  </r>
  <r>
    <n v="1.2310283856143699E+17"/>
    <s v="2025-02-17"/>
    <x v="5"/>
    <x v="1"/>
    <n v="110085"/>
    <n v="7117"/>
    <n v="3"/>
    <n v="200"/>
    <n v="6.6407766990291304"/>
    <n v="206.64077669902912"/>
    <n v="34.951456310679603"/>
    <s v="Delhi"/>
  </r>
  <r>
    <n v="1.2270101743038899E+17"/>
    <s v="2025-02-16"/>
    <x v="5"/>
    <x v="1"/>
    <n v="600118"/>
    <n v="7117"/>
    <n v="3"/>
    <n v="160.19417475728099"/>
    <n v="4.8058252427184502"/>
    <n v="164.99999999999943"/>
    <n v="57.2815533980583"/>
    <s v="Tamil Nadu"/>
  </r>
  <r>
    <n v="1.22230901064232E+17"/>
    <s v="2025-02-15"/>
    <x v="5"/>
    <x v="1"/>
    <n v="497111"/>
    <n v="7117"/>
    <n v="3"/>
    <n v="154.368932038834"/>
    <n v="4.6310679611650496"/>
    <n v="158.99999999999906"/>
    <n v="56.3106796116505"/>
    <s v="Chhattisgarh"/>
  </r>
  <r>
    <n v="1.1896476366238099E+17"/>
    <s v="2025-02-06"/>
    <x v="5"/>
    <x v="1"/>
    <n v="222170"/>
    <n v="7117"/>
    <n v="3"/>
    <n v="145.631067961165"/>
    <n v="4.6310679611650496"/>
    <n v="150.26213592233006"/>
    <n v="47.572815533980602"/>
    <s v="Uttar Pradesh"/>
  </r>
  <r>
    <n v="1.2160761036239299E+17"/>
    <s v="2025-02-13"/>
    <x v="5"/>
    <x v="1"/>
    <n v="123029"/>
    <n v="7117"/>
    <n v="3"/>
    <n v="150.485436893203"/>
    <n v="5.1844660194174796"/>
    <n v="155.66990291262047"/>
    <n v="33.980582524271803"/>
    <s v="Haryana"/>
  </r>
  <r>
    <n v="1.22355860335914E+17"/>
    <s v="2025-02-15"/>
    <x v="5"/>
    <x v="1"/>
    <n v="224001"/>
    <n v="7117"/>
    <n v="3"/>
    <n v="164.07766990291199"/>
    <n v="5.1844660194174796"/>
    <n v="169.26213592232946"/>
    <n v="47.572815533980602"/>
    <s v="Uttar Pradesh"/>
  </r>
  <r>
    <n v="1.2263652368544E+17"/>
    <s v="2025-02-16"/>
    <x v="5"/>
    <x v="1"/>
    <n v="609108"/>
    <n v="7117"/>
    <n v="3"/>
    <n v="154.368932038834"/>
    <n v="4.6310679611650496"/>
    <n v="158.99999999999906"/>
    <n v="56.3106796116505"/>
    <s v="Tamil Nadu"/>
  </r>
  <r>
    <n v="1.1868875951137101E+17"/>
    <s v="2025-02-05"/>
    <x v="5"/>
    <x v="1"/>
    <n v="232331"/>
    <n v="7117"/>
    <n v="3"/>
    <n v="164.07766990291199"/>
    <n v="5.1844660194174796"/>
    <n v="169.26213592232946"/>
    <n v="47.572815533980602"/>
    <s v="Uttar Pradesh"/>
  </r>
  <r>
    <n v="1.2218896144254899E+17"/>
    <s v="2025-02-15"/>
    <x v="5"/>
    <x v="1"/>
    <n v="110032"/>
    <n v="7117"/>
    <n v="3"/>
    <n v="164.07766990291199"/>
    <n v="5.1844660194174796"/>
    <n v="169.26213592232946"/>
    <n v="47.572815533980602"/>
    <s v="Delhi"/>
  </r>
  <r>
    <n v="1.1732148032873699E+17"/>
    <s v="2025-02-01"/>
    <x v="5"/>
    <x v="1"/>
    <n v="816104"/>
    <n v="7117"/>
    <n v="3"/>
    <n v="172.81553398058199"/>
    <n v="5.1844660194174796"/>
    <n v="177.99999999999946"/>
    <n v="56.3106796116505"/>
    <s v="Jharkhand"/>
  </r>
  <r>
    <n v="1.2157337311251299E+17"/>
    <s v="2025-02-13"/>
    <x v="5"/>
    <x v="1"/>
    <n v="413716"/>
    <n v="7117"/>
    <n v="3"/>
    <n v="169.90291262135901"/>
    <n v="5.0970873786407802"/>
    <n v="174.9999999999998"/>
    <n v="59.223300970873801"/>
    <s v="Maharashtra"/>
  </r>
  <r>
    <n v="1.1748844511025E+17"/>
    <s v="2025-02-02"/>
    <x v="5"/>
    <x v="5"/>
    <n v="695002"/>
    <n v="7117"/>
    <n v="3"/>
    <n v="139.80582524271799"/>
    <n v="4.7766990291262097"/>
    <n v="144.58252427184419"/>
    <n v="46.601941747572802"/>
    <s v="Kerala"/>
  </r>
  <r>
    <n v="1.2123718235009501E+17"/>
    <s v="2025-02-12"/>
    <x v="5"/>
    <x v="1"/>
    <n v="226014"/>
    <n v="7117"/>
    <n v="3"/>
    <n v="160.19417475728099"/>
    <n v="5.1844660194174796"/>
    <n v="165.37864077669846"/>
    <n v="43.6893203883495"/>
    <s v="Uttar Pradesh"/>
  </r>
  <r>
    <n v="1.21995067888304E+17"/>
    <s v="2025-02-14"/>
    <x v="5"/>
    <x v="1"/>
    <n v="273015"/>
    <n v="7117"/>
    <n v="3"/>
    <n v="149.514563106796"/>
    <n v="5.1844660194174796"/>
    <n v="154.69902912621347"/>
    <n v="33.009708737864102"/>
    <s v="Uttar Pradesh"/>
  </r>
  <r>
    <n v="1.18367729827828E+17"/>
    <s v="2025-02-04"/>
    <x v="5"/>
    <x v="2"/>
    <n v="208013"/>
    <n v="7117"/>
    <n v="3"/>
    <n v="164.07766990291199"/>
    <n v="5.1844660194174796"/>
    <n v="169.26213592232946"/>
    <n v="47.572815533980602"/>
    <s v="Uttar Pradesh"/>
  </r>
  <r>
    <n v="1.1746782160843E+17"/>
    <s v="2025-02-02"/>
    <x v="5"/>
    <x v="1"/>
    <n v="821108"/>
    <n v="7117"/>
    <n v="3"/>
    <n v="161.16504854368901"/>
    <n v="4.8349514563106801"/>
    <n v="165.99999999999969"/>
    <n v="56.3106796116505"/>
    <s v="Bihar"/>
  </r>
  <r>
    <n v="1.1969298940155901E+17"/>
    <s v="2025-02-08"/>
    <x v="5"/>
    <x v="1"/>
    <n v="843326"/>
    <n v="7117"/>
    <n v="3"/>
    <n v="170.873786407767"/>
    <n v="5.1262135922330101"/>
    <n v="176"/>
    <n v="54.368932038834998"/>
    <s v="Bihar"/>
  </r>
  <r>
    <n v="1.2381889220328899E+17"/>
    <s v="2025-02-19"/>
    <x v="5"/>
    <x v="3"/>
    <n v="244223"/>
    <n v="7117"/>
    <n v="3"/>
    <n v="151.45631067961099"/>
    <n v="4.8058252427184502"/>
    <n v="156.26213592232943"/>
    <n v="48.543689320388303"/>
    <s v="Uttar Pradesh"/>
  </r>
  <r>
    <n v="1.18647645514564E+17"/>
    <s v="2025-02-05"/>
    <x v="5"/>
    <x v="1"/>
    <n v="852215"/>
    <n v="7117"/>
    <n v="3"/>
    <n v="154.368932038834"/>
    <n v="4.6310679611650496"/>
    <n v="158.99999999999906"/>
    <n v="56.3106796116505"/>
    <s v="Bihar"/>
  </r>
  <r>
    <n v="1.2546995166562899E+17"/>
    <s v="2025-02-24"/>
    <x v="5"/>
    <x v="6"/>
    <n v="227808"/>
    <n v="7117"/>
    <n v="3"/>
    <n v="207.766990291262"/>
    <n v="6.6699029126213603"/>
    <n v="214.43689320388336"/>
    <n v="42.7184466019418"/>
    <s v="Uttar Pradesh"/>
  </r>
  <r>
    <n v="1.2006344777767E+17"/>
    <s v="2025-02-09"/>
    <x v="5"/>
    <x v="1"/>
    <n v="160019"/>
    <n v="7117"/>
    <n v="3"/>
    <n v="145.631067961165"/>
    <n v="4.6310679611650496"/>
    <n v="150.26213592233006"/>
    <n v="47.572815533980602"/>
    <s v="Chandigarh"/>
  </r>
  <r>
    <n v="8.0929583877729104E+16"/>
    <s v="2024-10-24"/>
    <x v="1"/>
    <x v="3"/>
    <n v="221010"/>
    <n v="7117"/>
    <n v="3"/>
    <n v="0"/>
    <n v="0"/>
    <n v="0"/>
    <n v="-9.7087378640776993"/>
    <s v="Uttar Pradesh"/>
  </r>
  <r>
    <n v="1.22185806630352E+17"/>
    <s v="2025-02-15"/>
    <x v="5"/>
    <x v="1"/>
    <n v="421306"/>
    <n v="7117"/>
    <n v="3"/>
    <n v="172.81553398058199"/>
    <n v="5.1844660194174796"/>
    <n v="177.99999999999946"/>
    <n v="56.3106796116505"/>
    <s v="Maharashtra"/>
  </r>
  <r>
    <n v="1.1754010679315299E+17"/>
    <s v="2025-02-02"/>
    <x v="5"/>
    <x v="3"/>
    <n v="246763"/>
    <n v="7117"/>
    <n v="3"/>
    <n v="133.980582524271"/>
    <n v="4.1650485436893199"/>
    <n v="138.14563106796032"/>
    <n v="54.368932038834998"/>
    <s v="Uttar Pradesh"/>
  </r>
  <r>
    <n v="1.2202028906344899E+17"/>
    <s v="2025-02-14"/>
    <x v="5"/>
    <x v="1"/>
    <n v="250404"/>
    <n v="7117"/>
    <n v="3"/>
    <n v="138.83495145630999"/>
    <n v="4.42718446601942"/>
    <n v="143.26213592232941"/>
    <n v="50.485436893203897"/>
    <s v="Uttar Pradesh"/>
  </r>
  <r>
    <n v="1.1827205799283501E+17"/>
    <s v="2025-02-04"/>
    <x v="5"/>
    <x v="2"/>
    <n v="272271"/>
    <n v="7117"/>
    <n v="3"/>
    <n v="164.07766990291199"/>
    <n v="5.1844660194174796"/>
    <n v="169.26213592232946"/>
    <n v="47.572815533980602"/>
    <s v="Uttar Pradesh"/>
  </r>
  <r>
    <n v="1.1745851157908301E+17"/>
    <s v="2025-02-02"/>
    <x v="5"/>
    <x v="1"/>
    <n v="204101"/>
    <n v="7117"/>
    <n v="3"/>
    <n v="135.92233009708701"/>
    <n v="4.3398058252427196"/>
    <n v="140.26213592232972"/>
    <n v="47.572815533980602"/>
    <s v="Uttar Pradesh"/>
  </r>
  <r>
    <n v="1.20793414248812E+17"/>
    <s v="2025-02-11"/>
    <x v="5"/>
    <x v="1"/>
    <n v="313031"/>
    <n v="7117"/>
    <n v="3"/>
    <n v="145.631067961165"/>
    <n v="4.6310679611650496"/>
    <n v="150.26213592233006"/>
    <n v="47.572815533980602"/>
    <s v="Rajasthan"/>
  </r>
  <r>
    <n v="1.1706877017826499E+17"/>
    <s v="2025-02-01"/>
    <x v="5"/>
    <x v="1"/>
    <n v="226021"/>
    <n v="7117"/>
    <n v="3"/>
    <n v="143.68932038834899"/>
    <n v="5.0679611650485397"/>
    <n v="148.75728155339752"/>
    <n v="32.038834951456302"/>
    <s v="Uttar Pradesh"/>
  </r>
  <r>
    <n v="1.1748761257567901E+17"/>
    <s v="2025-02-02"/>
    <x v="5"/>
    <x v="1"/>
    <n v="243724"/>
    <n v="7117"/>
    <n v="3"/>
    <n v="121.35922330097"/>
    <n v="4.3398058252427196"/>
    <n v="125.69902912621272"/>
    <n v="33.009708737864102"/>
    <s v="Uttar Pradesh"/>
  </r>
  <r>
    <n v="1.24744017670114E+17"/>
    <s v="2025-02-22"/>
    <x v="5"/>
    <x v="2"/>
    <n v="813210"/>
    <n v="7117"/>
    <n v="3"/>
    <n v="177.66990291262101"/>
    <n v="5.3300970873786397"/>
    <n v="182.99999999999966"/>
    <n v="56.3106796116505"/>
    <s v="Bihar"/>
  </r>
  <r>
    <n v="1.17874432464286E+17"/>
    <s v="2025-02-03"/>
    <x v="5"/>
    <x v="1"/>
    <n v="410513"/>
    <n v="7117"/>
    <n v="3"/>
    <n v="172.81553398058199"/>
    <n v="5.1844660194174796"/>
    <n v="177.99999999999946"/>
    <n v="56.3106796116505"/>
    <s v="Maharashtra"/>
  </r>
  <r>
    <n v="1.21211637175972E+17"/>
    <s v="2025-02-12"/>
    <x v="5"/>
    <x v="1"/>
    <n v="782435"/>
    <n v="7117"/>
    <n v="3"/>
    <n v="189.32038834951399"/>
    <n v="5.6796116504854401"/>
    <n v="194.99999999999943"/>
    <n v="78.640776699029104"/>
    <s v="Assam"/>
  </r>
  <r>
    <n v="1.19849851575596E+17"/>
    <s v="2025-02-08"/>
    <x v="5"/>
    <x v="3"/>
    <n v="571313"/>
    <n v="7117"/>
    <n v="3"/>
    <n v="147.57281553397999"/>
    <n v="4.42718446601942"/>
    <n v="151.9999999999994"/>
    <n v="59.223300970873801"/>
    <s v="Karnataka"/>
  </r>
  <r>
    <n v="1.2042774049482E+17"/>
    <s v="2025-02-10"/>
    <x v="5"/>
    <x v="1"/>
    <n v="132105"/>
    <n v="7117"/>
    <n v="3"/>
    <n v="161.16504854368901"/>
    <n v="5.0970873786407802"/>
    <n v="166.2621359223298"/>
    <n v="50.485436893203897"/>
    <s v="Haryana"/>
  </r>
  <r>
    <n v="1.20385196653702E+17"/>
    <s v="2025-02-10"/>
    <x v="5"/>
    <x v="1"/>
    <n v="495001"/>
    <n v="7117"/>
    <n v="3"/>
    <n v="172.81553398058199"/>
    <n v="5.1844660194174796"/>
    <n v="177.99999999999946"/>
    <n v="56.3106796116505"/>
    <s v="Chhattisgarh"/>
  </r>
  <r>
    <n v="1.22249008784764E+17"/>
    <s v="2025-02-15"/>
    <x v="5"/>
    <x v="5"/>
    <n v="431009"/>
    <n v="7117"/>
    <n v="3"/>
    <n v="172.81553398058199"/>
    <n v="5.1844660194174796"/>
    <n v="177.99999999999946"/>
    <n v="56.3106796116505"/>
    <s v="Maharashtra"/>
  </r>
  <r>
    <n v="1.1723916595930301E+17"/>
    <s v="2025-02-01"/>
    <x v="5"/>
    <x v="1"/>
    <n v="248121"/>
    <n v="7117"/>
    <n v="3"/>
    <n v="164.07766990291199"/>
    <n v="5.1844660194174796"/>
    <n v="169.26213592232946"/>
    <n v="47.572815533980602"/>
    <s v="Uttarakhand"/>
  </r>
  <r>
    <n v="8.09856034618048E+16"/>
    <s v="2024-10-24"/>
    <x v="1"/>
    <x v="3"/>
    <n v="301701"/>
    <n v="7117"/>
    <n v="3"/>
    <n v="0"/>
    <n v="0"/>
    <n v="0"/>
    <n v="-6.7961165048543997"/>
    <s v="Rajasthan"/>
  </r>
  <r>
    <n v="1.1760209127462899E+17"/>
    <s v="2025-02-02"/>
    <x v="5"/>
    <x v="1"/>
    <n v="324010"/>
    <n v="7117"/>
    <n v="3"/>
    <n v="136.893203883495"/>
    <n v="4.3689320388349504"/>
    <n v="141.26213592232995"/>
    <n v="49.514563106796103"/>
    <s v="Rajasthan"/>
  </r>
  <r>
    <n v="8.9023742776374E+16"/>
    <s v="2024-11-15"/>
    <x v="2"/>
    <x v="3"/>
    <n v="140603"/>
    <n v="7117"/>
    <n v="3"/>
    <n v="0"/>
    <n v="0"/>
    <n v="0"/>
    <n v="-9.7087378640776993"/>
    <s v="Punjab"/>
  </r>
  <r>
    <n v="1.2556058407812899E+17"/>
    <s v="2025-02-24"/>
    <x v="5"/>
    <x v="3"/>
    <n v="277401"/>
    <n v="7117"/>
    <n v="3"/>
    <n v="151.45631067961099"/>
    <n v="4.8058252427184502"/>
    <n v="156.26213592232943"/>
    <n v="47.572815533980602"/>
    <s v="Uttar Pradesh"/>
  </r>
  <r>
    <n v="1.2485337657619501E+17"/>
    <s v="2025-02-22"/>
    <x v="5"/>
    <x v="3"/>
    <n v="783337"/>
    <n v="7117"/>
    <n v="3"/>
    <n v="171.844660194174"/>
    <n v="5.8834951456310698"/>
    <n v="177.72815533980506"/>
    <n v="50.485436893203897"/>
    <s v="Assam"/>
  </r>
  <r>
    <n v="1.1791921495913299E+17"/>
    <s v="2025-02-03"/>
    <x v="5"/>
    <x v="1"/>
    <n v="321602"/>
    <n v="7117"/>
    <n v="3"/>
    <n v="166.01941747572801"/>
    <n v="5.2427184466019403"/>
    <n v="171.26213592232995"/>
    <n v="48.543689320388303"/>
    <s v="Rajasthan"/>
  </r>
  <r>
    <n v="1.1974864799091901E+17"/>
    <s v="2025-02-08"/>
    <x v="5"/>
    <x v="1"/>
    <n v="273013"/>
    <n v="7117"/>
    <n v="3"/>
    <n v="164.07766990291199"/>
    <n v="5.1844660194174796"/>
    <n v="169.26213592232946"/>
    <n v="47.572815533980602"/>
    <s v="Uttar Pradesh"/>
  </r>
  <r>
    <n v="1.17055857308758E+17"/>
    <s v="2025-02-01"/>
    <x v="5"/>
    <x v="1"/>
    <n v="516329"/>
    <n v="7117"/>
    <n v="3"/>
    <n v="172.81553398058199"/>
    <n v="5.1844660194174796"/>
    <n v="177.99999999999946"/>
    <n v="56.3106796116505"/>
    <s v="Andhra Pradesh"/>
  </r>
  <r>
    <n v="1.265859877481E+17"/>
    <s v="2025-02-27"/>
    <x v="5"/>
    <x v="3"/>
    <n v="769001"/>
    <n v="7117"/>
    <n v="3"/>
    <n v="177.66990291262101"/>
    <n v="5.3300970873786397"/>
    <n v="182.99999999999966"/>
    <n v="56.3106796116505"/>
    <s v="Odisha"/>
  </r>
  <r>
    <n v="1.22030063163306E+17"/>
    <s v="2025-02-14"/>
    <x v="5"/>
    <x v="3"/>
    <n v="275201"/>
    <n v="7117"/>
    <n v="3"/>
    <n v="138.83495145630999"/>
    <n v="4.42718446601942"/>
    <n v="143.26213592232941"/>
    <n v="50.485436893203897"/>
    <s v="Uttar Pradesh"/>
  </r>
  <r>
    <n v="8.3520462140728992E+16"/>
    <s v="2024-10-31"/>
    <x v="1"/>
    <x v="3"/>
    <n v="110053"/>
    <n v="7117"/>
    <n v="3"/>
    <n v="0"/>
    <n v="0"/>
    <n v="0"/>
    <n v="-9.7087378640776993"/>
    <s v="Delhi"/>
  </r>
  <r>
    <n v="1.2038820124878499E+17"/>
    <s v="2025-02-10"/>
    <x v="5"/>
    <x v="1"/>
    <n v="495001"/>
    <n v="7117"/>
    <n v="3"/>
    <n v="200.970873786407"/>
    <n v="6.5825242718446599"/>
    <n v="207.55339805825164"/>
    <n v="39.805825242718498"/>
    <s v="Chhattisgarh"/>
  </r>
  <r>
    <n v="8.0578271516437296E+16"/>
    <s v="2024-10-23"/>
    <x v="1"/>
    <x v="3"/>
    <n v="444704"/>
    <n v="7117"/>
    <n v="3"/>
    <n v="0"/>
    <n v="0"/>
    <n v="0"/>
    <n v="-20.3883495145631"/>
    <s v="Maharashtra"/>
  </r>
  <r>
    <n v="8.6099288442204896E+16"/>
    <s v="2024-11-07"/>
    <x v="2"/>
    <x v="3"/>
    <n v="151207"/>
    <n v="7117"/>
    <n v="3"/>
    <n v="0"/>
    <n v="0"/>
    <n v="0"/>
    <n v="-9.7087378640776993"/>
    <s v="Punjab"/>
  </r>
  <r>
    <n v="1.22640792409108E+17"/>
    <s v="2025-02-16"/>
    <x v="5"/>
    <x v="1"/>
    <n v="276303"/>
    <n v="7117"/>
    <n v="3"/>
    <n v="164.07766990291199"/>
    <n v="5.1844660194174796"/>
    <n v="169.26213592232946"/>
    <n v="47.572815533980602"/>
    <s v="Uttar Pradesh"/>
  </r>
  <r>
    <n v="1.2663956767483299E+17"/>
    <s v="2025-02-27"/>
    <x v="5"/>
    <x v="0"/>
    <n v="761108"/>
    <n v="7117"/>
    <n v="3"/>
    <n v="177.66990291262101"/>
    <n v="5.3300970873786397"/>
    <n v="182.99999999999966"/>
    <n v="56.3106796116505"/>
    <s v="Odisha"/>
  </r>
  <r>
    <n v="1.2369722277685299E+17"/>
    <s v="2025-02-19"/>
    <x v="5"/>
    <x v="1"/>
    <n v="226002"/>
    <n v="7117"/>
    <n v="3"/>
    <n v="81.553398058252398"/>
    <n v="3.23300970873786"/>
    <n v="84.786407766990251"/>
    <n v="33.009708737864102"/>
    <s v="Uttar Pradesh"/>
  </r>
  <r>
    <n v="8.6369948575721104E+16"/>
    <s v="2024-11-08"/>
    <x v="2"/>
    <x v="3"/>
    <n v="232102"/>
    <n v="7117"/>
    <n v="3"/>
    <n v="0"/>
    <n v="0"/>
    <n v="0"/>
    <n v="-9.7087378640776993"/>
    <s v="Uttar Pradesh"/>
  </r>
  <r>
    <n v="1.16972605390746E+17"/>
    <s v="2025-02-01"/>
    <x v="5"/>
    <x v="1"/>
    <n v="121004"/>
    <n v="7117"/>
    <n v="3"/>
    <n v="164.07766990291199"/>
    <n v="5.1844660194174796"/>
    <n v="169.26213592232946"/>
    <n v="47.572815533980602"/>
    <s v="Haryana"/>
  </r>
  <r>
    <n v="1.2234953474662899E+17"/>
    <s v="2025-02-15"/>
    <x v="5"/>
    <x v="3"/>
    <n v="132041"/>
    <n v="7117"/>
    <n v="3"/>
    <n v="160.19417475728099"/>
    <n v="5.0679611650485397"/>
    <n v="165.26213592232952"/>
    <n v="48.543689320388303"/>
    <s v="Haryana"/>
  </r>
  <r>
    <n v="1.1763167546221699E+17"/>
    <s v="2025-02-02"/>
    <x v="5"/>
    <x v="1"/>
    <n v="132001"/>
    <n v="7117"/>
    <n v="3"/>
    <n v="152.42718446601901"/>
    <n v="4.8349514563106801"/>
    <n v="157.26213592232969"/>
    <n v="47.572815533980602"/>
    <s v="Haryana"/>
  </r>
  <r>
    <n v="1.1755194491420301E+17"/>
    <s v="2025-02-02"/>
    <x v="5"/>
    <x v="1"/>
    <n v="802158"/>
    <n v="7117"/>
    <n v="3"/>
    <n v="101.941747572815"/>
    <n v="3.8737864077669899"/>
    <n v="105.81553398058199"/>
    <n v="30.097087378640801"/>
    <s v="Bihar"/>
  </r>
  <r>
    <n v="1.2157395138522701E+17"/>
    <s v="2025-02-13"/>
    <x v="5"/>
    <x v="3"/>
    <n v="845438"/>
    <n v="7117"/>
    <n v="3"/>
    <n v="166.01941747572801"/>
    <n v="5.0970873786407802"/>
    <n v="171.1165048543688"/>
    <n v="55.339805825242699"/>
    <s v="Bihar"/>
  </r>
  <r>
    <n v="1.18201586418872E+17"/>
    <s v="2025-02-04"/>
    <x v="5"/>
    <x v="3"/>
    <n v="841286"/>
    <n v="7117"/>
    <n v="3"/>
    <n v="167.96116504854299"/>
    <n v="5.1844660194174796"/>
    <n v="173.14563106796047"/>
    <n v="51.456310679611697"/>
    <s v="Bihar"/>
  </r>
  <r>
    <n v="1.2633980828585901E+17"/>
    <s v="2025-02-26"/>
    <x v="5"/>
    <x v="0"/>
    <n v="517536"/>
    <n v="7117"/>
    <n v="3"/>
    <n v="177.66990291262101"/>
    <n v="5.3300970873786397"/>
    <n v="182.99999999999966"/>
    <n v="56.3106796116505"/>
    <s v="Andhra Pradesh"/>
  </r>
  <r>
    <n v="1.1985170680014099E+17"/>
    <s v="2025-02-08"/>
    <x v="5"/>
    <x v="6"/>
    <n v="571313"/>
    <n v="7117"/>
    <n v="3"/>
    <n v="147.57281553397999"/>
    <n v="4.42718446601942"/>
    <n v="151.9999999999994"/>
    <n v="59.223300970873801"/>
    <s v="Karnataka"/>
  </r>
  <r>
    <n v="1.22246788844646E+17"/>
    <s v="2025-02-15"/>
    <x v="5"/>
    <x v="0"/>
    <n v="221005"/>
    <n v="7117"/>
    <n v="3"/>
    <n v="164.07766990291199"/>
    <n v="5.1844660194174796"/>
    <n v="169.26213592232946"/>
    <n v="47.572815533980602"/>
    <s v="Uttar Pradesh"/>
  </r>
  <r>
    <n v="8.8894248221135392E+16"/>
    <s v="2024-11-15"/>
    <x v="2"/>
    <x v="3"/>
    <n v="208021"/>
    <n v="7117"/>
    <n v="3"/>
    <n v="0"/>
    <n v="0"/>
    <n v="0"/>
    <n v="-9.7087378640776993"/>
    <s v="Uttar Pradesh"/>
  </r>
  <r>
    <n v="1.19359413634232E+17"/>
    <s v="2025-02-07"/>
    <x v="5"/>
    <x v="3"/>
    <n v="786614"/>
    <n v="961590"/>
    <n v="12"/>
    <n v="160.71428571428501"/>
    <n v="19.285714285714199"/>
    <n v="179.9999999999992"/>
    <n v="66.964285714285694"/>
    <s v="Assam"/>
  </r>
  <r>
    <n v="8.6159935742399104E+16"/>
    <s v="2024-11-07"/>
    <x v="2"/>
    <x v="3"/>
    <n v="522101"/>
    <n v="7117"/>
    <n v="3"/>
    <n v="0"/>
    <n v="0"/>
    <n v="0"/>
    <n v="-17.475728155339802"/>
    <s v="Andhra Pradesh"/>
  </r>
  <r>
    <n v="1.2149252705553101E+17"/>
    <s v="2025-02-13"/>
    <x v="5"/>
    <x v="3"/>
    <n v="636705"/>
    <n v="7117"/>
    <n v="3"/>
    <n v="175.728155339805"/>
    <n v="5.2718446601941702"/>
    <n v="180.99999999999918"/>
    <n v="59.223300970873801"/>
    <s v="Tamil Nadu"/>
  </r>
  <r>
    <n v="1.2234237426506E+17"/>
    <s v="2025-02-15"/>
    <x v="5"/>
    <x v="3"/>
    <n v="229301"/>
    <n v="7117"/>
    <n v="3"/>
    <n v="145.631067961165"/>
    <n v="4.6310679611650496"/>
    <n v="150.26213592233006"/>
    <n v="47.572815533980602"/>
    <s v="Uttar Pradesh"/>
  </r>
  <r>
    <n v="1.22379042637902E+17"/>
    <s v="2025-02-15"/>
    <x v="5"/>
    <x v="3"/>
    <n v="243632"/>
    <n v="7117"/>
    <n v="3"/>
    <n v="145.631067961165"/>
    <n v="4.6310679611650496"/>
    <n v="150.26213592233006"/>
    <n v="47.572815533980602"/>
    <s v="Uttar Pradesh"/>
  </r>
  <r>
    <n v="1.19296137709604E+17"/>
    <s v="2025-02-07"/>
    <x v="5"/>
    <x v="1"/>
    <n v="389120"/>
    <n v="7117"/>
    <n v="3"/>
    <n v="154.368932038834"/>
    <n v="4.6310679611650496"/>
    <n v="158.99999999999906"/>
    <n v="56.3106796116505"/>
    <s v="Gujarat"/>
  </r>
  <r>
    <n v="1.22913983069056E+17"/>
    <s v="2025-02-17"/>
    <x v="5"/>
    <x v="1"/>
    <n v="825403"/>
    <n v="7117"/>
    <n v="3"/>
    <n v="172.81553398058199"/>
    <n v="5.1844660194174796"/>
    <n v="177.99999999999946"/>
    <n v="56.3106796116505"/>
    <s v="Jharkhand"/>
  </r>
  <r>
    <n v="1.1762748396902499E+17"/>
    <s v="2025-02-02"/>
    <x v="5"/>
    <x v="3"/>
    <n v="410513"/>
    <n v="7117"/>
    <n v="3"/>
    <n v="161.16504854368901"/>
    <n v="4.8349514563106801"/>
    <n v="165.99999999999969"/>
    <n v="56.3106796116505"/>
    <s v="Maharashtra"/>
  </r>
  <r>
    <n v="1.2198507863621101E+17"/>
    <s v="2025-02-14"/>
    <x v="5"/>
    <x v="3"/>
    <n v="276305"/>
    <n v="7117"/>
    <n v="3"/>
    <n v="161.16504854368901"/>
    <n v="5.0970873786407802"/>
    <n v="166.2621359223298"/>
    <n v="50.485436893203897"/>
    <s v="Uttar Pradesh"/>
  </r>
  <r>
    <n v="1.20805665610134E+17"/>
    <s v="2025-02-11"/>
    <x v="5"/>
    <x v="1"/>
    <n v="273209"/>
    <n v="7117"/>
    <n v="3"/>
    <n v="161.16504854368901"/>
    <n v="5.0970873786407802"/>
    <n v="166.2621359223298"/>
    <n v="50.485436893203897"/>
    <s v="Uttar Pradesh"/>
  </r>
  <r>
    <n v="1.1862844864946499E+17"/>
    <s v="2025-02-05"/>
    <x v="5"/>
    <x v="1"/>
    <n v="224190"/>
    <n v="7117"/>
    <n v="3"/>
    <n v="164.07766990291199"/>
    <n v="5.1844660194174796"/>
    <n v="169.26213592232946"/>
    <n v="47.572815533980602"/>
    <s v="Uttar Pradesh"/>
  </r>
  <r>
    <n v="1.1748361914839501E+17"/>
    <s v="2025-02-02"/>
    <x v="5"/>
    <x v="1"/>
    <n v="333032"/>
    <n v="7117"/>
    <n v="3"/>
    <n v="151.45631067961099"/>
    <n v="4.7475728155339798"/>
    <n v="156.20388349514496"/>
    <n v="50.485436893203897"/>
    <s v="Rajasthan"/>
  </r>
  <r>
    <n v="1.17503347459912E+17"/>
    <s v="2025-02-02"/>
    <x v="5"/>
    <x v="1"/>
    <n v="273303"/>
    <n v="7117"/>
    <n v="3"/>
    <n v="152.42718446601901"/>
    <n v="4.8349514563106801"/>
    <n v="157.26213592232969"/>
    <n v="47.572815533980602"/>
    <s v="Uttar Pradesh"/>
  </r>
  <r>
    <n v="8.90569689668048E+16"/>
    <s v="2024-11-15"/>
    <x v="2"/>
    <x v="3"/>
    <n v="110043"/>
    <n v="7117"/>
    <n v="3"/>
    <n v="0"/>
    <n v="0"/>
    <n v="0"/>
    <n v="-9.7087378640776993"/>
    <s v="Delhi"/>
  </r>
  <r>
    <n v="1.22510577331074E+17"/>
    <s v="2025-02-16"/>
    <x v="5"/>
    <x v="3"/>
    <n v="495445"/>
    <n v="7117"/>
    <n v="3"/>
    <n v="166.01941747572801"/>
    <n v="4.9805825242718402"/>
    <n v="170.99999999999986"/>
    <n v="57.2815533980583"/>
    <s v="Chhattisgarh"/>
  </r>
  <r>
    <n v="1.2257301108895299E+17"/>
    <s v="2025-02-16"/>
    <x v="5"/>
    <x v="1"/>
    <n v="486889"/>
    <n v="7117"/>
    <n v="3"/>
    <n v="149.514563106796"/>
    <n v="4.6310679611650496"/>
    <n v="154.14563106796106"/>
    <n v="51.456310679611697"/>
    <s v="Madhya Pradesh"/>
  </r>
  <r>
    <n v="1.2380960508405901E+17"/>
    <s v="2025-02-19"/>
    <x v="5"/>
    <x v="1"/>
    <n v="815301"/>
    <n v="7117"/>
    <n v="3"/>
    <n v="160.19417475728099"/>
    <n v="4.8058252427184502"/>
    <n v="164.99999999999943"/>
    <n v="57.2815533980583"/>
    <s v="Jharkhand"/>
  </r>
  <r>
    <n v="1.2080716875700701E+17"/>
    <s v="2025-02-11"/>
    <x v="5"/>
    <x v="1"/>
    <n v="761115"/>
    <n v="7117"/>
    <n v="3"/>
    <n v="154.368932038834"/>
    <n v="4.6310679611650496"/>
    <n v="158.99999999999906"/>
    <n v="56.3106796116505"/>
    <s v="Odisha"/>
  </r>
  <r>
    <n v="1.1749355127812899E+17"/>
    <s v="2025-02-02"/>
    <x v="5"/>
    <x v="1"/>
    <n v="803101"/>
    <n v="7117"/>
    <n v="3"/>
    <n v="161.16504854368901"/>
    <n v="4.8349514563106801"/>
    <n v="165.99999999999969"/>
    <n v="56.3106796116505"/>
    <s v="Bihar"/>
  </r>
  <r>
    <n v="1.215291053848E+17"/>
    <s v="2025-02-13"/>
    <x v="5"/>
    <x v="1"/>
    <n v="761124"/>
    <n v="7117"/>
    <n v="3"/>
    <n v="172.81553398058199"/>
    <n v="5.1844660194174796"/>
    <n v="177.99999999999946"/>
    <n v="56.3106796116505"/>
    <s v="Odisha"/>
  </r>
  <r>
    <n v="1.26591982427732E+17"/>
    <s v="2025-02-27"/>
    <x v="5"/>
    <x v="0"/>
    <n v="769001"/>
    <n v="7117"/>
    <n v="3"/>
    <n v="177.66990291262101"/>
    <n v="5.3300970873786397"/>
    <n v="182.99999999999966"/>
    <n v="56.3106796116505"/>
    <s v="Odisha"/>
  </r>
  <r>
    <n v="8.3267711284510896E+16"/>
    <s v="2024-10-31"/>
    <x v="1"/>
    <x v="3"/>
    <n v="110043"/>
    <n v="7117"/>
    <n v="3"/>
    <n v="0"/>
    <n v="0"/>
    <n v="0"/>
    <n v="-9.7087378640776993"/>
    <s v="Delhi"/>
  </r>
  <r>
    <n v="1.20882558404816E+17"/>
    <s v="2025-02-11"/>
    <x v="5"/>
    <x v="1"/>
    <n v="477447"/>
    <n v="7117"/>
    <n v="3"/>
    <n v="129.126213592233"/>
    <n v="4.42718446601942"/>
    <n v="133.55339805825241"/>
    <n v="40.776699029126199"/>
    <s v="Madhya Pradesh"/>
  </r>
  <r>
    <n v="1.1859243645602499E+17"/>
    <s v="2025-02-05"/>
    <x v="5"/>
    <x v="1"/>
    <n v="502334"/>
    <n v="7117"/>
    <n v="3"/>
    <n v="172.81553398058199"/>
    <n v="5.1844660194174796"/>
    <n v="177.99999999999946"/>
    <n v="56.3106796116505"/>
    <s v="Telangana"/>
  </r>
  <r>
    <n v="1.2588470791314499E+17"/>
    <s v="2025-02-25"/>
    <x v="5"/>
    <x v="0"/>
    <n v="481331"/>
    <n v="7117"/>
    <n v="3"/>
    <n v="261.16504854368901"/>
    <n v="8.3883495145631102"/>
    <n v="269.55339805825213"/>
    <n v="42.7184466019418"/>
    <s v="Madhya Pradesh"/>
  </r>
  <r>
    <n v="1.1980069738567699E+17"/>
    <s v="2025-02-08"/>
    <x v="5"/>
    <x v="1"/>
    <n v="505425"/>
    <n v="7117"/>
    <n v="3"/>
    <n v="147.57281553397999"/>
    <n v="4.42718446601942"/>
    <n v="151.9999999999994"/>
    <n v="59.223300970873801"/>
    <s v="Telangana"/>
  </r>
  <r>
    <n v="1.1705515901569E+17"/>
    <s v="2025-02-01"/>
    <x v="5"/>
    <x v="2"/>
    <n v="262201"/>
    <n v="7117"/>
    <n v="3"/>
    <n v="166.01941747572801"/>
    <n v="5.1844660194174796"/>
    <n v="171.20388349514548"/>
    <n v="49.514563106796103"/>
    <s v="Uttar Pradesh"/>
  </r>
  <r>
    <n v="1.20376703402144E+17"/>
    <s v="2025-02-10"/>
    <x v="5"/>
    <x v="1"/>
    <n v="276139"/>
    <n v="7117"/>
    <n v="3"/>
    <n v="164.07766990291199"/>
    <n v="5.1844660194174796"/>
    <n v="169.26213592232946"/>
    <n v="47.572815533980602"/>
    <s v="Uttar Pradesh"/>
  </r>
  <r>
    <n v="7.9950710581670208E+16"/>
    <s v="2024-10-21"/>
    <x v="1"/>
    <x v="3"/>
    <n v="400101"/>
    <n v="7117"/>
    <n v="3"/>
    <n v="0"/>
    <n v="0"/>
    <n v="0"/>
    <n v="-11.6504854368932"/>
    <s v="Maharashtra"/>
  </r>
  <r>
    <n v="1.2079864425233901E+17"/>
    <s v="2025-02-11"/>
    <x v="5"/>
    <x v="3"/>
    <n v="263153"/>
    <n v="7117"/>
    <n v="3"/>
    <n v="164.07766990291199"/>
    <n v="5.1844660194174796"/>
    <n v="169.26213592232946"/>
    <n v="47.572815533980602"/>
    <s v="Uttarakhand"/>
  </r>
  <r>
    <n v="9.3300070548278896E+16"/>
    <s v="2024-11-27"/>
    <x v="2"/>
    <x v="3"/>
    <n v="400068"/>
    <n v="7117"/>
    <n v="3"/>
    <n v="0"/>
    <n v="0"/>
    <n v="0"/>
    <n v="-17.475728155339802"/>
    <s v="Maharashtra"/>
  </r>
  <r>
    <n v="1.26536146602982E+17"/>
    <s v="2025-02-27"/>
    <x v="5"/>
    <x v="0"/>
    <n v="825403"/>
    <n v="7117"/>
    <n v="3"/>
    <n v="176.69902912621299"/>
    <n v="5.3009708737864099"/>
    <n v="181.9999999999994"/>
    <n v="55.339805825242699"/>
    <s v="Jharkhand"/>
  </r>
  <r>
    <n v="1.19499450368128E+17"/>
    <s v="2025-02-07"/>
    <x v="5"/>
    <x v="1"/>
    <n v="281006"/>
    <n v="7117"/>
    <n v="3"/>
    <n v="132.03883495145601"/>
    <n v="4.57281553398058"/>
    <n v="136.6116504854366"/>
    <n v="33.980582524271803"/>
    <s v="Uttar Pradesh"/>
  </r>
  <r>
    <n v="1.17238495352876E+17"/>
    <s v="2025-02-01"/>
    <x v="5"/>
    <x v="3"/>
    <n v="786614"/>
    <n v="961590"/>
    <n v="12"/>
    <n v="161.60714285714201"/>
    <n v="19.3928571428571"/>
    <n v="180.99999999999912"/>
    <n v="67.857142857142904"/>
    <s v="Assam"/>
  </r>
  <r>
    <n v="1.26338264960492E+17"/>
    <s v="2025-02-26"/>
    <x v="5"/>
    <x v="0"/>
    <n v="695008"/>
    <n v="7117"/>
    <n v="3"/>
    <n v="306.79611650485401"/>
    <n v="10.1941747572815"/>
    <n v="316.99029126213549"/>
    <n v="93.203883495145604"/>
    <s v="Kerala"/>
  </r>
  <r>
    <n v="8.26945943698768E+16"/>
    <s v="2024-10-29"/>
    <x v="1"/>
    <x v="3"/>
    <n v="283111"/>
    <n v="7117"/>
    <n v="3"/>
    <n v="0"/>
    <n v="0"/>
    <n v="0"/>
    <n v="-5.8252427184466002"/>
    <s v="Uttar Pradesh"/>
  </r>
  <r>
    <n v="8.3266623985406496E+16"/>
    <s v="2024-10-31"/>
    <x v="1"/>
    <x v="3"/>
    <n v="110043"/>
    <n v="7117"/>
    <n v="3"/>
    <n v="0"/>
    <n v="0"/>
    <n v="0"/>
    <n v="-19.417475728155299"/>
    <s v="Delhi"/>
  </r>
  <r>
    <n v="1.2115575440965699E+17"/>
    <s v="2025-02-12"/>
    <x v="5"/>
    <x v="1"/>
    <n v="491559"/>
    <n v="7117"/>
    <n v="3"/>
    <n v="172.81553398058199"/>
    <n v="5.1844660194174796"/>
    <n v="177.99999999999946"/>
    <n v="56.3106796116505"/>
    <s v="Chhattisgarh"/>
  </r>
  <r>
    <n v="1.22922845297864E+17"/>
    <s v="2025-02-17"/>
    <x v="5"/>
    <x v="2"/>
    <n v="496001"/>
    <n v="7117"/>
    <n v="3"/>
    <n v="169.90291262135901"/>
    <n v="5.0970873786407802"/>
    <n v="174.9999999999998"/>
    <n v="59.223300970873801"/>
    <s v="Chhattisgarh"/>
  </r>
  <r>
    <n v="1.2153198794958499E+17"/>
    <s v="2025-02-13"/>
    <x v="5"/>
    <x v="3"/>
    <n v="211019"/>
    <n v="7117"/>
    <n v="3"/>
    <n v="166.990291262135"/>
    <n v="5.2718446601941702"/>
    <n v="172.26213592232918"/>
    <n v="49.514563106796103"/>
    <s v="Uttar Pradesh"/>
  </r>
  <r>
    <n v="1.1864523813817101E+17"/>
    <s v="2025-02-05"/>
    <x v="5"/>
    <x v="1"/>
    <n v="277213"/>
    <n v="7117"/>
    <n v="3"/>
    <n v="145.631067961165"/>
    <n v="4.6310679611650496"/>
    <n v="150.26213592233006"/>
    <n v="47.572815533980602"/>
    <s v="Uttar Pradesh"/>
  </r>
  <r>
    <n v="1.19715167982056E+17"/>
    <s v="2025-02-08"/>
    <x v="5"/>
    <x v="1"/>
    <n v="211019"/>
    <n v="7117"/>
    <n v="3"/>
    <n v="164.07766990291199"/>
    <n v="5.1844660194174796"/>
    <n v="169.26213592232946"/>
    <n v="47.572815533980602"/>
    <s v="Uttar Pradesh"/>
  </r>
  <r>
    <n v="1.2188733946757101E+17"/>
    <s v="2025-02-14"/>
    <x v="5"/>
    <x v="3"/>
    <n v="221508"/>
    <n v="7117"/>
    <n v="3"/>
    <n v="161.16504854368901"/>
    <n v="5.0970873786407802"/>
    <n v="166.2621359223298"/>
    <n v="50.485436893203897"/>
    <s v="Uttar Pradesh"/>
  </r>
  <r>
    <n v="1.22596170307588E+17"/>
    <s v="2025-02-16"/>
    <x v="5"/>
    <x v="2"/>
    <n v="227805"/>
    <n v="7117"/>
    <n v="3"/>
    <n v="164.07766990291199"/>
    <n v="5.1844660194174796"/>
    <n v="169.26213592232946"/>
    <n v="47.572815533980602"/>
    <s v="Uttar Pradesh"/>
  </r>
  <r>
    <n v="1.2260271640943E+17"/>
    <s v="2025-02-16"/>
    <x v="5"/>
    <x v="1"/>
    <n v="453331"/>
    <n v="7117"/>
    <n v="3"/>
    <n v="154.368932038834"/>
    <n v="4.6310679611650496"/>
    <n v="158.99999999999906"/>
    <n v="56.3106796116505"/>
    <s v="Madhya Pradesh"/>
  </r>
  <r>
    <n v="1.2594986775144301E+17"/>
    <s v="2025-02-25"/>
    <x v="5"/>
    <x v="0"/>
    <n v="756133"/>
    <n v="7117"/>
    <n v="3"/>
    <n v="163.106796116504"/>
    <n v="4.8932038834951497"/>
    <n v="167.99999999999915"/>
    <n v="59.223300970873801"/>
    <s v="Odisha"/>
  </r>
  <r>
    <n v="1.2149067365127299E+17"/>
    <s v="2025-02-13"/>
    <x v="5"/>
    <x v="1"/>
    <n v="626114"/>
    <n v="7117"/>
    <n v="3"/>
    <n v="172.81553398058199"/>
    <n v="5.1844660194174796"/>
    <n v="177.99999999999946"/>
    <n v="56.3106796116505"/>
    <s v="Tamil Nadu"/>
  </r>
  <r>
    <n v="1.219356975817E+17"/>
    <s v="2025-02-14"/>
    <x v="5"/>
    <x v="1"/>
    <n v="224190"/>
    <n v="7117"/>
    <n v="3"/>
    <n v="164.07766990291199"/>
    <n v="5.1844660194174796"/>
    <n v="169.26213592232946"/>
    <n v="47.572815533980602"/>
    <s v="Uttar Pradesh"/>
  </r>
  <r>
    <n v="1.20826081803792E+17"/>
    <s v="2025-02-11"/>
    <x v="5"/>
    <x v="2"/>
    <n v="209821"/>
    <n v="7117"/>
    <n v="3"/>
    <n v="164.07766990291199"/>
    <n v="5.1844660194174796"/>
    <n v="169.26213592232946"/>
    <n v="47.572815533980602"/>
    <s v="Uttar Pradesh"/>
  </r>
  <r>
    <n v="1.1748056620661501E+17"/>
    <s v="2025-02-02"/>
    <x v="5"/>
    <x v="1"/>
    <n v="395006"/>
    <n v="7117"/>
    <n v="3"/>
    <n v="150.485436893203"/>
    <n v="4.5145631067961203"/>
    <n v="154.99999999999912"/>
    <n v="57.2815533980583"/>
    <s v="Gujarat"/>
  </r>
  <r>
    <n v="1.1732473459260899E+17"/>
    <s v="2025-02-01"/>
    <x v="5"/>
    <x v="3"/>
    <n v="225124"/>
    <n v="7117"/>
    <n v="3"/>
    <n v="164.07766990291199"/>
    <n v="5.1844660194174796"/>
    <n v="169.26213592232946"/>
    <n v="47.572815533980602"/>
    <s v="Uttar Pradesh"/>
  </r>
  <r>
    <n v="1.17461695655472E+17"/>
    <s v="2025-02-02"/>
    <x v="5"/>
    <x v="1"/>
    <n v="141007"/>
    <n v="7117"/>
    <n v="3"/>
    <n v="152.42718446601901"/>
    <n v="4.8349514563106801"/>
    <n v="157.26213592232969"/>
    <n v="47.572815533980602"/>
    <s v="Punjab"/>
  </r>
  <r>
    <n v="1.1933456424932499E+17"/>
    <s v="2025-02-07"/>
    <x v="5"/>
    <x v="2"/>
    <n v="841411"/>
    <n v="7117"/>
    <n v="3"/>
    <n v="161.16504854368901"/>
    <n v="4.9805825242718402"/>
    <n v="166.14563106796086"/>
    <n v="49.514563106796103"/>
    <s v="Bihar"/>
  </r>
  <r>
    <n v="1.17459382882692E+17"/>
    <s v="2025-02-02"/>
    <x v="5"/>
    <x v="3"/>
    <n v="847109"/>
    <n v="7117"/>
    <n v="3"/>
    <n v="144.66019417475701"/>
    <n v="4.3398058252427196"/>
    <n v="148.99999999999972"/>
    <n v="56.3106796116505"/>
    <s v="Bihar"/>
  </r>
  <r>
    <n v="1.2412160605751901E+17"/>
    <s v="2025-02-20"/>
    <x v="5"/>
    <x v="1"/>
    <n v="305001"/>
    <n v="7117"/>
    <n v="3"/>
    <n v="138.83495145630999"/>
    <n v="4.8058252427184502"/>
    <n v="143.64077669902844"/>
    <n v="35.922330097087404"/>
    <s v="Rajasthan"/>
  </r>
  <r>
    <n v="1.22720779799654E+17"/>
    <s v="2025-02-16"/>
    <x v="5"/>
    <x v="5"/>
    <n v="572101"/>
    <n v="7117"/>
    <n v="3"/>
    <n v="172.81553398058199"/>
    <n v="5.1844660194174796"/>
    <n v="177.99999999999946"/>
    <n v="56.3106796116505"/>
    <s v="Karnataka"/>
  </r>
  <r>
    <n v="1.2089024922805501E+17"/>
    <s v="2025-02-11"/>
    <x v="5"/>
    <x v="1"/>
    <n v="273413"/>
    <n v="7117"/>
    <n v="3"/>
    <n v="164.07766990291199"/>
    <n v="5.1844660194174796"/>
    <n v="169.26213592232946"/>
    <n v="47.572815533980602"/>
    <s v="Uttar Pradesh"/>
  </r>
  <r>
    <n v="1.1767073450730701E+17"/>
    <s v="2025-02-02"/>
    <x v="5"/>
    <x v="1"/>
    <n v="721101"/>
    <n v="7117"/>
    <n v="3"/>
    <n v="150.485436893203"/>
    <n v="4.5145631067961203"/>
    <n v="154.99999999999912"/>
    <n v="57.2815533980583"/>
    <s v="West Bengal"/>
  </r>
  <r>
    <n v="1.1857488313016701E+17"/>
    <s v="2025-02-05"/>
    <x v="5"/>
    <x v="1"/>
    <n v="825401"/>
    <n v="7117"/>
    <n v="3"/>
    <n v="172.81553398058199"/>
    <n v="5.1844660194174796"/>
    <n v="177.99999999999946"/>
    <n v="56.3106796116505"/>
    <s v="Jharkhand"/>
  </r>
  <r>
    <n v="1.19911462487192E+17"/>
    <s v="2025-02-09"/>
    <x v="5"/>
    <x v="2"/>
    <n v="122022"/>
    <n v="7117"/>
    <n v="3"/>
    <n v="151.45631067961099"/>
    <n v="4.8058252427184502"/>
    <n v="156.26213592232943"/>
    <n v="48.543689320388303"/>
    <s v="Haryana"/>
  </r>
  <r>
    <n v="8.06745028073024E+16"/>
    <s v="2024-10-23"/>
    <x v="1"/>
    <x v="3"/>
    <n v="140603"/>
    <n v="7117"/>
    <n v="3"/>
    <n v="0"/>
    <n v="0"/>
    <n v="0"/>
    <n v="-11.6504854368932"/>
    <s v="Punjab"/>
  </r>
  <r>
    <n v="1.2451792391739101E+17"/>
    <s v="2025-02-21"/>
    <x v="5"/>
    <x v="1"/>
    <n v="224186"/>
    <n v="7117"/>
    <n v="3"/>
    <n v="193.20388349514499"/>
    <n v="6.0582524271844704"/>
    <n v="199.26213592232946"/>
    <n v="47.572815533980602"/>
    <s v="Uttar Pradesh"/>
  </r>
  <r>
    <n v="1.17867772077306E+17"/>
    <s v="2025-02-03"/>
    <x v="5"/>
    <x v="1"/>
    <n v="802131"/>
    <n v="7117"/>
    <n v="3"/>
    <n v="167.96116504854299"/>
    <n v="5.1844660194174796"/>
    <n v="173.14563106796047"/>
    <n v="51.456310679611697"/>
    <s v="Bihar"/>
  </r>
  <r>
    <n v="8.9253134354019104E+16"/>
    <s v="2024-11-16"/>
    <x v="2"/>
    <x v="3"/>
    <n v="522101"/>
    <n v="7117"/>
    <n v="3"/>
    <n v="0"/>
    <n v="0"/>
    <n v="0"/>
    <n v="-17.475728155339802"/>
    <s v="Andhra Pradesh"/>
  </r>
  <r>
    <n v="1.22735581250874E+17"/>
    <s v="2025-02-16"/>
    <x v="5"/>
    <x v="1"/>
    <n v="342603"/>
    <n v="7117"/>
    <n v="3"/>
    <n v="172.81553398058199"/>
    <n v="5.1844660194174796"/>
    <n v="177.99999999999946"/>
    <n v="56.3106796116505"/>
    <s v="Rajasthan"/>
  </r>
  <r>
    <n v="1.17501425071844E+17"/>
    <s v="2025-02-02"/>
    <x v="5"/>
    <x v="2"/>
    <n v="841405"/>
    <n v="7117"/>
    <n v="3"/>
    <n v="139.80582524271799"/>
    <n v="4.3398058252427196"/>
    <n v="144.14563106796069"/>
    <n v="51.456310679611697"/>
    <s v="Bihar"/>
  </r>
  <r>
    <n v="1.2460708774883299E+17"/>
    <s v="2025-02-22"/>
    <x v="5"/>
    <x v="3"/>
    <n v="560091"/>
    <n v="7117"/>
    <n v="3"/>
    <n v="314.56310679611602"/>
    <n v="9.4368932038834998"/>
    <n v="323.99999999999955"/>
    <n v="126.213592233009"/>
    <s v="Karnataka"/>
  </r>
  <r>
    <n v="1.1969561912803E+17"/>
    <s v="2025-02-08"/>
    <x v="5"/>
    <x v="1"/>
    <n v="274501"/>
    <n v="7117"/>
    <n v="3"/>
    <n v="163.106796116504"/>
    <n v="5.1262135922330101"/>
    <n v="168.233009708737"/>
    <n v="46.601941747572802"/>
    <s v="Uttar Pradesh"/>
  </r>
  <r>
    <n v="1.1830194148298E+17"/>
    <s v="2025-02-04"/>
    <x v="5"/>
    <x v="1"/>
    <n v="793001"/>
    <n v="7117"/>
    <n v="3"/>
    <n v="184.466019417475"/>
    <n v="5.5339805825242703"/>
    <n v="189.99999999999926"/>
    <n v="75.728155339805795"/>
    <s v="Meghalaya"/>
  </r>
  <r>
    <n v="1.2043995349794301E+17"/>
    <s v="2025-02-10"/>
    <x v="5"/>
    <x v="5"/>
    <n v="224190"/>
    <n v="7117"/>
    <n v="3"/>
    <n v="164.07766990291199"/>
    <n v="5.1844660194174796"/>
    <n v="169.26213592232946"/>
    <n v="47.572815533980602"/>
    <s v="Uttar Pradesh"/>
  </r>
  <r>
    <n v="1.22332329125082E+17"/>
    <s v="2025-02-15"/>
    <x v="5"/>
    <x v="5"/>
    <n v="460220"/>
    <n v="7117"/>
    <n v="3"/>
    <n v="172.81553398058199"/>
    <n v="5.1844660194174796"/>
    <n v="177.99999999999946"/>
    <n v="56.3106796116505"/>
    <s v="Madhya Pradesh"/>
  </r>
  <r>
    <n v="1.1904317814908E+17"/>
    <s v="2025-02-06"/>
    <x v="5"/>
    <x v="1"/>
    <n v="462042"/>
    <n v="7117"/>
    <n v="3"/>
    <n v="136.893203883495"/>
    <n v="4.6310679611650496"/>
    <n v="141.52427184466006"/>
    <n v="39.805825242718498"/>
    <s v="Madhya Pradesh"/>
  </r>
  <r>
    <n v="1.19966383944618E+17"/>
    <s v="2025-02-09"/>
    <x v="5"/>
    <x v="1"/>
    <n v="263601"/>
    <n v="7117"/>
    <n v="3"/>
    <n v="145.631067961165"/>
    <n v="4.6310679611650496"/>
    <n v="150.26213592233006"/>
    <n v="47.572815533980602"/>
    <s v="Uttarakhand"/>
  </r>
  <r>
    <n v="1.17487071397216E+17"/>
    <s v="2025-02-02"/>
    <x v="5"/>
    <x v="2"/>
    <n v="273209"/>
    <n v="7117"/>
    <n v="3"/>
    <n v="150.485436893203"/>
    <n v="4.7766990291262097"/>
    <n v="155.26213592232921"/>
    <n v="50.485436893203897"/>
    <s v="Uttar Pradesh"/>
  </r>
  <r>
    <n v="1.26355463940148E+17"/>
    <s v="2025-02-26"/>
    <x v="5"/>
    <x v="0"/>
    <n v="852129"/>
    <n v="7117"/>
    <n v="3"/>
    <n v="160.19417475728099"/>
    <n v="5.3592233009708696"/>
    <n v="165.55339805825187"/>
    <n v="42.7184466019418"/>
    <s v="Bihar"/>
  </r>
  <r>
    <n v="1.22024859818816E+17"/>
    <s v="2025-02-14"/>
    <x v="5"/>
    <x v="3"/>
    <n v="110041"/>
    <n v="7117"/>
    <n v="3"/>
    <n v="164.07766990291199"/>
    <n v="5.1844660194174796"/>
    <n v="169.26213592232946"/>
    <n v="47.572815533980602"/>
    <s v="Delhi"/>
  </r>
  <r>
    <n v="8.0898761234048704E+16"/>
    <s v="2024-10-24"/>
    <x v="1"/>
    <x v="3"/>
    <n v="110043"/>
    <n v="7117"/>
    <n v="3"/>
    <n v="0"/>
    <n v="0"/>
    <n v="0"/>
    <n v="-22.330097087378601"/>
    <s v="Delhi"/>
  </r>
  <r>
    <n v="8.8285056633285504E+16"/>
    <s v="2024-11-13"/>
    <x v="2"/>
    <x v="3"/>
    <n v="411060"/>
    <n v="340600"/>
    <n v="12"/>
    <n v="0"/>
    <n v="0"/>
    <n v="0"/>
    <n v="-13.3928571428571"/>
    <s v="Maharashtra"/>
  </r>
  <r>
    <n v="1.22296621447054E+17"/>
    <s v="2025-02-15"/>
    <x v="5"/>
    <x v="3"/>
    <n v="202138"/>
    <n v="7117"/>
    <n v="3"/>
    <n v="164.07766990291199"/>
    <n v="5.1844660194174796"/>
    <n v="169.26213592232946"/>
    <n v="47.572815533980602"/>
    <s v="Uttar Pradesh"/>
  </r>
  <r>
    <n v="1.17510360763886E+17"/>
    <s v="2025-02-02"/>
    <x v="5"/>
    <x v="1"/>
    <n v="492001"/>
    <n v="7117"/>
    <n v="3"/>
    <n v="133.009708737864"/>
    <n v="4.5145631067961203"/>
    <n v="137.52427184466012"/>
    <n v="39.805825242718498"/>
    <s v="Chhattisgarh"/>
  </r>
  <r>
    <n v="1.2221874879941901E+17"/>
    <s v="2025-02-15"/>
    <x v="5"/>
    <x v="1"/>
    <n v="824207"/>
    <n v="7117"/>
    <n v="3"/>
    <n v="167.96116504854299"/>
    <n v="5.1844660194174796"/>
    <n v="173.14563106796047"/>
    <n v="51.456310679611697"/>
    <s v="Bihar"/>
  </r>
  <r>
    <n v="1.2381965112607E+17"/>
    <s v="2025-02-19"/>
    <x v="5"/>
    <x v="0"/>
    <n v="244223"/>
    <n v="7117"/>
    <n v="3"/>
    <n v="151.45631067961099"/>
    <n v="4.8058252427184502"/>
    <n v="156.26213592232943"/>
    <n v="48.543689320388303"/>
    <s v="Uttar Pradesh"/>
  </r>
  <r>
    <n v="1.2665209408288301E+17"/>
    <s v="2025-02-27"/>
    <x v="5"/>
    <x v="3"/>
    <n v="182202"/>
    <n v="7117"/>
    <n v="3"/>
    <n v="177.66990291262101"/>
    <n v="5.3300970873786397"/>
    <n v="182.99999999999966"/>
    <n v="56.3106796116505"/>
    <s v="Jammu &amp; Kashmir"/>
  </r>
  <r>
    <n v="1.1748842296013101E+17"/>
    <s v="2025-02-02"/>
    <x v="5"/>
    <x v="1"/>
    <n v="261303"/>
    <n v="7117"/>
    <n v="3"/>
    <n v="152.42718446601901"/>
    <n v="4.8349514563106801"/>
    <n v="157.26213592232969"/>
    <n v="47.572815533980602"/>
    <s v="Uttar Pradesh"/>
  </r>
  <r>
    <n v="1.2345810696040899E+17"/>
    <s v="2025-02-18"/>
    <x v="5"/>
    <x v="1"/>
    <n v="271902"/>
    <n v="7117"/>
    <n v="3"/>
    <n v="198.05825242718399"/>
    <n v="6.2038834951456296"/>
    <n v="204.26213592232961"/>
    <n v="47.572815533980602"/>
    <s v="Uttar Pradesh"/>
  </r>
  <r>
    <n v="1.21963749788774E+17"/>
    <s v="2025-02-14"/>
    <x v="5"/>
    <x v="1"/>
    <n v="813208"/>
    <n v="7117"/>
    <n v="3"/>
    <n v="151.45631067961099"/>
    <n v="5.0970873786407802"/>
    <n v="156.55339805825179"/>
    <n v="40.776699029126199"/>
    <s v="Jharkhand"/>
  </r>
  <r>
    <n v="8.0985738364726096E+16"/>
    <s v="2024-10-24"/>
    <x v="1"/>
    <x v="3"/>
    <n v="301701"/>
    <n v="7117"/>
    <n v="3"/>
    <n v="0"/>
    <n v="0"/>
    <n v="0"/>
    <n v="-6.7961165048543997"/>
    <s v="Rajasthan"/>
  </r>
  <r>
    <n v="1.26039417572728E+17"/>
    <s v="2025-02-26"/>
    <x v="5"/>
    <x v="1"/>
    <n v="273302"/>
    <n v="7117"/>
    <n v="3"/>
    <n v="151.45631067961099"/>
    <n v="4.8058252427184502"/>
    <n v="156.26213592232943"/>
    <n v="47.572815533980602"/>
    <s v="Uttar Pradesh"/>
  </r>
  <r>
    <n v="1.18199654497284E+17"/>
    <s v="2025-02-04"/>
    <x v="5"/>
    <x v="6"/>
    <n v="752110"/>
    <n v="7117"/>
    <n v="3"/>
    <n v="172.81553398058199"/>
    <n v="5.1844660194174796"/>
    <n v="177.99999999999946"/>
    <n v="56.3106796116505"/>
    <s v="Odisha"/>
  </r>
  <r>
    <n v="1.18381320741388E+17"/>
    <s v="2025-02-04"/>
    <x v="5"/>
    <x v="3"/>
    <n v="761014"/>
    <n v="7117"/>
    <n v="3"/>
    <n v="174.757281553398"/>
    <n v="5.2427184466019403"/>
    <n v="179.99999999999994"/>
    <n v="57.2815533980583"/>
    <s v="Odisha"/>
  </r>
  <r>
    <n v="1.23643703973712E+17"/>
    <s v="2025-02-19"/>
    <x v="5"/>
    <x v="1"/>
    <n v="585401"/>
    <n v="7117"/>
    <n v="3"/>
    <n v="235.92233009708701"/>
    <n v="7.0776699029126204"/>
    <n v="242.99999999999963"/>
    <n v="56.3106796116505"/>
    <s v="Karnataka"/>
  </r>
  <r>
    <n v="1.20103383349752E+17"/>
    <s v="2025-02-09"/>
    <x v="5"/>
    <x v="1"/>
    <n v="413709"/>
    <n v="7117"/>
    <n v="3"/>
    <n v="172.81553398058199"/>
    <n v="5.1844660194174796"/>
    <n v="177.99999999999946"/>
    <n v="56.3106796116505"/>
    <s v="Maharashtra"/>
  </r>
  <r>
    <n v="1.2012993363603901E+17"/>
    <s v="2025-02-09"/>
    <x v="5"/>
    <x v="1"/>
    <n v="325221"/>
    <n v="7117"/>
    <n v="3"/>
    <n v="150.485436893203"/>
    <n v="5.1844660194174796"/>
    <n v="155.66990291262047"/>
    <n v="33.980582524271803"/>
    <s v="Rajasthan"/>
  </r>
  <r>
    <n v="8.92286999849796E+16"/>
    <s v="2024-11-16"/>
    <x v="2"/>
    <x v="3"/>
    <n v="225403"/>
    <n v="7117"/>
    <n v="3"/>
    <n v="0"/>
    <n v="0"/>
    <n v="0"/>
    <n v="-9.7087378640776993"/>
    <s v="Uttar Pradesh"/>
  </r>
  <r>
    <n v="1.2340758312503299E+17"/>
    <s v="2025-02-18"/>
    <x v="5"/>
    <x v="1"/>
    <n v="509410"/>
    <n v="7117"/>
    <n v="3"/>
    <n v="206.79611650485401"/>
    <n v="6.2038834951456296"/>
    <n v="212.99999999999963"/>
    <n v="56.3106796116505"/>
    <s v="Telangana"/>
  </r>
  <r>
    <n v="1.2665669370764499E+17"/>
    <s v="2025-02-27"/>
    <x v="5"/>
    <x v="0"/>
    <n v="284305"/>
    <n v="7117"/>
    <n v="3"/>
    <n v="146.601941747572"/>
    <n v="4.6601941747572804"/>
    <n v="151.26213592232929"/>
    <n v="52.427184466019398"/>
    <s v="Uttar Pradesh"/>
  </r>
  <r>
    <n v="1.2008756998686701E+17"/>
    <s v="2025-02-09"/>
    <x v="5"/>
    <x v="5"/>
    <n v="273015"/>
    <n v="7117"/>
    <n v="3"/>
    <n v="149.514563106796"/>
    <n v="5.1844660194174796"/>
    <n v="154.69902912621347"/>
    <n v="33.009708737864102"/>
    <s v="Uttar Pradesh"/>
  </r>
  <r>
    <n v="1.3809781585036301E+17"/>
    <s v="2025-03-31"/>
    <x v="6"/>
    <x v="0"/>
    <n v="271904"/>
    <n v="7117"/>
    <n v="3"/>
    <n v="132.03883500000001"/>
    <n v="3"/>
    <n v="136"/>
    <n v="37.86407767"/>
    <s v="West Bengal"/>
  </r>
  <r>
    <n v="1.3209060246388701E+17"/>
    <s v="2025-03-14"/>
    <x v="6"/>
    <x v="0"/>
    <n v="361001"/>
    <n v="7117"/>
    <n v="3"/>
    <n v="170.8737864"/>
    <n v="5"/>
    <n v="176"/>
    <n v="49.514563109999997"/>
    <s v="Haryana"/>
  </r>
  <r>
    <n v="1.3615232985324099E+17"/>
    <s v="2025-03-25"/>
    <x v="6"/>
    <x v="0"/>
    <n v="721431"/>
    <n v="7117"/>
    <n v="3"/>
    <n v="169.90291260000001"/>
    <n v="5"/>
    <n v="175"/>
    <n v="52.42718447"/>
    <s v="West Bengal"/>
  </r>
  <r>
    <n v="1.3083517784414701E+17"/>
    <s v="2025-03-11"/>
    <x v="6"/>
    <x v="1"/>
    <n v="143001"/>
    <n v="7117"/>
    <n v="3"/>
    <n v="173.78640780000001"/>
    <n v="5"/>
    <n v="179"/>
    <n v="56.310679610000001"/>
    <s v="Tamil Nadu"/>
  </r>
  <r>
    <n v="1.3608534386704701E+17"/>
    <s v="2025-03-25"/>
    <x v="6"/>
    <x v="1"/>
    <n v="577203"/>
    <n v="7117"/>
    <n v="3"/>
    <n v="163.1067961"/>
    <n v="4"/>
    <n v="168"/>
    <n v="45.631067960000003"/>
    <s v="Punjab"/>
  </r>
  <r>
    <n v="1.3795328822251101E+17"/>
    <s v="2025-03-30"/>
    <x v="6"/>
    <x v="2"/>
    <n v="800006"/>
    <n v="7117"/>
    <n v="3"/>
    <n v="141.7475728"/>
    <n v="4"/>
    <n v="146"/>
    <n v="47.57281553"/>
    <s v="Himachal Pradesh"/>
  </r>
  <r>
    <n v="1.38284030402398E+17"/>
    <s v="2025-03-31"/>
    <x v="6"/>
    <x v="0"/>
    <n v="495554"/>
    <n v="7117"/>
    <n v="3"/>
    <n v="109.7087379"/>
    <n v="3"/>
    <n v="113"/>
    <n v="42.7184466"/>
    <s v="Rajasthan"/>
  </r>
  <r>
    <n v="1.3580292644972301E+17"/>
    <s v="2025-03-24"/>
    <x v="6"/>
    <x v="0"/>
    <n v="160062"/>
    <n v="7117"/>
    <n v="3"/>
    <n v="166.9902913"/>
    <n v="5"/>
    <n v="172"/>
    <n v="45.631067960000003"/>
    <s v="Haryana"/>
  </r>
  <r>
    <n v="1.34977208989782E+17"/>
    <s v="2025-03-22"/>
    <x v="6"/>
    <x v="3"/>
    <n v="226002"/>
    <n v="7117"/>
    <n v="3"/>
    <n v="159.22330099999999"/>
    <n v="4"/>
    <n v="164"/>
    <n v="45.631067960000003"/>
    <s v="Uttar Pradesh"/>
  </r>
  <r>
    <n v="1.36750085644032E+17"/>
    <s v="2025-03-27"/>
    <x v="6"/>
    <x v="0"/>
    <n v="821101"/>
    <n v="7117"/>
    <n v="3"/>
    <n v="169.90291260000001"/>
    <n v="5"/>
    <n v="175"/>
    <n v="52.42718447"/>
    <s v="Jharkhand"/>
  </r>
  <r>
    <n v="1.3470944359759901E+17"/>
    <s v="2025-03-21"/>
    <x v="6"/>
    <x v="3"/>
    <n v="462043"/>
    <n v="7117"/>
    <n v="3"/>
    <n v="242.71844659999999"/>
    <n v="7"/>
    <n v="250"/>
    <n v="33.009708740000001"/>
    <s v="Uttar Pradesh"/>
  </r>
  <r>
    <n v="1.3672964187571E+17"/>
    <s v="2025-03-27"/>
    <x v="6"/>
    <x v="0"/>
    <n v="600117"/>
    <n v="7117"/>
    <n v="3"/>
    <n v="169.90291260000001"/>
    <n v="5"/>
    <n v="175"/>
    <n v="52.42718447"/>
    <s v="Jharkhand"/>
  </r>
  <r>
    <n v="1.37864154501976E+17"/>
    <s v="2025-03-30"/>
    <x v="6"/>
    <x v="1"/>
    <n v="110008"/>
    <n v="7117"/>
    <n v="3"/>
    <n v="136.8932039"/>
    <n v="4"/>
    <n v="141"/>
    <n v="33.009708740000001"/>
    <s v="Uttar Pradesh"/>
  </r>
  <r>
    <n v="1.3446544787380899E+17"/>
    <s v="2025-03-21"/>
    <x v="6"/>
    <x v="1"/>
    <n v="144022"/>
    <n v="7117"/>
    <n v="3"/>
    <n v="152.42718450000001"/>
    <n v="4"/>
    <n v="157"/>
    <n v="52.42718447"/>
    <s v="Karnataka"/>
  </r>
  <r>
    <n v="1.34316696432738E+17"/>
    <s v="2025-03-20"/>
    <x v="6"/>
    <x v="1"/>
    <n v="700032"/>
    <n v="7117"/>
    <n v="3"/>
    <n v="151.45631069999999"/>
    <n v="4"/>
    <n v="156"/>
    <n v="37.86407767"/>
    <s v="West Bengal"/>
  </r>
  <r>
    <n v="1.3637979408108899E+17"/>
    <s v="2025-03-26"/>
    <x v="6"/>
    <x v="3"/>
    <n v="700041"/>
    <n v="7117"/>
    <n v="3"/>
    <n v="161.16504850000001"/>
    <n v="4"/>
    <n v="166"/>
    <n v="49.514563109999997"/>
    <s v="Madhya Pradesh"/>
  </r>
  <r>
    <n v="1.36793855805524E+17"/>
    <s v="2025-03-27"/>
    <x v="6"/>
    <x v="3"/>
    <n v="201102"/>
    <n v="7117"/>
    <n v="3"/>
    <n v="115.53398060000001"/>
    <n v="3"/>
    <n v="119"/>
    <n v="53.398058249999998"/>
    <s v="Maharashtra"/>
  </r>
  <r>
    <n v="1.28450822384452E+17"/>
    <s v="2025-03-04"/>
    <x v="6"/>
    <x v="4"/>
    <n v="824203"/>
    <n v="7117"/>
    <n v="3"/>
    <n v="168.93203879999999"/>
    <n v="5"/>
    <n v="174"/>
    <n v="47.57281553"/>
    <s v="Uttar Pradesh"/>
  </r>
  <r>
    <n v="1.2839130518850099E+17"/>
    <s v="2025-03-04"/>
    <x v="6"/>
    <x v="4"/>
    <n v="786001"/>
    <n v="7117"/>
    <n v="3"/>
    <n v="176.69902909999999"/>
    <n v="5"/>
    <n v="182"/>
    <n v="55.339805830000003"/>
    <s v="Maharashtra"/>
  </r>
  <r>
    <n v="1.37508798074882E+17"/>
    <s v="2025-03-29"/>
    <x v="6"/>
    <x v="1"/>
    <n v="825313"/>
    <n v="7117"/>
    <n v="3"/>
    <n v="173.78640780000001"/>
    <n v="5"/>
    <n v="179"/>
    <n v="52.42718447"/>
    <s v="Chhattisgarh"/>
  </r>
  <r>
    <n v="1.28400603775992E+17"/>
    <s v="2025-03-04"/>
    <x v="6"/>
    <x v="0"/>
    <n v="506002"/>
    <n v="7117"/>
    <n v="3"/>
    <n v="144.66019420000001"/>
    <n v="4"/>
    <n v="149"/>
    <n v="40.776699030000003"/>
    <s v="Madhya Pradesh"/>
  </r>
  <r>
    <n v="1.28004777821146E+17"/>
    <s v="2025-03-03"/>
    <x v="6"/>
    <x v="3"/>
    <n v="400101"/>
    <n v="7117"/>
    <n v="3"/>
    <n v="197.08737859999999"/>
    <n v="5"/>
    <n v="203"/>
    <n v="56.310679610000001"/>
    <s v="Madhya Pradesh"/>
  </r>
  <r>
    <n v="1.2914728837864E+17"/>
    <s v="2025-03-06"/>
    <x v="6"/>
    <x v="3"/>
    <n v="144211"/>
    <n v="7117"/>
    <n v="3"/>
    <n v="169.90291260000001"/>
    <n v="5"/>
    <n v="175"/>
    <n v="51.456310680000001"/>
    <s v="Rajasthan"/>
  </r>
  <r>
    <n v="1.33776265018936E+17"/>
    <s v="2025-03-19"/>
    <x v="6"/>
    <x v="4"/>
    <n v="843119"/>
    <n v="7117"/>
    <n v="3"/>
    <n v="258.2524272"/>
    <n v="7"/>
    <n v="266"/>
    <n v="70.873786409999994"/>
    <s v="Andaman And Nicobar Islands"/>
  </r>
  <r>
    <n v="1.2927879124779699E+17"/>
    <s v="2025-03-06"/>
    <x v="6"/>
    <x v="1"/>
    <n v="174001"/>
    <n v="7117"/>
    <n v="3"/>
    <n v="177.66990290000001"/>
    <n v="5"/>
    <n v="183"/>
    <n v="56.310679610000001"/>
    <s v="Andhra Pradesh"/>
  </r>
  <r>
    <n v="1.36742009053684E+17"/>
    <s v="2025-03-27"/>
    <x v="6"/>
    <x v="3"/>
    <n v="202002"/>
    <n v="7117"/>
    <n v="3"/>
    <n v="193.20388349999999"/>
    <n v="5"/>
    <n v="199"/>
    <n v="52.42718447"/>
    <s v="Maharashtra"/>
  </r>
  <r>
    <n v="1.3436616063520099E+17"/>
    <s v="2025-03-21"/>
    <x v="6"/>
    <x v="4"/>
    <n v="151001"/>
    <n v="7117"/>
    <n v="3"/>
    <n v="129.1262136"/>
    <n v="3"/>
    <n v="133"/>
    <n v="37.86407767"/>
    <s v="Jharkhand"/>
  </r>
  <r>
    <n v="1.35399505901552E+17"/>
    <s v="2025-03-23"/>
    <x v="6"/>
    <x v="0"/>
    <n v="301701"/>
    <n v="7117"/>
    <n v="3"/>
    <n v="137.8640777"/>
    <n v="4"/>
    <n v="142"/>
    <n v="45.631067960000003"/>
    <s v="Delhi"/>
  </r>
  <r>
    <n v="1.3176444546125E+17"/>
    <s v="2025-03-13"/>
    <x v="6"/>
    <x v="0"/>
    <n v="415604"/>
    <n v="7117"/>
    <n v="3"/>
    <n v="134.95145629999999"/>
    <n v="4"/>
    <n v="139"/>
    <n v="55.339805830000003"/>
    <s v="Karnataka"/>
  </r>
  <r>
    <n v="1.3288239961201101E+17"/>
    <s v="2025-03-16"/>
    <x v="6"/>
    <x v="3"/>
    <n v="221010"/>
    <n v="7117"/>
    <n v="3"/>
    <n v="184.46601939999999"/>
    <n v="5"/>
    <n v="190"/>
    <n v="70.873786409999994"/>
    <s v="Meghalaya"/>
  </r>
  <r>
    <n v="1.3822856918352E+17"/>
    <s v="2025-03-31"/>
    <x v="6"/>
    <x v="0"/>
    <n v="570031"/>
    <n v="7117"/>
    <n v="3"/>
    <n v="166.0194175"/>
    <n v="4"/>
    <n v="171"/>
    <n v="44.660194169999997"/>
    <s v="Rajasthan"/>
  </r>
  <r>
    <n v="1.28178162428438E+17"/>
    <s v="2025-03-03"/>
    <x v="6"/>
    <x v="2"/>
    <n v="140307"/>
    <n v="7117"/>
    <n v="3"/>
    <n v="166.9902913"/>
    <n v="5"/>
    <n v="172"/>
    <n v="55.339805830000003"/>
    <s v="Telangana"/>
  </r>
  <r>
    <n v="1.3054239637841699E+17"/>
    <s v="2025-03-10"/>
    <x v="6"/>
    <x v="0"/>
    <n v="263153"/>
    <n v="7117"/>
    <n v="3"/>
    <n v="158.2524272"/>
    <n v="4"/>
    <n v="163"/>
    <n v="55.339805830000003"/>
    <s v="Jharkhand"/>
  </r>
  <r>
    <n v="1.3597851227131901E+17"/>
    <s v="2025-03-25"/>
    <x v="6"/>
    <x v="1"/>
    <n v="700041"/>
    <n v="7117"/>
    <n v="3"/>
    <n v="168.93203879999999"/>
    <n v="5"/>
    <n v="174"/>
    <n v="47.57281553"/>
    <s v="Rajasthan"/>
  </r>
  <r>
    <n v="1.3174365076200099E+17"/>
    <s v="2025-03-13"/>
    <x v="6"/>
    <x v="0"/>
    <n v="515201"/>
    <n v="7117"/>
    <n v="3"/>
    <n v="139.80582519999999"/>
    <n v="4"/>
    <n v="144"/>
    <n v="35.922330100000003"/>
    <s v="Jharkhand"/>
  </r>
  <r>
    <n v="1.2817550771929101E+17"/>
    <s v="2025-03-03"/>
    <x v="6"/>
    <x v="0"/>
    <n v="821301"/>
    <n v="7117"/>
    <n v="3"/>
    <n v="166.9902913"/>
    <n v="5"/>
    <n v="172"/>
    <n v="45.631067960000003"/>
    <s v="Uttar Pradesh"/>
  </r>
  <r>
    <n v="1.3091682174130899E+17"/>
    <s v="2025-03-11"/>
    <x v="6"/>
    <x v="3"/>
    <n v="140603"/>
    <n v="7117"/>
    <n v="3"/>
    <n v="145.631068"/>
    <n v="4"/>
    <n v="150"/>
    <n v="41.747572820000002"/>
    <s v="Tamil Nadu"/>
  </r>
  <r>
    <n v="1.30687405431E+17"/>
    <s v="2025-03-10"/>
    <x v="6"/>
    <x v="3"/>
    <n v="283111"/>
    <n v="7117"/>
    <n v="3"/>
    <n v="167.96116499999999"/>
    <n v="5"/>
    <n v="173"/>
    <n v="46.601941750000002"/>
    <s v="Rajasthan"/>
  </r>
  <r>
    <n v="1.33067369105754E+17"/>
    <s v="2025-03-17"/>
    <x v="6"/>
    <x v="5"/>
    <n v="110020"/>
    <n v="7117"/>
    <n v="3"/>
    <n v="154.368932"/>
    <n v="4"/>
    <n v="159"/>
    <n v="37.86407767"/>
    <s v="Haryana"/>
  </r>
  <r>
    <n v="1.3751462643398499E+17"/>
    <s v="2025-03-29"/>
    <x v="6"/>
    <x v="3"/>
    <n v="843146"/>
    <n v="7117"/>
    <n v="3"/>
    <n v="166.0194175"/>
    <n v="4"/>
    <n v="171"/>
    <n v="44.660194169999997"/>
    <s v="Bihar"/>
  </r>
  <r>
    <n v="1.3318822261712899E+17"/>
    <s v="2025-03-17"/>
    <x v="6"/>
    <x v="0"/>
    <n v="743355"/>
    <n v="7117"/>
    <n v="3"/>
    <n v="225.2427184"/>
    <n v="6"/>
    <n v="232"/>
    <n v="37.86407767"/>
    <s v="Punjab"/>
  </r>
  <r>
    <n v="1.34853942260762E+17"/>
    <s v="2025-03-22"/>
    <x v="6"/>
    <x v="3"/>
    <n v="509376"/>
    <n v="7117"/>
    <n v="3"/>
    <n v="152.42718450000001"/>
    <n v="4"/>
    <n v="157"/>
    <n v="52.42718447"/>
    <s v="Karnataka"/>
  </r>
  <r>
    <n v="1.3529548649641E+17"/>
    <s v="2025-03-23"/>
    <x v="6"/>
    <x v="3"/>
    <n v="110043"/>
    <n v="7117"/>
    <n v="3"/>
    <n v="181.55339810000001"/>
    <n v="5"/>
    <n v="187"/>
    <n v="45.631067960000003"/>
    <s v="Punjab"/>
  </r>
  <r>
    <n v="1.3508155013952301E+17"/>
    <s v="2025-03-22"/>
    <x v="6"/>
    <x v="3"/>
    <n v="743165"/>
    <n v="7117"/>
    <n v="3"/>
    <n v="87.378640799999999"/>
    <n v="2"/>
    <n v="90"/>
    <n v="41.747572820000002"/>
    <s v="Kerala"/>
  </r>
  <r>
    <n v="1.2825504811866499E+17"/>
    <s v="2025-03-04"/>
    <x v="6"/>
    <x v="3"/>
    <n v="852137"/>
    <n v="7117"/>
    <n v="3"/>
    <n v="166.9902913"/>
    <n v="5"/>
    <n v="172"/>
    <n v="48.543689319999999"/>
    <s v="Uttarakhand"/>
  </r>
  <r>
    <n v="1.29857906602482E+17"/>
    <s v="2025-03-08"/>
    <x v="6"/>
    <x v="0"/>
    <n v="762010"/>
    <n v="7117"/>
    <n v="3"/>
    <n v="170.8737864"/>
    <n v="5"/>
    <n v="176"/>
    <n v="49.514563109999997"/>
    <s v="Uttar Pradesh"/>
  </r>
  <r>
    <n v="1.37238308435104E+17"/>
    <s v="2025-03-28"/>
    <x v="6"/>
    <x v="0"/>
    <n v="276403"/>
    <n v="7117"/>
    <n v="3"/>
    <n v="192.2330097"/>
    <n v="5"/>
    <n v="198"/>
    <n v="70.873786409999994"/>
    <s v="Assam"/>
  </r>
  <r>
    <n v="1.3607715260836301E+17"/>
    <s v="2025-03-25"/>
    <x v="6"/>
    <x v="3"/>
    <n v="811302"/>
    <n v="7117"/>
    <n v="3"/>
    <n v="156.31067959999999"/>
    <n v="4"/>
    <n v="161"/>
    <n v="52.42718447"/>
    <s v="Chhattisgarh"/>
  </r>
  <r>
    <n v="1.3528648214754701E+17"/>
    <s v="2025-03-23"/>
    <x v="6"/>
    <x v="4"/>
    <n v="805131"/>
    <n v="7117"/>
    <n v="3"/>
    <n v="152.42718450000001"/>
    <n v="4"/>
    <n v="157"/>
    <n v="52.42718447"/>
    <s v="Karnataka"/>
  </r>
  <r>
    <n v="1.3204362550968701E+17"/>
    <s v="2025-03-14"/>
    <x v="6"/>
    <x v="1"/>
    <n v="190007"/>
    <n v="7117"/>
    <n v="3"/>
    <n v="102.91262140000001"/>
    <n v="3"/>
    <n v="106"/>
    <n v="40.776699030000003"/>
    <s v="Chhattisgarh"/>
  </r>
  <r>
    <n v="1.33643370718724E+17"/>
    <s v="2025-03-19"/>
    <x v="6"/>
    <x v="1"/>
    <n v="811213"/>
    <n v="7117"/>
    <n v="3"/>
    <n v="143.68932040000001"/>
    <n v="4"/>
    <n v="148"/>
    <n v="52.42718447"/>
    <s v="Gujarat"/>
  </r>
  <r>
    <n v="1.3354319085767901E+17"/>
    <s v="2025-03-18"/>
    <x v="6"/>
    <x v="1"/>
    <n v="229301"/>
    <n v="7117"/>
    <n v="3"/>
    <n v="135.92233010000001"/>
    <n v="4"/>
    <n v="140"/>
    <n v="37.86407767"/>
    <s v="Madhya Pradesh"/>
  </r>
  <r>
    <n v="1.3384560587653901E+17"/>
    <s v="2025-03-19"/>
    <x v="6"/>
    <x v="1"/>
    <n v="143521"/>
    <n v="7117"/>
    <n v="3"/>
    <n v="166.0194175"/>
    <n v="4"/>
    <n v="171"/>
    <n v="52.42718447"/>
    <s v="Andhra Pradesh"/>
  </r>
  <r>
    <n v="1.3206165097798099E+17"/>
    <s v="2025-03-14"/>
    <x v="6"/>
    <x v="3"/>
    <n v="572137"/>
    <n v="7117"/>
    <n v="3"/>
    <n v="150.4854369"/>
    <n v="4"/>
    <n v="155"/>
    <n v="47.57281553"/>
    <s v="Uttar Pradesh"/>
  </r>
  <r>
    <n v="1.3511404960320899E+17"/>
    <s v="2025-03-23"/>
    <x v="6"/>
    <x v="3"/>
    <n v="175027"/>
    <n v="7117"/>
    <n v="3"/>
    <n v="172.81553400000001"/>
    <n v="5"/>
    <n v="178"/>
    <n v="43.689320389999999"/>
    <s v="Uttar Pradesh"/>
  </r>
  <r>
    <n v="1.3099322678542301E+17"/>
    <s v="2025-03-11"/>
    <x v="6"/>
    <x v="0"/>
    <n v="825325"/>
    <n v="330410"/>
    <n v="18"/>
    <n v="230.5084746"/>
    <n v="41"/>
    <n v="272"/>
    <n v="45.762711860000003"/>
    <s v="Delhi"/>
  </r>
  <r>
    <n v="1.32129228224104E+17"/>
    <s v="2025-03-14"/>
    <x v="6"/>
    <x v="3"/>
    <n v="301701"/>
    <n v="7117"/>
    <n v="3"/>
    <n v="177.66990290000001"/>
    <n v="5"/>
    <n v="183"/>
    <n v="56.310679610000001"/>
    <s v="Bihar"/>
  </r>
  <r>
    <n v="1.30835549996352E+17"/>
    <s v="2025-03-11"/>
    <x v="6"/>
    <x v="0"/>
    <n v="853201"/>
    <n v="7117"/>
    <n v="3"/>
    <n v="274.7572816"/>
    <n v="8"/>
    <n v="283"/>
    <n v="56.310679610000001"/>
    <s v="Jharkhand"/>
  </r>
  <r>
    <n v="1.36704413910438E+17"/>
    <s v="2025-03-27"/>
    <x v="6"/>
    <x v="3"/>
    <n v="843129"/>
    <n v="7117"/>
    <n v="3"/>
    <n v="149.5145631"/>
    <n v="4"/>
    <n v="154"/>
    <n v="52.42718447"/>
    <s v="Jharkhand"/>
  </r>
  <r>
    <n v="1.2984992722496701E+17"/>
    <s v="2025-03-08"/>
    <x v="6"/>
    <x v="0"/>
    <n v="534450"/>
    <n v="7117"/>
    <n v="3"/>
    <n v="169.90291260000001"/>
    <n v="5"/>
    <n v="175"/>
    <n v="48.543689319999999"/>
    <s v="Andhra Pradesh"/>
  </r>
  <r>
    <n v="1.3736627530255699E+17"/>
    <s v="2025-03-29"/>
    <x v="6"/>
    <x v="3"/>
    <n v="721101"/>
    <n v="7117"/>
    <n v="3"/>
    <n v="136.8932039"/>
    <n v="4"/>
    <n v="141"/>
    <n v="33.980582519999999"/>
    <s v="Bihar"/>
  </r>
  <r>
    <n v="1.32791279015594E+17"/>
    <s v="2025-03-16"/>
    <x v="6"/>
    <x v="0"/>
    <n v="813205"/>
    <n v="7117"/>
    <n v="3"/>
    <n v="247.57281549999999"/>
    <n v="7"/>
    <n v="255"/>
    <n v="37.86407767"/>
    <s v="Karnataka"/>
  </r>
  <r>
    <n v="1.3234154356542701E+17"/>
    <s v="2025-03-15"/>
    <x v="6"/>
    <x v="0"/>
    <n v="228159"/>
    <n v="7117"/>
    <n v="3"/>
    <n v="177.66990290000001"/>
    <n v="5"/>
    <n v="183"/>
    <n v="56.310679610000001"/>
    <s v="Bihar"/>
  </r>
  <r>
    <n v="1.32849371959304E+17"/>
    <s v="2025-03-16"/>
    <x v="6"/>
    <x v="0"/>
    <n v="486340"/>
    <n v="7117"/>
    <n v="3"/>
    <n v="145.631068"/>
    <n v="4"/>
    <n v="150"/>
    <n v="45.631067960000003"/>
    <s v="Uttar Pradesh"/>
  </r>
  <r>
    <n v="1.3288591015625501E+17"/>
    <s v="2025-03-16"/>
    <x v="6"/>
    <x v="1"/>
    <n v="201304"/>
    <n v="7117"/>
    <n v="3"/>
    <n v="147.57281549999999"/>
    <n v="4"/>
    <n v="152"/>
    <n v="47.57281553"/>
    <s v="Odisha"/>
  </r>
  <r>
    <n v="1.33361054142138E+17"/>
    <s v="2025-03-18"/>
    <x v="6"/>
    <x v="3"/>
    <n v="301701"/>
    <n v="7117"/>
    <n v="3"/>
    <n v="129.1262136"/>
    <n v="3"/>
    <n v="133"/>
    <n v="37.86407767"/>
    <s v="Madhya Pradesh"/>
  </r>
  <r>
    <n v="1.2911533687693299E+17"/>
    <s v="2025-03-06"/>
    <x v="6"/>
    <x v="0"/>
    <n v="344001"/>
    <n v="7117"/>
    <n v="3"/>
    <n v="161.16504850000001"/>
    <n v="4"/>
    <n v="166"/>
    <n v="49.514563109999997"/>
    <s v="Uttar Pradesh"/>
  </r>
  <r>
    <n v="1.3248069600113501E+17"/>
    <s v="2025-03-15"/>
    <x v="6"/>
    <x v="3"/>
    <n v="110053"/>
    <n v="7117"/>
    <n v="3"/>
    <n v="120.3883495"/>
    <n v="3"/>
    <n v="124"/>
    <n v="40.776699030000003"/>
    <s v="Odisha"/>
  </r>
  <r>
    <n v="1.30691907681956E+17"/>
    <s v="2025-03-10"/>
    <x v="6"/>
    <x v="4"/>
    <n v="522001"/>
    <n v="7117"/>
    <n v="3"/>
    <n v="172.81553400000001"/>
    <n v="5"/>
    <n v="178"/>
    <n v="51.456310680000001"/>
    <s v="Rajasthan"/>
  </r>
  <r>
    <n v="1.36097986467928E+17"/>
    <s v="2025-03-25"/>
    <x v="6"/>
    <x v="4"/>
    <n v="600012"/>
    <n v="7117"/>
    <n v="3"/>
    <n v="157.28155340000001"/>
    <n v="4"/>
    <n v="162"/>
    <n v="45.631067960000003"/>
    <s v="Haryana"/>
  </r>
  <r>
    <n v="1.34888912024506E+17"/>
    <s v="2025-03-22"/>
    <x v="6"/>
    <x v="5"/>
    <n v="600057"/>
    <n v="7117"/>
    <n v="3"/>
    <n v="154.368932"/>
    <n v="4"/>
    <n v="159"/>
    <n v="37.86407767"/>
    <s v="Andhra Pradesh"/>
  </r>
  <r>
    <n v="1.3542920302877101E+17"/>
    <s v="2025-03-23"/>
    <x v="6"/>
    <x v="4"/>
    <n v="277501"/>
    <n v="7117"/>
    <n v="3"/>
    <n v="149.5145631"/>
    <n v="4"/>
    <n v="154"/>
    <n v="37.86407767"/>
    <s v="Maharashtra"/>
  </r>
  <r>
    <n v="1.3283556646640899E+17"/>
    <s v="2025-03-16"/>
    <x v="6"/>
    <x v="3"/>
    <n v="301701"/>
    <n v="7117"/>
    <n v="3"/>
    <n v="133.9805825"/>
    <n v="4"/>
    <n v="138"/>
    <n v="35.922330100000003"/>
    <s v="Uttar Pradesh"/>
  </r>
  <r>
    <n v="1.29069092171334E+17"/>
    <s v="2025-03-06"/>
    <x v="6"/>
    <x v="3"/>
    <n v="491995"/>
    <n v="7117"/>
    <n v="3"/>
    <n v="168.93203879999999"/>
    <n v="5"/>
    <n v="174"/>
    <n v="57.2815534"/>
    <s v="Telangana"/>
  </r>
  <r>
    <n v="1.2980377321280301E+17"/>
    <s v="2025-03-08"/>
    <x v="6"/>
    <x v="1"/>
    <n v="735214"/>
    <n v="7117"/>
    <n v="3"/>
    <n v="190.29126210000001"/>
    <n v="5"/>
    <n v="196"/>
    <n v="49.514563109999997"/>
    <s v="Punjab"/>
  </r>
  <r>
    <n v="1.29468159590318E+17"/>
    <s v="2025-03-07"/>
    <x v="6"/>
    <x v="0"/>
    <n v="534324"/>
    <n v="7117"/>
    <n v="3"/>
    <n v="176.69902909999999"/>
    <n v="5"/>
    <n v="182"/>
    <n v="55.339805830000003"/>
    <s v="Maharashtra"/>
  </r>
  <r>
    <n v="1.3241982328756701E+17"/>
    <s v="2025-03-15"/>
    <x v="6"/>
    <x v="0"/>
    <n v="813203"/>
    <n v="7117"/>
    <n v="3"/>
    <n v="153.3980583"/>
    <n v="4"/>
    <n v="158"/>
    <n v="49.514563109999997"/>
    <s v="Chandigarh"/>
  </r>
  <r>
    <n v="1.3072962763037E+17"/>
    <s v="2025-03-10"/>
    <x v="6"/>
    <x v="0"/>
    <n v="121003"/>
    <n v="7117"/>
    <n v="3"/>
    <n v="255.33980579999999"/>
    <n v="7"/>
    <n v="263"/>
    <n v="36.893203880000002"/>
    <s v="Uttar Pradesh"/>
  </r>
  <r>
    <n v="1.29276585026226E+17"/>
    <s v="2025-03-06"/>
    <x v="6"/>
    <x v="2"/>
    <n v="422001"/>
    <n v="7117"/>
    <n v="3"/>
    <n v="160.19417480000001"/>
    <n v="4"/>
    <n v="165"/>
    <n v="56.310679610000001"/>
    <s v="Bihar"/>
  </r>
  <r>
    <n v="1.3564377193228701E+17"/>
    <s v="2025-03-24"/>
    <x v="6"/>
    <x v="3"/>
    <n v="221010"/>
    <n v="7117"/>
    <n v="3"/>
    <n v="173.78640780000001"/>
    <n v="5"/>
    <n v="179"/>
    <n v="52.42718447"/>
    <s v="Chhattisgarh"/>
  </r>
  <r>
    <n v="1.35426543089656E+17"/>
    <s v="2025-03-23"/>
    <x v="6"/>
    <x v="3"/>
    <n v="841287"/>
    <n v="7117"/>
    <n v="3"/>
    <n v="166.0194175"/>
    <n v="4"/>
    <n v="171"/>
    <n v="36.893203880000002"/>
    <s v="Odisha"/>
  </r>
  <r>
    <n v="1.30511327307566E+17"/>
    <s v="2025-03-10"/>
    <x v="6"/>
    <x v="3"/>
    <n v="110043"/>
    <n v="7117"/>
    <n v="3"/>
    <n v="199.02912620000001"/>
    <n v="5"/>
    <n v="205"/>
    <n v="74.757281550000002"/>
    <s v="Tamil Nadu"/>
  </r>
  <r>
    <n v="1.3821419196979699E+17"/>
    <s v="2025-03-31"/>
    <x v="6"/>
    <x v="1"/>
    <n v="500007"/>
    <n v="7117"/>
    <n v="3"/>
    <n v="169.90291260000001"/>
    <n v="5"/>
    <n v="175"/>
    <n v="52.42718447"/>
    <s v="Gujarat"/>
  </r>
  <r>
    <n v="1.3542905549452899E+17"/>
    <s v="2025-03-23"/>
    <x v="6"/>
    <x v="0"/>
    <n v="277001"/>
    <n v="7117"/>
    <n v="3"/>
    <n v="151.45631069999999"/>
    <n v="4"/>
    <n v="156"/>
    <n v="37.86407767"/>
    <s v="Maharashtra"/>
  </r>
  <r>
    <n v="1.3679651331381901E+17"/>
    <s v="2025-03-27"/>
    <x v="6"/>
    <x v="4"/>
    <n v="110043"/>
    <n v="7117"/>
    <n v="3"/>
    <n v="149.5145631"/>
    <n v="4"/>
    <n v="154"/>
    <n v="42.7184466"/>
    <s v="Uttar Pradesh"/>
  </r>
  <r>
    <n v="1.3324705299264499E+17"/>
    <s v="2025-03-17"/>
    <x v="6"/>
    <x v="1"/>
    <n v="497333"/>
    <n v="7117"/>
    <n v="3"/>
    <n v="162.1359223"/>
    <n v="4"/>
    <n v="167"/>
    <n v="45.631067960000003"/>
    <s v="Haryana"/>
  </r>
  <r>
    <n v="1.28522485029214E+17"/>
    <s v="2025-03-04"/>
    <x v="6"/>
    <x v="2"/>
    <n v="455111"/>
    <n v="7117"/>
    <n v="3"/>
    <n v="89.320388300000005"/>
    <n v="2"/>
    <n v="92"/>
    <n v="41.747572820000002"/>
    <s v="Telangana"/>
  </r>
  <r>
    <n v="1.2943520533768099E+17"/>
    <s v="2025-03-07"/>
    <x v="6"/>
    <x v="1"/>
    <n v="201013"/>
    <n v="7117"/>
    <n v="3"/>
    <n v="174.7572816"/>
    <n v="5"/>
    <n v="180"/>
    <n v="53.398058249999998"/>
    <s v="Bihar"/>
  </r>
  <r>
    <n v="1.3460049342632E+17"/>
    <s v="2025-03-21"/>
    <x v="6"/>
    <x v="3"/>
    <n v="144211"/>
    <n v="7117"/>
    <n v="3"/>
    <n v="187.3786408"/>
    <n v="5"/>
    <n v="193"/>
    <n v="70.873786409999994"/>
    <s v="Jammu And Kashmir"/>
  </r>
  <r>
    <n v="1.3274145682034099E+17"/>
    <s v="2025-03-16"/>
    <x v="6"/>
    <x v="0"/>
    <n v="742213"/>
    <n v="7117"/>
    <n v="3"/>
    <n v="164.07766989999999"/>
    <n v="4"/>
    <n v="169"/>
    <n v="44.660194169999997"/>
    <s v="Rajasthan"/>
  </r>
  <r>
    <n v="1.3425554282175699E+17"/>
    <s v="2025-03-20"/>
    <x v="6"/>
    <x v="3"/>
    <n v="816115"/>
    <n v="7117"/>
    <n v="3"/>
    <n v="160.19417480000001"/>
    <n v="4"/>
    <n v="165"/>
    <n v="52.42718447"/>
    <s v="Karnataka"/>
  </r>
  <r>
    <n v="1.28844212799244E+17"/>
    <s v="2025-03-05"/>
    <x v="6"/>
    <x v="2"/>
    <n v="302025"/>
    <n v="7117"/>
    <n v="3"/>
    <n v="145.631068"/>
    <n v="4"/>
    <n v="150"/>
    <n v="48.543689319999999"/>
    <s v="Uttar Pradesh"/>
  </r>
  <r>
    <n v="1.354807478079E+17"/>
    <s v="2025-03-24"/>
    <x v="6"/>
    <x v="5"/>
    <n v="462003"/>
    <n v="7117"/>
    <n v="3"/>
    <n v="151.45631069999999"/>
    <n v="4"/>
    <n v="156"/>
    <n v="33.980582519999999"/>
    <s v="Uttar Pradesh"/>
  </r>
  <r>
    <n v="1.36018460497678E+17"/>
    <s v="2025-03-25"/>
    <x v="6"/>
    <x v="0"/>
    <n v="224190"/>
    <n v="7117"/>
    <n v="3"/>
    <n v="155.33980579999999"/>
    <n v="4"/>
    <n v="160"/>
    <n v="37.86407767"/>
    <s v="Gujarat"/>
  </r>
  <r>
    <n v="1.3422129034005901E+17"/>
    <s v="2025-03-20"/>
    <x v="6"/>
    <x v="0"/>
    <n v="303007"/>
    <n v="7117"/>
    <n v="3"/>
    <n v="153.3980583"/>
    <n v="4"/>
    <n v="158"/>
    <n v="45.631067960000003"/>
    <s v="Uttar Pradesh"/>
  </r>
  <r>
    <n v="1.32099542078984E+17"/>
    <s v="2025-03-14"/>
    <x v="6"/>
    <x v="3"/>
    <n v="491222"/>
    <n v="7117"/>
    <n v="3"/>
    <n v="177.66990290000001"/>
    <n v="5"/>
    <n v="183"/>
    <n v="56.310679610000001"/>
    <s v="Bihar"/>
  </r>
  <r>
    <n v="1.37886099317238E+17"/>
    <s v="2025-03-30"/>
    <x v="6"/>
    <x v="1"/>
    <n v="412207"/>
    <n v="7117"/>
    <n v="3"/>
    <n v="156.31067959999999"/>
    <n v="4"/>
    <n v="161"/>
    <n v="52.42718447"/>
    <s v="Madhya Pradesh"/>
  </r>
  <r>
    <n v="1.35985740986614E+17"/>
    <s v="2025-03-25"/>
    <x v="6"/>
    <x v="4"/>
    <n v="224208"/>
    <n v="7117"/>
    <n v="3"/>
    <n v="173.78640780000001"/>
    <n v="5"/>
    <n v="179"/>
    <n v="52.42718447"/>
    <s v="Maharashtra"/>
  </r>
  <r>
    <n v="1.3342124817976701E+17"/>
    <s v="2025-03-18"/>
    <x v="6"/>
    <x v="0"/>
    <n v="281004"/>
    <n v="7117"/>
    <n v="3"/>
    <n v="142.71844659999999"/>
    <n v="4"/>
    <n v="147"/>
    <n v="44.660194169999997"/>
    <s v="Uttar Pradesh"/>
  </r>
  <r>
    <n v="1.34976563526804E+17"/>
    <s v="2025-03-22"/>
    <x v="6"/>
    <x v="0"/>
    <n v="272175"/>
    <n v="7117"/>
    <n v="3"/>
    <n v="147.57281549999999"/>
    <n v="4"/>
    <n v="152"/>
    <n v="47.57281553"/>
    <s v="Bihar"/>
  </r>
  <r>
    <n v="1.29507243934686E+17"/>
    <s v="2025-03-07"/>
    <x v="6"/>
    <x v="1"/>
    <n v="813203"/>
    <n v="7117"/>
    <n v="3"/>
    <n v="170.8737864"/>
    <n v="5"/>
    <n v="176"/>
    <n v="49.514563109999997"/>
    <s v="Uttar Pradesh"/>
  </r>
  <r>
    <n v="1.31051037696006E+17"/>
    <s v="2025-03-11"/>
    <x v="6"/>
    <x v="0"/>
    <n v="272190"/>
    <n v="7117"/>
    <n v="3"/>
    <n v="160.19417480000001"/>
    <n v="4"/>
    <n v="165"/>
    <n v="56.310679610000001"/>
    <s v="Jharkhand"/>
  </r>
  <r>
    <n v="1.3755778003957E+17"/>
    <s v="2025-03-29"/>
    <x v="6"/>
    <x v="1"/>
    <n v="143103"/>
    <n v="7117"/>
    <n v="3"/>
    <n v="155.33980579999999"/>
    <n v="4"/>
    <n v="160"/>
    <n v="37.86407767"/>
    <s v="Maharashtra"/>
  </r>
  <r>
    <n v="1.3354536083685699E+17"/>
    <s v="2025-03-18"/>
    <x v="6"/>
    <x v="0"/>
    <n v="277401"/>
    <n v="7117"/>
    <n v="3"/>
    <n v="129.1262136"/>
    <n v="3"/>
    <n v="133"/>
    <n v="37.86407767"/>
    <s v="Andhra Pradesh"/>
  </r>
  <r>
    <n v="1.3537108813706899E+17"/>
    <s v="2025-03-23"/>
    <x v="6"/>
    <x v="0"/>
    <n v="560035"/>
    <n v="7117"/>
    <n v="3"/>
    <n v="262.1359223"/>
    <n v="7"/>
    <n v="270"/>
    <n v="52.42718447"/>
    <s v="Andhra Pradesh"/>
  </r>
  <r>
    <n v="1.28085832434482E+17"/>
    <s v="2025-03-03"/>
    <x v="6"/>
    <x v="1"/>
    <n v="110047"/>
    <n v="7117"/>
    <n v="3"/>
    <n v="230.09708739999999"/>
    <n v="6"/>
    <n v="237"/>
    <n v="50.485436890000003"/>
    <s v="Punjab"/>
  </r>
  <r>
    <n v="1.3307100895632E+17"/>
    <s v="2025-03-17"/>
    <x v="6"/>
    <x v="3"/>
    <n v="753001"/>
    <n v="7117"/>
    <n v="3"/>
    <n v="154.368932"/>
    <n v="4"/>
    <n v="159"/>
    <n v="37.86407767"/>
    <s v="Haryana"/>
  </r>
  <r>
    <n v="1.3127154095627299E+17"/>
    <s v="2025-03-12"/>
    <x v="6"/>
    <x v="4"/>
    <n v="816115"/>
    <n v="7117"/>
    <n v="3"/>
    <n v="269.90291259999998"/>
    <n v="8"/>
    <n v="278"/>
    <n v="51.456310680000001"/>
    <s v="Tamil Nadu"/>
  </r>
  <r>
    <n v="1.3110665767679101E+17"/>
    <s v="2025-03-12"/>
    <x v="6"/>
    <x v="1"/>
    <n v="228171"/>
    <n v="7117"/>
    <n v="3"/>
    <n v="144.66019420000001"/>
    <n v="4"/>
    <n v="149"/>
    <n v="47.57281553"/>
    <s v="Uttar Pradesh"/>
  </r>
  <r>
    <n v="1.3284854932586701E+17"/>
    <s v="2025-03-16"/>
    <x v="6"/>
    <x v="3"/>
    <n v="141016"/>
    <n v="7117"/>
    <n v="3"/>
    <n v="168.93203879999999"/>
    <n v="5"/>
    <n v="174"/>
    <n v="70.873786409999994"/>
    <s v="Assam"/>
  </r>
  <r>
    <n v="1.38202496917672E+17"/>
    <s v="2025-03-31"/>
    <x v="6"/>
    <x v="1"/>
    <n v="276137"/>
    <n v="7117"/>
    <n v="3"/>
    <n v="156.31067959999999"/>
    <n v="4"/>
    <n v="161"/>
    <n v="52.42718447"/>
    <s v="Bihar"/>
  </r>
  <r>
    <n v="1.38189717413234E+17"/>
    <s v="2025-03-31"/>
    <x v="6"/>
    <x v="0"/>
    <n v="493228"/>
    <n v="7117"/>
    <n v="3"/>
    <n v="169.90291260000001"/>
    <n v="5"/>
    <n v="175"/>
    <n v="48.543689319999999"/>
    <s v="Haryana"/>
  </r>
  <r>
    <n v="1.3515177586701699E+17"/>
    <s v="2025-03-23"/>
    <x v="6"/>
    <x v="2"/>
    <n v="333001"/>
    <n v="7117"/>
    <n v="3"/>
    <n v="145.631068"/>
    <n v="4"/>
    <n v="150"/>
    <n v="45.631067960000003"/>
    <s v="Uttar Pradesh"/>
  </r>
  <r>
    <n v="1.36040962722792E+17"/>
    <s v="2025-03-25"/>
    <x v="6"/>
    <x v="0"/>
    <n v="843146"/>
    <n v="7117"/>
    <n v="3"/>
    <n v="168.93203879999999"/>
    <n v="5"/>
    <n v="174"/>
    <n v="47.57281553"/>
    <s v="Punjab"/>
  </r>
  <r>
    <n v="1.3506210431113901E+17"/>
    <s v="2025-03-22"/>
    <x v="6"/>
    <x v="3"/>
    <n v="846009"/>
    <n v="7117"/>
    <n v="3"/>
    <n v="151.45631069999999"/>
    <n v="4"/>
    <n v="156"/>
    <n v="37.86407767"/>
    <s v="Gujarat"/>
  </r>
  <r>
    <n v="1.3492312452976099E+17"/>
    <s v="2025-03-22"/>
    <x v="6"/>
    <x v="0"/>
    <n v="243632"/>
    <n v="7117"/>
    <n v="3"/>
    <n v="166.0194175"/>
    <n v="4"/>
    <n v="171"/>
    <n v="52.42718447"/>
    <s v="Chhattisgarh"/>
  </r>
  <r>
    <n v="1.3705479260973501E+17"/>
    <s v="2025-03-28"/>
    <x v="6"/>
    <x v="1"/>
    <n v="144514"/>
    <n v="7117"/>
    <n v="3"/>
    <n v="169.90291260000001"/>
    <n v="5"/>
    <n v="175"/>
    <n v="48.543689319999999"/>
    <s v="Haryana"/>
  </r>
  <r>
    <n v="1.2817043553996499E+17"/>
    <s v="2025-03-03"/>
    <x v="6"/>
    <x v="3"/>
    <n v="151001"/>
    <n v="7117"/>
    <n v="3"/>
    <n v="165.04854370000001"/>
    <n v="4"/>
    <n v="170"/>
    <n v="43.689320389999999"/>
    <s v="Uttar Pradesh"/>
  </r>
  <r>
    <n v="1.35408240900374E+17"/>
    <s v="2025-03-23"/>
    <x v="6"/>
    <x v="3"/>
    <n v="175012"/>
    <n v="7117"/>
    <n v="3"/>
    <n v="143.68932040000001"/>
    <n v="4"/>
    <n v="148"/>
    <n v="52.42718447"/>
    <s v="Tamil Nadu"/>
  </r>
  <r>
    <n v="1.3051976029034899E+17"/>
    <s v="2025-03-10"/>
    <x v="6"/>
    <x v="1"/>
    <n v="285203"/>
    <n v="7117"/>
    <n v="3"/>
    <n v="172.81553400000001"/>
    <n v="5"/>
    <n v="178"/>
    <n v="51.456310680000001"/>
    <s v="Karnataka"/>
  </r>
  <r>
    <n v="1.3469094179232301E+17"/>
    <s v="2025-03-21"/>
    <x v="6"/>
    <x v="3"/>
    <n v="271855"/>
    <n v="7117"/>
    <n v="3"/>
    <n v="162.1359223"/>
    <n v="4"/>
    <n v="167"/>
    <n v="45.631067960000003"/>
    <s v="Haryana"/>
  </r>
  <r>
    <n v="1.3275269312627501E+17"/>
    <s v="2025-03-16"/>
    <x v="6"/>
    <x v="0"/>
    <n v="413503"/>
    <n v="7117"/>
    <n v="3"/>
    <n v="168.93203879999999"/>
    <n v="5"/>
    <n v="174"/>
    <n v="52.42718447"/>
    <s v="Bihar"/>
  </r>
  <r>
    <n v="1.38092223311808E+17"/>
    <s v="2025-03-31"/>
    <x v="6"/>
    <x v="3"/>
    <n v="444704"/>
    <n v="7117"/>
    <n v="3"/>
    <n v="156.31067959999999"/>
    <n v="4"/>
    <n v="161"/>
    <n v="52.42718447"/>
    <s v="Madhya Pradesh"/>
  </r>
  <r>
    <n v="1.3231165706214099E+17"/>
    <s v="2025-03-15"/>
    <x v="6"/>
    <x v="4"/>
    <n v="825324"/>
    <n v="7117"/>
    <n v="3"/>
    <n v="160.19417480000001"/>
    <n v="4"/>
    <n v="165"/>
    <n v="56.310679610000001"/>
    <s v="Jharkhand"/>
  </r>
  <r>
    <n v="1.32719428953512E+17"/>
    <s v="2025-03-16"/>
    <x v="6"/>
    <x v="0"/>
    <n v="185121"/>
    <n v="7117"/>
    <n v="3"/>
    <n v="152.42718450000001"/>
    <n v="4"/>
    <n v="157"/>
    <n v="52.42718447"/>
    <s v="Bihar"/>
  </r>
  <r>
    <n v="1.3821351908721101E+17"/>
    <s v="2025-03-31"/>
    <x v="6"/>
    <x v="3"/>
    <n v="626117"/>
    <n v="7117"/>
    <n v="3"/>
    <n v="180.58252429999999"/>
    <n v="5"/>
    <n v="186"/>
    <n v="59.223300969999997"/>
    <s v="Madhya Pradesh"/>
  </r>
  <r>
    <n v="1.31338229772422E+17"/>
    <s v="2025-03-12"/>
    <x v="6"/>
    <x v="0"/>
    <n v="848114"/>
    <n v="7117"/>
    <n v="3"/>
    <n v="170.8737864"/>
    <n v="5"/>
    <n v="176"/>
    <n v="49.514563109999997"/>
    <s v="Uttar Pradesh"/>
  </r>
  <r>
    <n v="1.3022030296085299E+17"/>
    <s v="2025-03-09"/>
    <x v="6"/>
    <x v="3"/>
    <n v="845106"/>
    <n v="7117"/>
    <n v="3"/>
    <n v="177.66990290000001"/>
    <n v="5"/>
    <n v="183"/>
    <n v="56.310679610000001"/>
    <s v="Bihar"/>
  </r>
  <r>
    <n v="1.30146817139998E+17"/>
    <s v="2025-03-09"/>
    <x v="6"/>
    <x v="3"/>
    <n v="221404"/>
    <n v="7117"/>
    <n v="3"/>
    <n v="177.66990290000001"/>
    <n v="5"/>
    <n v="183"/>
    <n v="56.310679610000001"/>
    <s v="Chhattisgarh"/>
  </r>
  <r>
    <n v="1.33463072957726E+17"/>
    <s v="2025-03-18"/>
    <x v="6"/>
    <x v="3"/>
    <n v="226016"/>
    <n v="7117"/>
    <n v="3"/>
    <n v="243.68932040000001"/>
    <n v="7"/>
    <n v="251"/>
    <n v="33.980582519999999"/>
    <s v="Haryana"/>
  </r>
  <r>
    <n v="1.34852030421574E+17"/>
    <s v="2025-03-22"/>
    <x v="6"/>
    <x v="0"/>
    <n v="276123"/>
    <n v="7117"/>
    <n v="3"/>
    <n v="211.65048540000001"/>
    <n v="6"/>
    <n v="218"/>
    <n v="52.42718447"/>
    <s v="Bihar"/>
  </r>
  <r>
    <n v="1.3384303448716899E+17"/>
    <s v="2025-03-19"/>
    <x v="6"/>
    <x v="4"/>
    <n v="243402"/>
    <n v="7117"/>
    <n v="3"/>
    <n v="161.16504850000001"/>
    <n v="4"/>
    <n v="166"/>
    <n v="44.660194169999997"/>
    <s v="Uttar Pradesh"/>
  </r>
  <r>
    <n v="1.3273496117756099E+17"/>
    <s v="2025-03-16"/>
    <x v="6"/>
    <x v="0"/>
    <n v="201304"/>
    <n v="7117"/>
    <n v="3"/>
    <n v="161.16504850000001"/>
    <n v="4"/>
    <n v="166"/>
    <n v="44.660194169999997"/>
    <s v="Uttar Pradesh"/>
  </r>
  <r>
    <n v="1.36023670132212E+17"/>
    <s v="2025-03-25"/>
    <x v="6"/>
    <x v="3"/>
    <n v="201013"/>
    <n v="7117"/>
    <n v="3"/>
    <n v="160.19417480000001"/>
    <n v="4"/>
    <n v="165"/>
    <n v="42.7184466"/>
    <s v="Uttar Pradesh"/>
  </r>
  <r>
    <n v="1.3778150555291299E+17"/>
    <s v="2025-03-30"/>
    <x v="6"/>
    <x v="3"/>
    <n v="110043"/>
    <n v="7117"/>
    <n v="3"/>
    <n v="173.78640780000001"/>
    <n v="5"/>
    <n v="179"/>
    <n v="52.42718447"/>
    <s v="Karnataka"/>
  </r>
  <r>
    <n v="1.3633743330938099E+17"/>
    <s v="2025-03-26"/>
    <x v="6"/>
    <x v="0"/>
    <n v="222139"/>
    <n v="7117"/>
    <n v="3"/>
    <n v="164.07766989999999"/>
    <n v="4"/>
    <n v="169"/>
    <n v="52.42718447"/>
    <s v="Chhattisgarh"/>
  </r>
  <r>
    <n v="1.3816566850666701E+17"/>
    <s v="2025-03-31"/>
    <x v="6"/>
    <x v="0"/>
    <n v="226013"/>
    <n v="7117"/>
    <n v="3"/>
    <n v="164.07766989999999"/>
    <n v="4"/>
    <n v="169"/>
    <n v="42.7184466"/>
    <s v="Madhya Pradesh"/>
  </r>
  <r>
    <n v="1.34306093501582E+17"/>
    <s v="2025-03-20"/>
    <x v="6"/>
    <x v="1"/>
    <n v="491771"/>
    <n v="7117"/>
    <n v="3"/>
    <n v="166.9902913"/>
    <n v="5"/>
    <n v="172"/>
    <n v="52.42718447"/>
    <s v="Bihar"/>
  </r>
  <r>
    <n v="1.3354559063346301E+17"/>
    <s v="2025-03-18"/>
    <x v="6"/>
    <x v="0"/>
    <n v="261506"/>
    <n v="7117"/>
    <n v="3"/>
    <n v="129.1262136"/>
    <n v="3"/>
    <n v="133"/>
    <n v="37.86407767"/>
    <s v="Andhra Pradesh"/>
  </r>
  <r>
    <n v="1.2874896715989E+17"/>
    <s v="2025-03-05"/>
    <x v="6"/>
    <x v="0"/>
    <n v="122413"/>
    <n v="7117"/>
    <n v="3"/>
    <n v="167.96116499999999"/>
    <n v="5"/>
    <n v="173"/>
    <n v="56.310679610000001"/>
    <s v="Madhya Pradesh"/>
  </r>
  <r>
    <n v="1.32040431064386E+17"/>
    <s v="2025-03-14"/>
    <x v="6"/>
    <x v="1"/>
    <n v="805106"/>
    <n v="7117"/>
    <n v="3"/>
    <n v="147.57281549999999"/>
    <n v="4"/>
    <n v="152"/>
    <n v="50.485436890000003"/>
    <s v="Rajasthan"/>
  </r>
  <r>
    <n v="1.3533245631987699E+17"/>
    <s v="2025-03-23"/>
    <x v="6"/>
    <x v="0"/>
    <n v="800014"/>
    <n v="7117"/>
    <n v="3"/>
    <n v="146.6019417"/>
    <n v="4"/>
    <n v="151"/>
    <n v="33.009708740000001"/>
    <s v="Uttar Pradesh"/>
  </r>
  <r>
    <n v="1.3103667751410099E+17"/>
    <s v="2025-03-11"/>
    <x v="6"/>
    <x v="4"/>
    <n v="232327"/>
    <n v="7117"/>
    <n v="3"/>
    <n v="158.2524272"/>
    <n v="4"/>
    <n v="163"/>
    <n v="55.339805830000003"/>
    <s v="Meghalaya"/>
  </r>
  <r>
    <n v="1.34897091263496E+17"/>
    <s v="2025-03-22"/>
    <x v="6"/>
    <x v="3"/>
    <n v="848101"/>
    <n v="7117"/>
    <n v="3"/>
    <n v="255.33980579999999"/>
    <n v="7"/>
    <n v="263"/>
    <n v="45.631067960000003"/>
    <s v="Tamil Nadu"/>
  </r>
  <r>
    <n v="1.32571350543302E+17"/>
    <s v="2025-03-16"/>
    <x v="6"/>
    <x v="3"/>
    <n v="335001"/>
    <n v="7117"/>
    <n v="3"/>
    <n v="135.92233010000001"/>
    <n v="4"/>
    <n v="140"/>
    <n v="37.86407767"/>
    <s v="Karnataka"/>
  </r>
  <r>
    <n v="1.32561919687952E+17"/>
    <s v="2025-03-16"/>
    <x v="6"/>
    <x v="4"/>
    <n v="123401"/>
    <n v="7117"/>
    <n v="3"/>
    <n v="152.42718450000001"/>
    <n v="4"/>
    <n v="157"/>
    <n v="52.42718447"/>
    <s v="Jharkhand"/>
  </r>
  <r>
    <n v="1.3286706743387901E+17"/>
    <s v="2025-03-16"/>
    <x v="6"/>
    <x v="0"/>
    <n v="400607"/>
    <n v="7117"/>
    <n v="3"/>
    <n v="168.93203879999999"/>
    <n v="5"/>
    <n v="174"/>
    <n v="52.42718447"/>
    <s v="Maharashtra"/>
  </r>
  <r>
    <n v="1.2907984073740099E+17"/>
    <s v="2025-03-06"/>
    <x v="6"/>
    <x v="4"/>
    <n v="477222"/>
    <n v="7117"/>
    <n v="3"/>
    <n v="120.3883495"/>
    <n v="3"/>
    <n v="124"/>
    <n v="40.776699030000003"/>
    <s v="Jharkhand"/>
  </r>
  <r>
    <n v="1.32414229646312E+17"/>
    <s v="2025-03-15"/>
    <x v="6"/>
    <x v="0"/>
    <n v="413102"/>
    <n v="7117"/>
    <n v="3"/>
    <n v="170.8737864"/>
    <n v="5"/>
    <n v="176"/>
    <n v="73.786407769999997"/>
    <s v="Assam"/>
  </r>
  <r>
    <n v="1.3525512610480099E+17"/>
    <s v="2025-03-23"/>
    <x v="6"/>
    <x v="5"/>
    <n v="509001"/>
    <n v="7117"/>
    <n v="3"/>
    <n v="166.0194175"/>
    <n v="4"/>
    <n v="171"/>
    <n v="52.42718447"/>
    <s v="Bihar"/>
  </r>
  <r>
    <n v="1.3264495660634099E+17"/>
    <s v="2025-03-16"/>
    <x v="6"/>
    <x v="5"/>
    <n v="277001"/>
    <n v="7117"/>
    <n v="3"/>
    <n v="154.368932"/>
    <n v="4"/>
    <n v="159"/>
    <n v="37.86407767"/>
    <s v="Bihar"/>
  </r>
  <r>
    <n v="1.3616557139293101E+17"/>
    <s v="2025-03-25"/>
    <x v="6"/>
    <x v="0"/>
    <n v="509376"/>
    <n v="7117"/>
    <n v="3"/>
    <n v="150.4854369"/>
    <n v="4"/>
    <n v="155"/>
    <n v="33.009708740000001"/>
    <s v="Uttar Pradesh"/>
  </r>
  <r>
    <n v="1.3430557031576301E+17"/>
    <s v="2025-03-20"/>
    <x v="6"/>
    <x v="1"/>
    <n v="392240"/>
    <n v="7117"/>
    <n v="3"/>
    <n v="181.55339810000001"/>
    <n v="5"/>
    <n v="187"/>
    <n v="45.631067960000003"/>
    <s v="Uttar Pradesh"/>
  </r>
  <r>
    <n v="1.33846075034208E+17"/>
    <s v="2025-03-19"/>
    <x v="6"/>
    <x v="1"/>
    <n v="226005"/>
    <n v="7117"/>
    <n v="3"/>
    <n v="168.93203879999999"/>
    <n v="5"/>
    <n v="174"/>
    <n v="52.42718447"/>
    <s v="Karnataka"/>
  </r>
  <r>
    <n v="1.2891661315611699E+17"/>
    <s v="2025-03-05"/>
    <x v="6"/>
    <x v="6"/>
    <n v="226002"/>
    <n v="7117"/>
    <n v="3"/>
    <n v="191.2621359"/>
    <n v="5"/>
    <n v="197"/>
    <n v="40.776699030000003"/>
    <s v="Telangana"/>
  </r>
  <r>
    <n v="1.3680849954685101E+17"/>
    <s v="2025-03-27"/>
    <x v="6"/>
    <x v="3"/>
    <n v="411060"/>
    <n v="7117"/>
    <n v="3"/>
    <n v="174.7572816"/>
    <n v="5"/>
    <n v="180"/>
    <n v="53.398058249999998"/>
    <s v="Bihar"/>
  </r>
  <r>
    <n v="1.37394315761294E+17"/>
    <s v="2025-03-29"/>
    <x v="6"/>
    <x v="0"/>
    <n v="400043"/>
    <n v="7117"/>
    <n v="3"/>
    <n v="156.31067959999999"/>
    <n v="4"/>
    <n v="161"/>
    <n v="44.660194169999997"/>
    <s v="Uttar Pradesh"/>
  </r>
  <r>
    <n v="1.2942455686842E+17"/>
    <s v="2025-03-07"/>
    <x v="6"/>
    <x v="3"/>
    <n v="151207"/>
    <n v="7117"/>
    <n v="3"/>
    <n v="160.19417480000001"/>
    <n v="4"/>
    <n v="165"/>
    <n v="56.310679610000001"/>
    <s v="Bihar"/>
  </r>
  <r>
    <n v="1.3692062541483299E+17"/>
    <s v="2025-03-28"/>
    <x v="6"/>
    <x v="1"/>
    <n v="411041"/>
    <n v="7117"/>
    <n v="3"/>
    <n v="173.78640780000001"/>
    <n v="5"/>
    <n v="179"/>
    <n v="52.42718447"/>
    <s v="Bihar"/>
  </r>
  <r>
    <n v="1.3163674464269699E+17"/>
    <s v="2025-03-13"/>
    <x v="6"/>
    <x v="1"/>
    <n v="133203"/>
    <n v="7117"/>
    <n v="3"/>
    <n v="177.66990290000001"/>
    <n v="5"/>
    <n v="183"/>
    <n v="56.310679610000001"/>
    <s v="Telangana"/>
  </r>
  <r>
    <n v="1.3546182385097299E+17"/>
    <s v="2025-03-24"/>
    <x v="6"/>
    <x v="1"/>
    <n v="483501"/>
    <n v="330410"/>
    <n v="18"/>
    <n v="225.42372879999999"/>
    <n v="40"/>
    <n v="266"/>
    <n v="40.677966099999999"/>
    <s v="Uttar Pradesh"/>
  </r>
  <r>
    <n v="1.3703220301912701E+17"/>
    <s v="2025-03-28"/>
    <x v="6"/>
    <x v="5"/>
    <n v="500004"/>
    <n v="7117"/>
    <n v="3"/>
    <n v="168.93203879999999"/>
    <n v="5"/>
    <n v="174"/>
    <n v="71.844660189999999"/>
    <s v="Odisha"/>
  </r>
  <r>
    <n v="1.3180914148353699E+17"/>
    <s v="2025-03-13"/>
    <x v="6"/>
    <x v="1"/>
    <n v="473222"/>
    <n v="7117"/>
    <n v="3"/>
    <n v="274.7572816"/>
    <n v="8"/>
    <n v="283"/>
    <n v="56.310679610000001"/>
    <s v="Jharkhand"/>
  </r>
  <r>
    <n v="1.31416007410878E+17"/>
    <s v="2025-03-12"/>
    <x v="6"/>
    <x v="0"/>
    <n v="224190"/>
    <n v="7117"/>
    <n v="3"/>
    <n v="163.1067961"/>
    <n v="4"/>
    <n v="168"/>
    <n v="41.747572820000002"/>
    <s v="Karnataka"/>
  </r>
  <r>
    <n v="1.37558696795768E+17"/>
    <s v="2025-03-29"/>
    <x v="6"/>
    <x v="1"/>
    <n v="562159"/>
    <n v="7117"/>
    <n v="3"/>
    <n v="155.33980579999999"/>
    <n v="4"/>
    <n v="160"/>
    <n v="37.86407767"/>
    <s v="Maharashtra"/>
  </r>
  <r>
    <n v="1.3363556031637901E+17"/>
    <s v="2025-03-18"/>
    <x v="6"/>
    <x v="1"/>
    <n v="824211"/>
    <n v="7117"/>
    <n v="3"/>
    <n v="137.8640777"/>
    <n v="4"/>
    <n v="142"/>
    <n v="37.86407767"/>
    <s v="Andhra Pradesh"/>
  </r>
  <r>
    <n v="1.36058921411314E+17"/>
    <s v="2025-03-25"/>
    <x v="6"/>
    <x v="5"/>
    <n v="273158"/>
    <n v="7117"/>
    <n v="3"/>
    <n v="170.8737864"/>
    <n v="5"/>
    <n v="176"/>
    <n v="53.398058249999998"/>
    <s v="Telangana"/>
  </r>
  <r>
    <n v="1.3738583257996099E+17"/>
    <s v="2025-03-29"/>
    <x v="6"/>
    <x v="6"/>
    <n v="223226"/>
    <n v="7117"/>
    <n v="3"/>
    <n v="85.4368932"/>
    <n v="2"/>
    <n v="88"/>
    <n v="37.86407767"/>
    <s v="Andhra Pradesh"/>
  </r>
  <r>
    <n v="1.2815867617142499E+17"/>
    <s v="2025-03-03"/>
    <x v="6"/>
    <x v="3"/>
    <n v="208013"/>
    <n v="7117"/>
    <n v="3"/>
    <n v="214.56310680000001"/>
    <n v="6"/>
    <n v="221"/>
    <n v="49.514563109999997"/>
    <s v="Gujarat"/>
  </r>
  <r>
    <n v="1.3027846576032899E+17"/>
    <s v="2025-03-09"/>
    <x v="6"/>
    <x v="5"/>
    <n v="160022"/>
    <n v="7117"/>
    <n v="3"/>
    <n v="187.3786408"/>
    <n v="5"/>
    <n v="193"/>
    <n v="40.776699030000003"/>
    <s v="Chhattisgarh"/>
  </r>
  <r>
    <n v="1.32741705605882E+17"/>
    <s v="2025-03-16"/>
    <x v="6"/>
    <x v="3"/>
    <n v="831011"/>
    <n v="7117"/>
    <n v="3"/>
    <n v="146.6019417"/>
    <n v="4"/>
    <n v="151"/>
    <n v="33.009708740000001"/>
    <s v="Rajasthan"/>
  </r>
  <r>
    <n v="1.435193893248E+17"/>
    <s v="2025-04-15"/>
    <x v="7"/>
    <x v="1"/>
    <n v="301704"/>
    <n v="7117"/>
    <n v="3"/>
    <n v="174.7572816"/>
    <n v="5"/>
    <n v="180"/>
    <n v="53.398058249999998"/>
    <s v="Madhya Pradesh"/>
  </r>
  <r>
    <n v="1.4611976025270499E+17"/>
    <s v="2025-04-22"/>
    <x v="7"/>
    <x v="5"/>
    <n v="400055"/>
    <n v="7117"/>
    <n v="3"/>
    <n v="163.1067961"/>
    <n v="4"/>
    <n v="168"/>
    <n v="41.747572820000002"/>
    <s v="Punjab"/>
  </r>
  <r>
    <n v="1.4625338132126301E+17"/>
    <s v="2025-04-22"/>
    <x v="7"/>
    <x v="1"/>
    <n v="392240"/>
    <n v="7117"/>
    <n v="3"/>
    <n v="162.1359223"/>
    <n v="4"/>
    <n v="167"/>
    <n v="44.660194169999997"/>
    <s v="Rajasthan"/>
  </r>
  <r>
    <n v="1.43381128413874E+17"/>
    <s v="2025-04-14"/>
    <x v="7"/>
    <x v="5"/>
    <n v="585103"/>
    <n v="7117"/>
    <n v="3"/>
    <n v="128.15533980000001"/>
    <n v="3"/>
    <n v="132"/>
    <n v="33.980582519999999"/>
    <s v="Rajasthan"/>
  </r>
  <r>
    <n v="1.4514236189627299E+17"/>
    <s v="2025-04-19"/>
    <x v="7"/>
    <x v="1"/>
    <n v="171014"/>
    <n v="330410"/>
    <n v="18"/>
    <n v="201.69491529999999"/>
    <n v="36"/>
    <n v="238"/>
    <n v="44.915254240000003"/>
    <s v="Uttar Pradesh"/>
  </r>
  <r>
    <n v="1.4335628144798E+17"/>
    <s v="2025-04-14"/>
    <x v="7"/>
    <x v="0"/>
    <n v="326034"/>
    <n v="7117"/>
    <n v="3"/>
    <n v="147.57281549999999"/>
    <n v="4"/>
    <n v="152"/>
    <n v="44.660194169999997"/>
    <s v="Rajasthan"/>
  </r>
  <r>
    <n v="1.42942804262722E+17"/>
    <s v="2025-04-13"/>
    <x v="7"/>
    <x v="1"/>
    <n v="560037"/>
    <n v="7117"/>
    <n v="3"/>
    <n v="164.07766989999999"/>
    <n v="4"/>
    <n v="169"/>
    <n v="46.601941750000002"/>
    <s v="Uttar Pradesh"/>
  </r>
  <r>
    <n v="1.4328433849440301E+17"/>
    <s v="2025-04-14"/>
    <x v="7"/>
    <x v="5"/>
    <n v="560078"/>
    <n v="7117"/>
    <n v="3"/>
    <n v="150.4854369"/>
    <n v="4"/>
    <n v="155"/>
    <n v="53.398058249999998"/>
    <s v="Jharkhand"/>
  </r>
  <r>
    <n v="1.4305454240154301E+17"/>
    <s v="2025-04-13"/>
    <x v="7"/>
    <x v="1"/>
    <n v="700006"/>
    <n v="7117"/>
    <n v="18"/>
    <n v="133.0508475"/>
    <n v="23"/>
    <n v="157"/>
    <n v="42.372881360000001"/>
    <s v="Maharashtra"/>
  </r>
  <r>
    <n v="1.4728596672476301E+17"/>
    <s v="2025-04-25"/>
    <x v="7"/>
    <x v="1"/>
    <n v="226016"/>
    <n v="7117"/>
    <n v="3"/>
    <n v="176.69902909999999"/>
    <n v="5"/>
    <n v="182"/>
    <n v="55.339805830000003"/>
    <s v="Jharkhand"/>
  </r>
  <r>
    <n v="1.41791456033894E+17"/>
    <s v="2025-04-10"/>
    <x v="7"/>
    <x v="1"/>
    <n v="440034"/>
    <n v="7117"/>
    <n v="3"/>
    <n v="218.44660189999999"/>
    <n v="6"/>
    <n v="225"/>
    <n v="53.398058249999998"/>
    <s v="Madhya Pradesh"/>
  </r>
  <r>
    <n v="1.42305404977304E+17"/>
    <s v="2025-04-11"/>
    <x v="7"/>
    <x v="3"/>
    <n v="845401"/>
    <n v="7117"/>
    <n v="3"/>
    <n v="163.1067961"/>
    <n v="4"/>
    <n v="168"/>
    <n v="45.631067960000003"/>
    <s v="Punjab"/>
  </r>
  <r>
    <n v="1.43016672017142E+17"/>
    <s v="2025-04-13"/>
    <x v="7"/>
    <x v="1"/>
    <n v="121002"/>
    <n v="7117"/>
    <n v="3"/>
    <n v="156.31067959999999"/>
    <n v="4"/>
    <n v="161"/>
    <n v="38.834951459999999"/>
    <s v="Andhra Pradesh"/>
  </r>
  <r>
    <n v="1.4583699744977901E+17"/>
    <s v="2025-04-21"/>
    <x v="7"/>
    <x v="1"/>
    <n v="801109"/>
    <n v="7117"/>
    <n v="3"/>
    <n v="156.31067959999999"/>
    <n v="4"/>
    <n v="161"/>
    <n v="38.834951459999999"/>
    <s v="Maharashtra"/>
  </r>
  <r>
    <n v="1.42236954562038E+17"/>
    <s v="2025-04-11"/>
    <x v="7"/>
    <x v="3"/>
    <n v="274702"/>
    <n v="7117"/>
    <n v="18"/>
    <n v="106.779661"/>
    <n v="19"/>
    <n v="126"/>
    <n v="35.593220340000002"/>
    <s v="Maharashtra"/>
  </r>
  <r>
    <n v="1.42835994429332E+17"/>
    <s v="2025-04-13"/>
    <x v="7"/>
    <x v="3"/>
    <n v="208021"/>
    <n v="7117"/>
    <n v="3"/>
    <n v="172.81553400000001"/>
    <n v="5"/>
    <n v="178"/>
    <n v="55.339805830000003"/>
    <s v="Telangana"/>
  </r>
  <r>
    <n v="1.4751421053989798E+17"/>
    <s v="2025-04-26"/>
    <x v="7"/>
    <x v="3"/>
    <n v="517501"/>
    <n v="7117"/>
    <n v="3"/>
    <n v="167.96116499999999"/>
    <n v="5"/>
    <n v="173"/>
    <n v="46.601941750000002"/>
    <s v="Uttar Pradesh"/>
  </r>
  <r>
    <n v="1.45216631994784E+17"/>
    <s v="2025-04-19"/>
    <x v="7"/>
    <x v="2"/>
    <n v="500011"/>
    <n v="7117"/>
    <n v="3"/>
    <n v="170.8737864"/>
    <n v="5"/>
    <n v="176"/>
    <n v="53.398058249999998"/>
    <s v="Bihar"/>
  </r>
  <r>
    <n v="1.4318352723916301E+17"/>
    <s v="2025-04-14"/>
    <x v="7"/>
    <x v="1"/>
    <n v="641654"/>
    <n v="7117"/>
    <n v="3"/>
    <n v="173.78640780000001"/>
    <n v="5"/>
    <n v="179"/>
    <n v="52.42718447"/>
    <s v="Chhattisgarh"/>
  </r>
  <r>
    <n v="1.4221605652497101E+17"/>
    <s v="2025-04-11"/>
    <x v="7"/>
    <x v="1"/>
    <n v="201009"/>
    <n v="7117"/>
    <n v="3"/>
    <n v="100.97087380000001"/>
    <n v="3"/>
    <n v="104"/>
    <n v="38.834951459999999"/>
    <s v="Tamil Nadu"/>
  </r>
  <r>
    <n v="1.4919395521210202E+17"/>
    <s v="2025-04-30"/>
    <x v="7"/>
    <x v="3"/>
    <n v="143507"/>
    <n v="7117"/>
    <n v="3"/>
    <n v="134.95145629999999"/>
    <n v="4"/>
    <n v="139"/>
    <n v="40.776699030000003"/>
    <s v="Uttar Pradesh"/>
  </r>
  <r>
    <n v="1.4728435798307802E+17"/>
    <s v="2025-04-25"/>
    <x v="7"/>
    <x v="2"/>
    <n v="843313"/>
    <n v="7117"/>
    <n v="3"/>
    <n v="162.1359223"/>
    <n v="4"/>
    <n v="167"/>
    <n v="40.776699030000003"/>
    <s v="Uttar Pradesh"/>
  </r>
  <r>
    <n v="1.41823663804142E+17"/>
    <s v="2025-04-10"/>
    <x v="7"/>
    <x v="1"/>
    <n v="302013"/>
    <n v="7117"/>
    <n v="3"/>
    <n v="169.90291260000001"/>
    <n v="5"/>
    <n v="175"/>
    <n v="52.42718447"/>
    <s v="Uttar Pradesh"/>
  </r>
  <r>
    <n v="1.42191758553772E+17"/>
    <s v="2025-04-11"/>
    <x v="7"/>
    <x v="1"/>
    <n v="421204"/>
    <n v="7117"/>
    <n v="3"/>
    <n v="175.7281553"/>
    <n v="5"/>
    <n v="181"/>
    <n v="58.252427179999998"/>
    <s v="Jharkhand"/>
  </r>
  <r>
    <n v="1.4253893620695699E+17"/>
    <s v="2025-04-12"/>
    <x v="7"/>
    <x v="5"/>
    <n v="110092"/>
    <n v="7117"/>
    <n v="3"/>
    <n v="124.2718447"/>
    <n v="3"/>
    <n v="128"/>
    <n v="44.660194169999997"/>
    <s v="Uttar Pradesh"/>
  </r>
  <r>
    <n v="1.4405437377307901E+17"/>
    <s v="2025-04-16"/>
    <x v="7"/>
    <x v="1"/>
    <n v="700066"/>
    <n v="7117"/>
    <n v="3"/>
    <n v="170.8737864"/>
    <n v="5"/>
    <n v="176"/>
    <n v="53.398058249999998"/>
    <s v="Bihar"/>
  </r>
  <r>
    <n v="1.4741168184901699E+17"/>
    <s v="2025-04-26"/>
    <x v="7"/>
    <x v="1"/>
    <n v="271123"/>
    <n v="7117"/>
    <n v="3"/>
    <n v="133.9805825"/>
    <n v="4"/>
    <n v="138"/>
    <n v="39.805825239999997"/>
    <s v="Maharashtra"/>
  </r>
  <r>
    <n v="1.39385363327396E+17"/>
    <s v="2025-04-03"/>
    <x v="7"/>
    <x v="2"/>
    <n v="247129"/>
    <n v="7117"/>
    <n v="3"/>
    <n v="173.78640780000001"/>
    <n v="5"/>
    <n v="179"/>
    <n v="52.42718447"/>
    <s v="Maharashtra"/>
  </r>
  <r>
    <n v="1.3921930672541E+17"/>
    <s v="2025-04-03"/>
    <x v="7"/>
    <x v="1"/>
    <n v="211003"/>
    <n v="7117"/>
    <n v="3"/>
    <n v="167.96116499999999"/>
    <n v="5"/>
    <n v="173"/>
    <n v="46.601941750000002"/>
    <s v="Andhra Pradesh"/>
  </r>
  <r>
    <n v="1.42148594395716E+17"/>
    <s v="2025-04-11"/>
    <x v="7"/>
    <x v="1"/>
    <n v="176092"/>
    <n v="7117"/>
    <n v="3"/>
    <n v="161.16504850000001"/>
    <n v="4"/>
    <n v="166"/>
    <n v="39.805825239999997"/>
    <s v="Uttar Pradesh"/>
  </r>
  <r>
    <n v="1.39368130858816E+17"/>
    <s v="2025-04-03"/>
    <x v="7"/>
    <x v="1"/>
    <n v="457222"/>
    <n v="7117"/>
    <n v="3"/>
    <n v="150.4854369"/>
    <n v="4"/>
    <n v="155"/>
    <n v="33.009708740000001"/>
    <s v="Uttar Pradesh"/>
  </r>
  <r>
    <n v="1.44099990155464E+17"/>
    <s v="2025-04-16"/>
    <x v="7"/>
    <x v="6"/>
    <n v="223226"/>
    <n v="7117"/>
    <n v="3"/>
    <n v="169.90291260000001"/>
    <n v="5"/>
    <n v="175"/>
    <n v="48.543689319999999"/>
    <s v="Chhattisgarh"/>
  </r>
  <r>
    <n v="1.40780902880484E+17"/>
    <s v="2025-04-07"/>
    <x v="7"/>
    <x v="1"/>
    <n v="400066"/>
    <n v="7117"/>
    <n v="3"/>
    <n v="173.78640780000001"/>
    <n v="5"/>
    <n v="179"/>
    <n v="52.42718447"/>
    <s v="Karnataka"/>
  </r>
  <r>
    <n v="1.4580823880144998E+17"/>
    <s v="2025-04-21"/>
    <x v="7"/>
    <x v="1"/>
    <n v="800016"/>
    <n v="7117"/>
    <n v="3"/>
    <n v="152.42718450000001"/>
    <n v="4"/>
    <n v="157"/>
    <n v="34.951456309999998"/>
    <s v="Madhya Pradesh"/>
  </r>
  <r>
    <n v="1.4042040018119299E+17"/>
    <s v="2025-04-06"/>
    <x v="7"/>
    <x v="6"/>
    <n v="560087"/>
    <n v="7117"/>
    <n v="3"/>
    <n v="161.16504850000001"/>
    <n v="4"/>
    <n v="166"/>
    <n v="45.631067960000003"/>
    <s v="Uttarakhand"/>
  </r>
  <r>
    <n v="1.4838010612020602E+17"/>
    <s v="2025-04-28"/>
    <x v="7"/>
    <x v="0"/>
    <n v="400066"/>
    <n v="7117"/>
    <n v="3"/>
    <n v="171.84466019999999"/>
    <n v="5"/>
    <n v="177"/>
    <n v="50.485436890000003"/>
    <s v="Bihar"/>
  </r>
  <r>
    <n v="1.4209639673219901E+17"/>
    <s v="2025-04-11"/>
    <x v="7"/>
    <x v="2"/>
    <n v="585104"/>
    <n v="7117"/>
    <n v="3"/>
    <n v="152.42718450000001"/>
    <n v="4"/>
    <n v="157"/>
    <n v="34.951456309999998"/>
    <s v="Uttar Pradesh"/>
  </r>
  <r>
    <n v="1.42196063080188E+17"/>
    <s v="2025-04-11"/>
    <x v="7"/>
    <x v="1"/>
    <n v="400053"/>
    <n v="7117"/>
    <n v="3"/>
    <n v="186.40776700000001"/>
    <n v="5"/>
    <n v="192"/>
    <n v="67.961165050000005"/>
    <s v="Madhya Pradesh"/>
  </r>
  <r>
    <n v="1.4084888052761E+17"/>
    <s v="2025-04-07"/>
    <x v="7"/>
    <x v="1"/>
    <n v="781026"/>
    <n v="7117"/>
    <n v="3"/>
    <n v="169.90291260000001"/>
    <n v="5"/>
    <n v="175"/>
    <n v="52.42718447"/>
    <s v="West Bengal"/>
  </r>
  <r>
    <n v="1.4832829385353299E+17"/>
    <s v="2025-04-28"/>
    <x v="7"/>
    <x v="2"/>
    <n v="110030"/>
    <n v="7117"/>
    <n v="3"/>
    <n v="166.0194175"/>
    <n v="4"/>
    <n v="171"/>
    <n v="62.13592233"/>
    <s v="Bihar"/>
  </r>
  <r>
    <n v="1.4652757925517699E+17"/>
    <s v="2025-04-23"/>
    <x v="7"/>
    <x v="1"/>
    <n v="274702"/>
    <n v="7117"/>
    <n v="3"/>
    <n v="157.28155340000001"/>
    <n v="4"/>
    <n v="162"/>
    <n v="39.805825239999997"/>
    <s v="Karnataka"/>
  </r>
  <r>
    <n v="1.4079388496859E+17"/>
    <s v="2025-04-07"/>
    <x v="7"/>
    <x v="3"/>
    <n v="160101"/>
    <n v="7117"/>
    <n v="3"/>
    <n v="150.4854369"/>
    <n v="4"/>
    <n v="155"/>
    <n v="33.009708740000001"/>
    <s v="Rajasthan"/>
  </r>
  <r>
    <n v="1.4524731743154701E+17"/>
    <s v="2025-04-20"/>
    <x v="7"/>
    <x v="2"/>
    <n v="302025"/>
    <n v="7117"/>
    <n v="3"/>
    <n v="163.1067961"/>
    <n v="4"/>
    <n v="168"/>
    <n v="45.631067960000003"/>
    <s v="Karnataka"/>
  </r>
  <r>
    <n v="1.4045654476747699E+17"/>
    <s v="2025-04-06"/>
    <x v="7"/>
    <x v="1"/>
    <n v="841402"/>
    <n v="7117"/>
    <n v="3"/>
    <n v="149.5145631"/>
    <n v="4"/>
    <n v="154"/>
    <n v="37.86407767"/>
    <s v="Jharkhand"/>
  </r>
  <r>
    <n v="1.40849219527876E+17"/>
    <s v="2025-04-07"/>
    <x v="7"/>
    <x v="1"/>
    <n v="562123"/>
    <n v="7117"/>
    <n v="3"/>
    <n v="146.6019417"/>
    <n v="4"/>
    <n v="151"/>
    <n v="52.42718447"/>
    <s v="Gujarat"/>
  </r>
  <r>
    <n v="1.4015716149019E+17"/>
    <s v="2025-04-05"/>
    <x v="7"/>
    <x v="1"/>
    <n v="121008"/>
    <n v="7117"/>
    <n v="3"/>
    <n v="127.184466"/>
    <n v="3"/>
    <n v="131"/>
    <n v="33.009708740000001"/>
    <s v="Uttarakhand"/>
  </r>
  <r>
    <n v="1.4281994155705E+17"/>
    <s v="2025-04-13"/>
    <x v="7"/>
    <x v="1"/>
    <n v="474010"/>
    <n v="7117"/>
    <n v="3"/>
    <n v="162.1359223"/>
    <n v="4"/>
    <n v="167"/>
    <n v="40.776699030000003"/>
    <s v="Uttar Pradesh"/>
  </r>
  <r>
    <n v="1.4331169178139699E+17"/>
    <s v="2025-04-14"/>
    <x v="7"/>
    <x v="3"/>
    <n v="402103"/>
    <n v="7117"/>
    <n v="3"/>
    <n v="161.16504850000001"/>
    <n v="4"/>
    <n v="166"/>
    <n v="39.805825239999997"/>
    <s v="Uttar Pradesh"/>
  </r>
  <r>
    <n v="1.4281879787496701E+17"/>
    <s v="2025-04-13"/>
    <x v="7"/>
    <x v="1"/>
    <n v="575007"/>
    <n v="7117"/>
    <n v="3"/>
    <n v="160.19417480000001"/>
    <n v="4"/>
    <n v="165"/>
    <n v="42.7184466"/>
    <s v="Maharashtra"/>
  </r>
  <r>
    <n v="1.42601316958098E+17"/>
    <s v="2025-04-12"/>
    <x v="7"/>
    <x v="2"/>
    <n v="844112"/>
    <n v="7117"/>
    <n v="3"/>
    <n v="162.1359223"/>
    <n v="4"/>
    <n v="167"/>
    <n v="44.660194169999997"/>
    <s v="Rajasthan"/>
  </r>
  <r>
    <n v="1.4246005103014301E+17"/>
    <s v="2025-04-12"/>
    <x v="7"/>
    <x v="3"/>
    <n v="402103"/>
    <n v="7117"/>
    <n v="3"/>
    <n v="150.4854369"/>
    <n v="4"/>
    <n v="155"/>
    <n v="33.009708740000001"/>
    <s v="Uttar Pradesh"/>
  </r>
  <r>
    <n v="1.4398232204368899E+17"/>
    <s v="2025-04-16"/>
    <x v="7"/>
    <x v="1"/>
    <n v="560032"/>
    <n v="7117"/>
    <n v="3"/>
    <n v="150.4854369"/>
    <n v="4"/>
    <n v="155"/>
    <n v="33.009708740000001"/>
    <s v="Uttar Pradesh"/>
  </r>
  <r>
    <n v="1.441815118591E+17"/>
    <s v="2025-04-17"/>
    <x v="7"/>
    <x v="1"/>
    <n v="560037"/>
    <n v="7117"/>
    <n v="3"/>
    <n v="157.28155340000001"/>
    <n v="4"/>
    <n v="162"/>
    <n v="39.805825239999997"/>
    <s v="Maharashtra"/>
  </r>
  <r>
    <n v="1.42908802962398E+17"/>
    <s v="2025-04-13"/>
    <x v="7"/>
    <x v="1"/>
    <n v="151204"/>
    <n v="7117"/>
    <n v="3"/>
    <n v="155.33980579999999"/>
    <n v="4"/>
    <n v="160"/>
    <n v="37.86407767"/>
    <s v="Bihar"/>
  </r>
  <r>
    <n v="1.4505017345402202E+17"/>
    <s v="2025-04-19"/>
    <x v="7"/>
    <x v="0"/>
    <n v="227806"/>
    <n v="7117"/>
    <n v="3"/>
    <n v="171.84466019999999"/>
    <n v="5"/>
    <n v="177"/>
    <n v="50.485436890000003"/>
    <s v="Bihar"/>
  </r>
  <r>
    <n v="1.4815673614667002E+17"/>
    <s v="2025-04-28"/>
    <x v="7"/>
    <x v="1"/>
    <n v="396424"/>
    <n v="7117"/>
    <n v="3"/>
    <n v="202.91262140000001"/>
    <n v="6"/>
    <n v="209"/>
    <n v="81.553398060000006"/>
    <s v="Bihar"/>
  </r>
  <r>
    <n v="1.4537101158542598E+17"/>
    <s v="2025-04-20"/>
    <x v="7"/>
    <x v="3"/>
    <n v="402103"/>
    <n v="7117"/>
    <n v="3"/>
    <n v="191.2621359"/>
    <n v="5"/>
    <n v="197"/>
    <n v="69.902912619999995"/>
    <s v="Madhya Pradesh"/>
  </r>
  <r>
    <n v="1.4516023605969402E+17"/>
    <s v="2025-04-19"/>
    <x v="7"/>
    <x v="3"/>
    <n v="829117"/>
    <n v="7117"/>
    <n v="3"/>
    <n v="157.28155340000001"/>
    <n v="4"/>
    <n v="162"/>
    <n v="53.398058249999998"/>
    <s v="Bihar"/>
  </r>
  <r>
    <n v="1.450257019593E+17"/>
    <s v="2025-04-19"/>
    <x v="7"/>
    <x v="5"/>
    <n v="221010"/>
    <n v="7117"/>
    <n v="3"/>
    <n v="114.5631068"/>
    <n v="3"/>
    <n v="118"/>
    <n v="38.834951459999999"/>
    <s v="Maharashtra"/>
  </r>
  <r>
    <n v="1.42931664736558E+17"/>
    <s v="2025-04-13"/>
    <x v="7"/>
    <x v="3"/>
    <n v="431203"/>
    <n v="7117"/>
    <n v="3"/>
    <n v="135.92233010000001"/>
    <n v="4"/>
    <n v="140"/>
    <n v="41.747572820000002"/>
    <s v="Chhattisgarh"/>
  </r>
  <r>
    <n v="1.4072426893243299E+17"/>
    <s v="2025-04-07"/>
    <x v="7"/>
    <x v="1"/>
    <n v="110091"/>
    <n v="7117"/>
    <n v="3"/>
    <n v="167.96116499999999"/>
    <n v="5"/>
    <n v="173"/>
    <n v="50.485436890000003"/>
    <s v="Gujarat"/>
  </r>
  <r>
    <n v="1.4507424569737798E+17"/>
    <s v="2025-04-19"/>
    <x v="7"/>
    <x v="2"/>
    <n v="221306"/>
    <n v="7117"/>
    <n v="3"/>
    <n v="167.96116499999999"/>
    <n v="5"/>
    <n v="173"/>
    <n v="46.601941750000002"/>
    <s v="Delhi"/>
  </r>
  <r>
    <n v="1.4770098014974899E+17"/>
    <s v="2025-04-26"/>
    <x v="7"/>
    <x v="1"/>
    <n v="474010"/>
    <n v="7117"/>
    <n v="3"/>
    <n v="156.31067959999999"/>
    <n v="4"/>
    <n v="161"/>
    <n v="38.834951459999999"/>
    <s v="Karnataka"/>
  </r>
  <r>
    <n v="1.3960972725155699E+17"/>
    <s v="2025-04-04"/>
    <x v="7"/>
    <x v="3"/>
    <n v="587101"/>
    <n v="7117"/>
    <n v="3"/>
    <n v="173.78640780000001"/>
    <n v="5"/>
    <n v="179"/>
    <n v="52.42718447"/>
    <s v="Punjab"/>
  </r>
  <r>
    <n v="1.4033426561047101E+17"/>
    <s v="2025-04-06"/>
    <x v="7"/>
    <x v="1"/>
    <n v="143109"/>
    <n v="7117"/>
    <n v="3"/>
    <n v="154.368932"/>
    <n v="4"/>
    <n v="159"/>
    <n v="38.834951459999999"/>
    <s v="Pondicherry"/>
  </r>
  <r>
    <n v="1.45178225106652E+17"/>
    <s v="2025-04-19"/>
    <x v="7"/>
    <x v="5"/>
    <n v="495557"/>
    <n v="7117"/>
    <n v="3"/>
    <n v="144.66019420000001"/>
    <n v="4"/>
    <n v="149"/>
    <n v="37.86407767"/>
    <s v="West Bengal"/>
  </r>
  <r>
    <n v="1.42981043121134E+17"/>
    <s v="2025-04-13"/>
    <x v="7"/>
    <x v="1"/>
    <n v="211019"/>
    <n v="7117"/>
    <n v="3"/>
    <n v="151.45631069999999"/>
    <n v="4"/>
    <n v="156"/>
    <n v="33.980582519999999"/>
    <s v="Delhi"/>
  </r>
  <r>
    <n v="1.4039140446271299E+17"/>
    <s v="2025-04-06"/>
    <x v="7"/>
    <x v="1"/>
    <n v="844503"/>
    <n v="7117"/>
    <n v="3"/>
    <n v="123.3009709"/>
    <n v="3"/>
    <n v="127"/>
    <n v="33.009708740000001"/>
    <s v="Uttar Pradesh"/>
  </r>
  <r>
    <n v="1.4249776323399501E+17"/>
    <s v="2025-04-12"/>
    <x v="7"/>
    <x v="3"/>
    <n v="824102"/>
    <n v="7117"/>
    <n v="3"/>
    <n v="164.07766989999999"/>
    <n v="4"/>
    <n v="169"/>
    <n v="42.7184466"/>
    <s v="Odisha"/>
  </r>
  <r>
    <n v="1.4434345246412701E+17"/>
    <s v="2025-04-17"/>
    <x v="7"/>
    <x v="1"/>
    <n v="243726"/>
    <n v="7117"/>
    <n v="3"/>
    <n v="170.8737864"/>
    <n v="5"/>
    <n v="176"/>
    <n v="53.398058249999998"/>
    <s v="Bihar"/>
  </r>
  <r>
    <n v="1.4655880034511002E+17"/>
    <s v="2025-04-23"/>
    <x v="7"/>
    <x v="1"/>
    <n v="210204"/>
    <n v="7117"/>
    <n v="3"/>
    <n v="174.7572816"/>
    <n v="5"/>
    <n v="180"/>
    <n v="53.398058249999998"/>
    <s v="Jharkhand"/>
  </r>
  <r>
    <n v="1.4653692781161798E+17"/>
    <s v="2025-04-23"/>
    <x v="7"/>
    <x v="3"/>
    <n v="185211"/>
    <n v="7117"/>
    <n v="3"/>
    <n v="167.96116499999999"/>
    <n v="5"/>
    <n v="173"/>
    <n v="46.601941750000002"/>
    <s v="Uttar Pradesh"/>
  </r>
  <r>
    <n v="1.4510262159419501E+17"/>
    <s v="2025-04-19"/>
    <x v="7"/>
    <x v="1"/>
    <n v="791109"/>
    <n v="7117"/>
    <n v="3"/>
    <n v="165.04854370000001"/>
    <n v="4"/>
    <n v="170"/>
    <n v="47.57281553"/>
    <s v="Uttar Pradesh"/>
  </r>
  <r>
    <n v="1.4479964192594899E+17"/>
    <s v="2025-04-18"/>
    <x v="7"/>
    <x v="3"/>
    <n v="400068"/>
    <n v="7117"/>
    <n v="3"/>
    <n v="148.54368930000001"/>
    <n v="4"/>
    <n v="153"/>
    <n v="45.631067960000003"/>
    <s v="Rajasthan"/>
  </r>
  <r>
    <n v="1.43605926749426E+17"/>
    <s v="2025-04-15"/>
    <x v="7"/>
    <x v="1"/>
    <n v="122004"/>
    <n v="7117"/>
    <n v="3"/>
    <n v="154.368932"/>
    <n v="4"/>
    <n v="159"/>
    <n v="50.485436890000003"/>
    <s v="Jharkhand"/>
  </r>
  <r>
    <n v="1.4576394336538E+17"/>
    <s v="2025-04-21"/>
    <x v="7"/>
    <x v="1"/>
    <n v="475671"/>
    <n v="7117"/>
    <n v="3"/>
    <n v="159.22330099999999"/>
    <n v="4"/>
    <n v="164"/>
    <n v="55.339805830000003"/>
    <s v="Bihar"/>
  </r>
  <r>
    <n v="1.4188000158201299E+17"/>
    <s v="2025-04-10"/>
    <x v="7"/>
    <x v="1"/>
    <n v="688535"/>
    <n v="7117"/>
    <n v="3"/>
    <n v="177.66990290000001"/>
    <n v="5"/>
    <n v="183"/>
    <n v="56.310679610000001"/>
    <s v="Karnataka"/>
  </r>
  <r>
    <n v="1.4799294097034598E+17"/>
    <s v="2025-04-27"/>
    <x v="7"/>
    <x v="1"/>
    <n v="110091"/>
    <n v="7117"/>
    <n v="3"/>
    <n v="171.84466019999999"/>
    <n v="5"/>
    <n v="177"/>
    <n v="50.485436890000003"/>
    <s v="Bihar"/>
  </r>
  <r>
    <n v="1.4484827887109798E+17"/>
    <s v="2025-04-18"/>
    <x v="7"/>
    <x v="1"/>
    <n v="335001"/>
    <n v="7117"/>
    <n v="3"/>
    <n v="156.31067959999999"/>
    <n v="4"/>
    <n v="161"/>
    <n v="38.834951459999999"/>
    <s v="Maharashtra"/>
  </r>
  <r>
    <n v="1.4467677435786598E+17"/>
    <s v="2025-04-18"/>
    <x v="7"/>
    <x v="1"/>
    <n v="412115"/>
    <n v="7117"/>
    <n v="3"/>
    <n v="155.33980579999999"/>
    <n v="4"/>
    <n v="160"/>
    <n v="33.980582519999999"/>
    <s v="Uttar Pradesh"/>
  </r>
  <r>
    <n v="1.4411024082053E+17"/>
    <s v="2025-04-16"/>
    <x v="7"/>
    <x v="1"/>
    <n v="208011"/>
    <n v="7117"/>
    <n v="3"/>
    <n v="156.31067959999999"/>
    <n v="4"/>
    <n v="161"/>
    <n v="38.834951459999999"/>
    <s v="Maharashtra"/>
  </r>
  <r>
    <n v="1.4408768881961E+17"/>
    <s v="2025-04-16"/>
    <x v="7"/>
    <x v="1"/>
    <n v="803116"/>
    <n v="7117"/>
    <n v="3"/>
    <n v="170.8737864"/>
    <n v="5"/>
    <n v="176"/>
    <n v="53.398058249999998"/>
    <s v="Bihar"/>
  </r>
  <r>
    <n v="1.4433887770836602E+17"/>
    <s v="2025-04-17"/>
    <x v="7"/>
    <x v="2"/>
    <n v="486001"/>
    <n v="7117"/>
    <n v="3"/>
    <n v="175.7281553"/>
    <n v="5"/>
    <n v="181"/>
    <n v="54.368932039999997"/>
    <s v="Rajasthan"/>
  </r>
  <r>
    <n v="1.4665075403925101E+17"/>
    <s v="2025-04-23"/>
    <x v="7"/>
    <x v="4"/>
    <n v="110042"/>
    <n v="7117"/>
    <n v="3"/>
    <n v="196.1165049"/>
    <n v="5"/>
    <n v="202"/>
    <n v="74.757281550000002"/>
    <s v="Madhya Pradesh"/>
  </r>
  <r>
    <n v="1.46512531390744E+17"/>
    <s v="2025-04-23"/>
    <x v="7"/>
    <x v="3"/>
    <n v="522101"/>
    <n v="7117"/>
    <n v="3"/>
    <n v="187.3786408"/>
    <n v="5"/>
    <n v="193"/>
    <n v="46.601941750000002"/>
    <s v="Rajasthan"/>
  </r>
  <r>
    <n v="1.39394529619448E+17"/>
    <s v="2025-04-03"/>
    <x v="7"/>
    <x v="2"/>
    <n v="456664"/>
    <n v="7117"/>
    <n v="3"/>
    <n v="152.42718450000001"/>
    <n v="4"/>
    <n v="157"/>
    <n v="48.543689319999999"/>
    <s v="Madhya Pradesh"/>
  </r>
  <r>
    <n v="1.4338261426703699E+17"/>
    <s v="2025-04-14"/>
    <x v="7"/>
    <x v="1"/>
    <n v="276121"/>
    <n v="7117"/>
    <n v="3"/>
    <n v="185.43689319999999"/>
    <n v="5"/>
    <n v="191"/>
    <n v="64.077669900000004"/>
    <s v="Jammu And Kashmir"/>
  </r>
  <r>
    <n v="1.41959272674488E+17"/>
    <s v="2025-04-10"/>
    <x v="7"/>
    <x v="1"/>
    <n v="110059"/>
    <n v="7117"/>
    <n v="3"/>
    <n v="161.16504850000001"/>
    <n v="4"/>
    <n v="166"/>
    <n v="53.398058249999998"/>
    <s v="Chhattisgarh"/>
  </r>
  <r>
    <n v="1.44095563507994E+17"/>
    <s v="2025-04-16"/>
    <x v="7"/>
    <x v="1"/>
    <n v="344031"/>
    <n v="7117"/>
    <n v="3"/>
    <n v="179.6116505"/>
    <n v="5"/>
    <n v="185"/>
    <n v="62.13592233"/>
    <s v="Andhra Pradesh"/>
  </r>
  <r>
    <n v="1.4834713129068701E+17"/>
    <s v="2025-04-28"/>
    <x v="7"/>
    <x v="1"/>
    <n v="848502"/>
    <n v="7117"/>
    <n v="3"/>
    <n v="140.77669900000001"/>
    <n v="4"/>
    <n v="145"/>
    <n v="36.893203880000002"/>
    <s v="Uttar Pradesh"/>
  </r>
  <r>
    <n v="1.4153310411177101E+17"/>
    <s v="2025-04-09"/>
    <x v="7"/>
    <x v="5"/>
    <n v="400055"/>
    <n v="7117"/>
    <n v="3"/>
    <n v="320.3883495"/>
    <n v="9"/>
    <n v="330"/>
    <n v="67.961165050000005"/>
    <s v="Uttar Pradesh"/>
  </r>
  <r>
    <n v="1.3939144025313501E+17"/>
    <s v="2025-04-03"/>
    <x v="7"/>
    <x v="5"/>
    <n v="184121"/>
    <n v="7117"/>
    <n v="3"/>
    <n v="169.90291260000001"/>
    <n v="5"/>
    <n v="175"/>
    <n v="52.42718447"/>
    <s v="Maharashtra"/>
  </r>
  <r>
    <n v="1.41530565023732E+17"/>
    <s v="2025-04-09"/>
    <x v="7"/>
    <x v="1"/>
    <n v="410210"/>
    <n v="7117"/>
    <n v="3"/>
    <n v="143.68932040000001"/>
    <n v="4"/>
    <n v="148"/>
    <n v="39.805825239999997"/>
    <s v="Uttar Pradesh"/>
  </r>
  <r>
    <n v="1.44817755019384E+17"/>
    <s v="2025-04-18"/>
    <x v="7"/>
    <x v="3"/>
    <n v="803116"/>
    <n v="7117"/>
    <n v="3"/>
    <n v="156.31067959999999"/>
    <n v="4"/>
    <n v="161"/>
    <n v="38.834951459999999"/>
    <s v="Gujarat"/>
  </r>
  <r>
    <n v="1.4179613856649E+17"/>
    <s v="2025-04-10"/>
    <x v="7"/>
    <x v="2"/>
    <n v="791110"/>
    <n v="7117"/>
    <n v="3"/>
    <n v="168.93203879999999"/>
    <n v="5"/>
    <n v="174"/>
    <n v="47.57281553"/>
    <s v="Rajasthan"/>
  </r>
  <r>
    <n v="1.4861748051152198E+17"/>
    <s v="2025-04-29"/>
    <x v="7"/>
    <x v="1"/>
    <n v="752055"/>
    <n v="7117"/>
    <n v="3"/>
    <n v="162.1359223"/>
    <n v="4"/>
    <n v="167"/>
    <n v="40.776699030000003"/>
    <s v="Uttar Pradesh"/>
  </r>
  <r>
    <n v="1.4552223474300301E+17"/>
    <s v="2025-04-20"/>
    <x v="7"/>
    <x v="1"/>
    <n v="751024"/>
    <n v="7117"/>
    <n v="3"/>
    <n v="133.0097087"/>
    <n v="3"/>
    <n v="137"/>
    <n v="38.834951459999999"/>
    <s v="Bihar"/>
  </r>
  <r>
    <n v="1.4369152925287101E+17"/>
    <s v="2025-04-15"/>
    <x v="7"/>
    <x v="3"/>
    <n v="140603"/>
    <n v="7117"/>
    <n v="3"/>
    <n v="166.0194175"/>
    <n v="4"/>
    <n v="171"/>
    <n v="71.844660189999999"/>
    <s v="Himachal Pradesh"/>
  </r>
  <r>
    <n v="1.41531812799812E+17"/>
    <s v="2025-04-09"/>
    <x v="7"/>
    <x v="1"/>
    <n v="211006"/>
    <n v="7117"/>
    <n v="3"/>
    <n v="154.368932"/>
    <n v="4"/>
    <n v="159"/>
    <n v="33.009708740000001"/>
    <s v="Uttar Pradesh"/>
  </r>
  <r>
    <n v="1.43658022497284E+17"/>
    <s v="2025-04-15"/>
    <x v="7"/>
    <x v="3"/>
    <n v="751009"/>
    <n v="7117"/>
    <n v="3"/>
    <n v="162.1359223"/>
    <n v="4"/>
    <n v="167"/>
    <n v="40.776699030000003"/>
    <s v="Uttar Pradesh"/>
  </r>
  <r>
    <n v="1.4153339536523699E+17"/>
    <s v="2025-04-09"/>
    <x v="7"/>
    <x v="1"/>
    <n v="560098"/>
    <n v="7117"/>
    <n v="3"/>
    <n v="300.97087379999999"/>
    <n v="9"/>
    <n v="310"/>
    <n v="66.019417480000001"/>
    <s v="Uttar Pradesh"/>
  </r>
  <r>
    <n v="1.49089430082848E+17"/>
    <s v="2025-04-30"/>
    <x v="7"/>
    <x v="1"/>
    <n v="261135"/>
    <n v="7117"/>
    <n v="3"/>
    <n v="152.42718450000001"/>
    <n v="4"/>
    <n v="157"/>
    <n v="48.543689319999999"/>
    <s v="Madhya Pradesh"/>
  </r>
  <r>
    <n v="1.4519871388742701E+17"/>
    <s v="2025-04-19"/>
    <x v="7"/>
    <x v="3"/>
    <n v="744101"/>
    <n v="7117"/>
    <n v="3"/>
    <n v="162.1359223"/>
    <n v="4"/>
    <n v="167"/>
    <n v="44.660194169999997"/>
    <s v="Odisha"/>
  </r>
  <r>
    <n v="1.4834008270409299E+17"/>
    <s v="2025-04-28"/>
    <x v="7"/>
    <x v="2"/>
    <n v="509338"/>
    <n v="7117"/>
    <n v="3"/>
    <n v="312.62135919999997"/>
    <n v="9"/>
    <n v="322"/>
    <n v="77.669902910000005"/>
    <s v="Odisha"/>
  </r>
  <r>
    <n v="1.49185141620444E+17"/>
    <s v="2025-04-30"/>
    <x v="7"/>
    <x v="1"/>
    <n v="221712"/>
    <n v="7117"/>
    <n v="3"/>
    <n v="167.96116499999999"/>
    <n v="5"/>
    <n v="173"/>
    <n v="46.601941750000002"/>
    <s v="Uttar Pradesh"/>
  </r>
  <r>
    <n v="1.4797723246261402E+17"/>
    <s v="2025-04-27"/>
    <x v="7"/>
    <x v="2"/>
    <n v="324008"/>
    <n v="7117"/>
    <n v="3"/>
    <n v="157.28155340000001"/>
    <n v="4"/>
    <n v="162"/>
    <n v="53.398058249999998"/>
    <s v="Bihar"/>
  </r>
  <r>
    <n v="1.4378448056499E+17"/>
    <s v="2025-04-15"/>
    <x v="7"/>
    <x v="5"/>
    <n v="800010"/>
    <n v="7117"/>
    <n v="3"/>
    <n v="137.8640777"/>
    <n v="4"/>
    <n v="142"/>
    <n v="53.398058249999998"/>
    <s v="Odisha"/>
  </r>
  <r>
    <n v="1.4006977916001101E+17"/>
    <s v="2025-04-05"/>
    <x v="7"/>
    <x v="3"/>
    <n v="412312"/>
    <n v="7117"/>
    <n v="3"/>
    <n v="162.1359223"/>
    <n v="4"/>
    <n v="167"/>
    <n v="40.776699030000003"/>
    <s v="Madhya Pradesh"/>
  </r>
  <r>
    <n v="1.4836520568744E+17"/>
    <s v="2025-04-28"/>
    <x v="7"/>
    <x v="1"/>
    <n v="500020"/>
    <n v="7117"/>
    <n v="3"/>
    <n v="157.28155340000001"/>
    <n v="4"/>
    <n v="162"/>
    <n v="53.398058249999998"/>
    <s v="Telangana"/>
  </r>
  <r>
    <n v="1.4185125980864099E+17"/>
    <s v="2025-04-10"/>
    <x v="7"/>
    <x v="3"/>
    <n v="225403"/>
    <n v="7117"/>
    <n v="3"/>
    <n v="170.8737864"/>
    <n v="5"/>
    <n v="176"/>
    <n v="53.398058249999998"/>
    <s v="Maharashtra"/>
  </r>
  <r>
    <n v="1.4192634991755501E+17"/>
    <s v="2025-04-10"/>
    <x v="7"/>
    <x v="1"/>
    <n v="273212"/>
    <n v="7117"/>
    <n v="3"/>
    <n v="150.4854369"/>
    <n v="4"/>
    <n v="155"/>
    <n v="53.398058249999998"/>
    <s v="Telangana"/>
  </r>
  <r>
    <n v="1.4765067591110301E+17"/>
    <s v="2025-04-26"/>
    <x v="7"/>
    <x v="3"/>
    <n v="110043"/>
    <n v="7117"/>
    <n v="3"/>
    <n v="169.90291260000001"/>
    <n v="5"/>
    <n v="175"/>
    <n v="48.543689319999999"/>
    <s v="Delhi"/>
  </r>
  <r>
    <n v="1.4807286201500301E+17"/>
    <s v="2025-04-27"/>
    <x v="7"/>
    <x v="2"/>
    <n v="752038"/>
    <n v="7117"/>
    <n v="3"/>
    <n v="202.91262140000001"/>
    <n v="6"/>
    <n v="209"/>
    <n v="81.553398060000006"/>
    <s v="Bihar"/>
  </r>
  <r>
    <n v="1.4762612342440301E+17"/>
    <s v="2025-04-26"/>
    <x v="7"/>
    <x v="1"/>
    <n v="845401"/>
    <n v="7117"/>
    <n v="3"/>
    <n v="202.91262140000001"/>
    <n v="6"/>
    <n v="209"/>
    <n v="81.553398060000006"/>
    <s v="Uttar Pradesh"/>
  </r>
  <r>
    <n v="1.4875592537194899E+17"/>
    <s v="2025-04-29"/>
    <x v="7"/>
    <x v="0"/>
    <n v="110091"/>
    <n v="7117"/>
    <n v="3"/>
    <n v="171.84466019999999"/>
    <n v="5"/>
    <n v="177"/>
    <n v="50.485436890000003"/>
    <s v="Karnataka"/>
  </r>
  <r>
    <n v="1.4879570135472701E+17"/>
    <s v="2025-04-29"/>
    <x v="7"/>
    <x v="2"/>
    <n v="324008"/>
    <n v="7117"/>
    <n v="3"/>
    <n v="139.80582519999999"/>
    <n v="4"/>
    <n v="144"/>
    <n v="42.7184466"/>
    <s v="Karnataka"/>
  </r>
  <r>
    <n v="1.39586198214286E+17"/>
    <s v="2025-04-04"/>
    <x v="7"/>
    <x v="5"/>
    <n v="700040"/>
    <n v="7117"/>
    <n v="3"/>
    <n v="91.262135900000004"/>
    <n v="2"/>
    <n v="94"/>
    <n v="43.689320389999999"/>
    <s v="Andhra Pradesh"/>
  </r>
  <r>
    <n v="1.4543074713809402E+17"/>
    <s v="2025-04-20"/>
    <x v="7"/>
    <x v="1"/>
    <n v="798620"/>
    <n v="7117"/>
    <n v="3"/>
    <n v="174.7572816"/>
    <n v="5"/>
    <n v="180"/>
    <n v="53.398058249999998"/>
    <s v="Maharashtra"/>
  </r>
  <r>
    <n v="1.43556788506746E+17"/>
    <s v="2025-04-15"/>
    <x v="7"/>
    <x v="1"/>
    <n v="824102"/>
    <n v="7117"/>
    <n v="3"/>
    <n v="165.04854370000001"/>
    <n v="4"/>
    <n v="170"/>
    <n v="43.689320389999999"/>
    <s v="West Bengal"/>
  </r>
  <r>
    <n v="1.4367122155157E+17"/>
    <s v="2025-04-15"/>
    <x v="7"/>
    <x v="1"/>
    <n v="804407"/>
    <n v="7117"/>
    <n v="3"/>
    <n v="152.42718450000001"/>
    <n v="4"/>
    <n v="157"/>
    <n v="34.951456309999998"/>
    <s v="Delhi"/>
  </r>
  <r>
    <n v="1.40436484294188E+17"/>
    <s v="2025-04-06"/>
    <x v="7"/>
    <x v="2"/>
    <n v="212601"/>
    <n v="7117"/>
    <n v="3"/>
    <n v="149.5145631"/>
    <n v="4"/>
    <n v="154"/>
    <n v="37.86407767"/>
    <s v="Uttar Pradesh"/>
  </r>
  <r>
    <n v="1.4549351810362701E+17"/>
    <s v="2025-04-20"/>
    <x v="7"/>
    <x v="1"/>
    <n v="110040"/>
    <n v="7117"/>
    <n v="3"/>
    <n v="179.6116505"/>
    <n v="5"/>
    <n v="185"/>
    <n v="75.728155340000001"/>
    <s v="Bihar"/>
  </r>
  <r>
    <n v="1.4865287955647802E+17"/>
    <s v="2025-04-29"/>
    <x v="7"/>
    <x v="1"/>
    <n v="223226"/>
    <n v="7117"/>
    <n v="3"/>
    <n v="171.84466019999999"/>
    <n v="5"/>
    <n v="177"/>
    <n v="53.398058249999998"/>
    <s v="Gujarat"/>
  </r>
  <r>
    <n v="1.39575860634852E+17"/>
    <s v="2025-04-04"/>
    <x v="7"/>
    <x v="1"/>
    <n v="802312"/>
    <n v="7117"/>
    <n v="3"/>
    <n v="128.15533980000001"/>
    <n v="3"/>
    <n v="132"/>
    <n v="33.980582519999999"/>
    <s v="Haryana"/>
  </r>
  <r>
    <n v="1.3864272669747E+17"/>
    <s v="2025-04-01"/>
    <x v="7"/>
    <x v="6"/>
    <n v="711106"/>
    <n v="7117"/>
    <n v="3"/>
    <n v="155.33980579999999"/>
    <n v="4"/>
    <n v="160"/>
    <n v="37.86407767"/>
    <s v="Uttar Pradesh"/>
  </r>
  <r>
    <n v="1.44859601854396E+17"/>
    <s v="2025-04-18"/>
    <x v="7"/>
    <x v="1"/>
    <n v="313027"/>
    <n v="7117"/>
    <n v="3"/>
    <n v="174.7572816"/>
    <n v="5"/>
    <n v="180"/>
    <n v="53.398058249999998"/>
    <s v="Jharkhand"/>
  </r>
  <r>
    <n v="1.41214950659396E+17"/>
    <s v="2025-04-08"/>
    <x v="7"/>
    <x v="1"/>
    <n v="683110"/>
    <n v="7117"/>
    <n v="3"/>
    <n v="219.41747570000001"/>
    <n v="6"/>
    <n v="226"/>
    <n v="93.203883500000003"/>
    <s v="Maharashtra"/>
  </r>
  <r>
    <n v="1.4824338613793699E+17"/>
    <s v="2025-04-28"/>
    <x v="7"/>
    <x v="1"/>
    <n v="144601"/>
    <n v="7117"/>
    <n v="3"/>
    <n v="163.1067961"/>
    <n v="4"/>
    <n v="168"/>
    <n v="41.747572820000002"/>
    <s v="Uttar Pradesh"/>
  </r>
  <r>
    <n v="1.4235324197148701E+17"/>
    <s v="2025-04-12"/>
    <x v="7"/>
    <x v="1"/>
    <n v="600112"/>
    <n v="7117"/>
    <n v="3"/>
    <n v="155.33980579999999"/>
    <n v="4"/>
    <n v="160"/>
    <n v="37.86407767"/>
    <s v="Karnataka"/>
  </r>
  <r>
    <n v="1.4898449426242202E+17"/>
    <s v="2025-04-30"/>
    <x v="7"/>
    <x v="3"/>
    <n v="522101"/>
    <n v="7117"/>
    <n v="3"/>
    <n v="167.96116499999999"/>
    <n v="5"/>
    <n v="173"/>
    <n v="46.601941750000002"/>
    <s v="Uttar Pradesh"/>
  </r>
  <r>
    <n v="1.48326921558196E+17"/>
    <s v="2025-04-28"/>
    <x v="7"/>
    <x v="1"/>
    <n v="245304"/>
    <n v="7117"/>
    <n v="3"/>
    <n v="182.52427180000001"/>
    <n v="5"/>
    <n v="188"/>
    <n v="41.747572820000002"/>
    <s v="Uttar Pradesh"/>
  </r>
  <r>
    <n v="1.48824369082828E+17"/>
    <s v="2025-04-29"/>
    <x v="7"/>
    <x v="0"/>
    <n v="282007"/>
    <n v="7117"/>
    <n v="3"/>
    <n v="165.04854370000001"/>
    <n v="4"/>
    <n v="170"/>
    <n v="47.57281553"/>
    <s v="Kerala"/>
  </r>
  <r>
    <n v="1.4911669765456301E+17"/>
    <s v="2025-04-30"/>
    <x v="7"/>
    <x v="1"/>
    <n v="425502"/>
    <n v="7117"/>
    <n v="3"/>
    <n v="160.19417480000001"/>
    <n v="4"/>
    <n v="165"/>
    <n v="42.7184466"/>
    <s v="Uttar Pradesh"/>
  </r>
  <r>
    <n v="1.4621200925898099E+17"/>
    <s v="2025-04-22"/>
    <x v="7"/>
    <x v="1"/>
    <n v="263148"/>
    <n v="7117"/>
    <n v="3"/>
    <n v="164.07766989999999"/>
    <n v="4"/>
    <n v="169"/>
    <n v="42.7184466"/>
    <s v="Maharashtra"/>
  </r>
  <r>
    <n v="1.4113271325068701E+17"/>
    <s v="2025-04-08"/>
    <x v="7"/>
    <x v="1"/>
    <n v="500034"/>
    <n v="7117"/>
    <n v="3"/>
    <n v="161.16504850000001"/>
    <n v="4"/>
    <n v="166"/>
    <n v="39.805825239999997"/>
    <s v="Bihar"/>
  </r>
  <r>
    <n v="1.39554258788714E+17"/>
    <s v="2025-04-04"/>
    <x v="7"/>
    <x v="3"/>
    <n v="277213"/>
    <n v="7117"/>
    <n v="3"/>
    <n v="182.52427180000001"/>
    <n v="5"/>
    <n v="188"/>
    <n v="61.165048540000001"/>
    <s v="Manipur"/>
  </r>
  <r>
    <n v="1.4621461759305501E+17"/>
    <s v="2025-04-22"/>
    <x v="7"/>
    <x v="1"/>
    <n v="202135"/>
    <n v="7117"/>
    <n v="3"/>
    <n v="157.28155340000001"/>
    <n v="4"/>
    <n v="162"/>
    <n v="53.398058249999998"/>
    <s v="Bihar"/>
  </r>
  <r>
    <n v="1.4250507712189699E+17"/>
    <s v="2025-04-12"/>
    <x v="7"/>
    <x v="1"/>
    <n v="803116"/>
    <n v="7117"/>
    <n v="3"/>
    <n v="156.31067959999999"/>
    <n v="4"/>
    <n v="161"/>
    <n v="38.834951459999999"/>
    <s v="Uttar Pradesh"/>
  </r>
  <r>
    <n v="1.3966130672750499E+17"/>
    <s v="2025-04-04"/>
    <x v="7"/>
    <x v="5"/>
    <n v="224201"/>
    <n v="7117"/>
    <n v="3"/>
    <n v="186.40776700000001"/>
    <n v="5"/>
    <n v="192"/>
    <n v="46.601941750000002"/>
    <s v="Uttar Pradesh"/>
  </r>
  <r>
    <n v="1.4515787104415002E+17"/>
    <s v="2025-04-19"/>
    <x v="7"/>
    <x v="5"/>
    <n v="585401"/>
    <n v="7117"/>
    <n v="3"/>
    <n v="285.43689319999999"/>
    <n v="8"/>
    <n v="294"/>
    <n v="97.087378639999997"/>
    <s v="Jammu And Kashmir"/>
  </r>
  <r>
    <n v="1.41239808425562E+17"/>
    <s v="2025-04-08"/>
    <x v="7"/>
    <x v="1"/>
    <n v="250004"/>
    <n v="7117"/>
    <n v="3"/>
    <n v="140.77669900000001"/>
    <n v="4"/>
    <n v="145"/>
    <n v="37.86407767"/>
    <s v="Uttarakhand"/>
  </r>
  <r>
    <n v="1.43218142977088E+17"/>
    <s v="2025-04-14"/>
    <x v="7"/>
    <x v="1"/>
    <n v="788720"/>
    <n v="7117"/>
    <n v="3"/>
    <n v="187.3786408"/>
    <n v="5"/>
    <n v="193"/>
    <n v="32.038834950000002"/>
    <s v="Uttarakhand"/>
  </r>
  <r>
    <n v="1.4245767518365901E+17"/>
    <s v="2025-04-12"/>
    <x v="7"/>
    <x v="1"/>
    <n v="673014"/>
    <n v="7117"/>
    <n v="3"/>
    <n v="156.31067959999999"/>
    <n v="4"/>
    <n v="161"/>
    <n v="52.42718447"/>
    <s v="Jharkhand"/>
  </r>
  <r>
    <n v="1.4159989089622499E+17"/>
    <s v="2025-04-09"/>
    <x v="7"/>
    <x v="1"/>
    <n v="500034"/>
    <n v="7117"/>
    <n v="3"/>
    <n v="160.19417480000001"/>
    <n v="4"/>
    <n v="165"/>
    <n v="33.980582519999999"/>
    <s v="Rajasthan"/>
  </r>
  <r>
    <n v="1.41943811136396E+17"/>
    <s v="2025-04-10"/>
    <x v="7"/>
    <x v="0"/>
    <n v="402103"/>
    <n v="7117"/>
    <n v="3"/>
    <n v="136.8932039"/>
    <n v="4"/>
    <n v="141"/>
    <n v="49.514563109999997"/>
    <s v="Chhattisgarh"/>
  </r>
  <r>
    <n v="1.4775609555626099E+17"/>
    <s v="2025-04-26"/>
    <x v="7"/>
    <x v="1"/>
    <n v="621701"/>
    <n v="7117"/>
    <n v="3"/>
    <n v="174.7572816"/>
    <n v="5"/>
    <n v="180"/>
    <n v="57.2815534"/>
    <s v="Madhya Pradesh"/>
  </r>
  <r>
    <n v="1.4910450596626899E+17"/>
    <s v="2025-04-30"/>
    <x v="7"/>
    <x v="5"/>
    <n v="244231"/>
    <n v="7117"/>
    <n v="3"/>
    <n v="171.84466019999999"/>
    <n v="5"/>
    <n v="177"/>
    <n v="50.485436890000003"/>
    <s v="Bihar"/>
  </r>
  <r>
    <n v="1.41509106891952E+17"/>
    <s v="2025-04-09"/>
    <x v="7"/>
    <x v="1"/>
    <n v="328001"/>
    <n v="7117"/>
    <n v="3"/>
    <n v="179.6116505"/>
    <n v="5"/>
    <n v="185"/>
    <n v="53.398058249999998"/>
    <s v="Bihar"/>
  </r>
  <r>
    <n v="1.4038752896776E+17"/>
    <s v="2025-04-06"/>
    <x v="7"/>
    <x v="1"/>
    <n v="412312"/>
    <n v="7117"/>
    <n v="3"/>
    <n v="124.2718447"/>
    <n v="3"/>
    <n v="128"/>
    <n v="33.980582519999999"/>
    <s v="Rajasthan"/>
  </r>
  <r>
    <n v="1.4409536092204701E+17"/>
    <s v="2025-04-16"/>
    <x v="7"/>
    <x v="5"/>
    <n v="735220"/>
    <n v="7117"/>
    <n v="3"/>
    <n v="171.84466019999999"/>
    <n v="5"/>
    <n v="177"/>
    <n v="50.485436890000003"/>
    <s v="Bihar"/>
  </r>
  <r>
    <n v="1.4619355882187002E+17"/>
    <s v="2025-04-22"/>
    <x v="7"/>
    <x v="1"/>
    <n v="131001"/>
    <n v="7117"/>
    <n v="3"/>
    <n v="189.32038829999999"/>
    <n v="5"/>
    <n v="195"/>
    <n v="71.844660189999999"/>
    <s v="Assam"/>
  </r>
  <r>
    <n v="1.4188740859412701E+17"/>
    <s v="2025-04-10"/>
    <x v="7"/>
    <x v="3"/>
    <n v="852214"/>
    <n v="7117"/>
    <n v="3"/>
    <n v="156.31067959999999"/>
    <n v="4"/>
    <n v="161"/>
    <n v="52.42718447"/>
    <s v="Jharkhand"/>
  </r>
  <r>
    <n v="1.4918921244498499E+17"/>
    <s v="2025-04-30"/>
    <x v="7"/>
    <x v="0"/>
    <n v="243201"/>
    <n v="7117"/>
    <n v="3"/>
    <n v="184.46601939999999"/>
    <n v="5"/>
    <n v="190"/>
    <n v="43.689320389999999"/>
    <s v="Tamil Nadu"/>
  </r>
  <r>
    <n v="1.4912020276769901E+17"/>
    <s v="2025-04-30"/>
    <x v="7"/>
    <x v="5"/>
    <n v="802132"/>
    <n v="7117"/>
    <n v="3"/>
    <n v="182.52427180000001"/>
    <n v="5"/>
    <n v="188"/>
    <n v="41.747572820000002"/>
    <s v="Uttar Pradesh"/>
  </r>
  <r>
    <n v="1.4012020827347501E+17"/>
    <s v="2025-04-05"/>
    <x v="7"/>
    <x v="3"/>
    <n v="362266"/>
    <n v="7117"/>
    <n v="3"/>
    <n v="169.90291260000001"/>
    <n v="5"/>
    <n v="175"/>
    <n v="52.42718447"/>
    <s v="Uttar Pradesh"/>
  </r>
  <r>
    <n v="1.43922603518232E+17"/>
    <s v="2025-04-16"/>
    <x v="7"/>
    <x v="3"/>
    <n v="143001"/>
    <n v="7117"/>
    <n v="3"/>
    <n v="162.1359223"/>
    <n v="4"/>
    <n v="167"/>
    <n v="40.776699030000003"/>
    <s v="Himachal Pradesh"/>
  </r>
  <r>
    <n v="1.4759077456429402E+17"/>
    <s v="2025-04-26"/>
    <x v="7"/>
    <x v="2"/>
    <n v="843313"/>
    <n v="7117"/>
    <n v="3"/>
    <n v="174.7572816"/>
    <n v="5"/>
    <n v="180"/>
    <n v="53.398058249999998"/>
    <s v="Madhya Pradesh"/>
  </r>
  <r>
    <n v="1.41841284265052E+17"/>
    <s v="2025-04-10"/>
    <x v="7"/>
    <x v="1"/>
    <n v="281004"/>
    <n v="7117"/>
    <n v="3"/>
    <n v="149.5145631"/>
    <n v="4"/>
    <n v="154"/>
    <n v="52.42718447"/>
    <s v="Andhra Pradesh"/>
  </r>
  <r>
    <n v="1.4154094199895501E+17"/>
    <s v="2025-04-09"/>
    <x v="7"/>
    <x v="1"/>
    <n v="400037"/>
    <n v="330410"/>
    <n v="18"/>
    <n v="216.9491525"/>
    <n v="39"/>
    <n v="256"/>
    <n v="32.203389829999999"/>
    <s v="Uttar Pradesh"/>
  </r>
  <r>
    <n v="1.46262294196292E+17"/>
    <s v="2025-04-22"/>
    <x v="7"/>
    <x v="1"/>
    <n v="560064"/>
    <n v="7117"/>
    <n v="3"/>
    <n v="141.7475728"/>
    <n v="4"/>
    <n v="146"/>
    <n v="37.86407767"/>
    <s v="Uttar Pradesh"/>
  </r>
  <r>
    <n v="1.41840423395676E+17"/>
    <s v="2025-04-10"/>
    <x v="7"/>
    <x v="1"/>
    <n v="403720"/>
    <n v="7117"/>
    <n v="3"/>
    <n v="149.5145631"/>
    <n v="4"/>
    <n v="154"/>
    <n v="52.42718447"/>
    <s v="Andhra Pradesh"/>
  </r>
  <r>
    <n v="1.40115538885258E+17"/>
    <s v="2025-04-05"/>
    <x v="7"/>
    <x v="1"/>
    <n v="110029"/>
    <n v="7117"/>
    <n v="3"/>
    <n v="151.45631069999999"/>
    <n v="4"/>
    <n v="156"/>
    <n v="39.805825239999997"/>
    <s v="Uttar Pradesh"/>
  </r>
  <r>
    <n v="1.40119680269878E+17"/>
    <s v="2025-04-05"/>
    <x v="7"/>
    <x v="1"/>
    <n v="110019"/>
    <n v="7117"/>
    <n v="3"/>
    <n v="163.1067961"/>
    <n v="4"/>
    <n v="168"/>
    <n v="45.631067960000003"/>
    <s v="Delhi"/>
  </r>
  <r>
    <n v="1.4187900161507501E+17"/>
    <s v="2025-04-10"/>
    <x v="7"/>
    <x v="2"/>
    <n v="140507"/>
    <n v="7117"/>
    <n v="3"/>
    <n v="157.28155340000001"/>
    <n v="4"/>
    <n v="162"/>
    <n v="39.805825239999997"/>
    <s v="Uttar Pradesh"/>
  </r>
  <r>
    <n v="1.42940042465806E+17"/>
    <s v="2025-04-13"/>
    <x v="7"/>
    <x v="1"/>
    <n v="110084"/>
    <n v="7117"/>
    <n v="3"/>
    <n v="201.94174760000001"/>
    <n v="6"/>
    <n v="208"/>
    <n v="46.601941750000002"/>
    <s v="Rajasthan"/>
  </r>
  <r>
    <n v="1.44001790785508E+17"/>
    <s v="2025-04-16"/>
    <x v="7"/>
    <x v="1"/>
    <n v="500034"/>
    <n v="7117"/>
    <n v="3"/>
    <n v="141.7475728"/>
    <n v="4"/>
    <n v="146"/>
    <n v="37.86407767"/>
    <s v="Uttar Pradesh"/>
  </r>
  <r>
    <n v="1.38562453076808E+17"/>
    <s v="2025-04-01"/>
    <x v="7"/>
    <x v="0"/>
    <n v="497220"/>
    <n v="7117"/>
    <n v="3"/>
    <n v="339.80582520000002"/>
    <n v="10"/>
    <n v="350"/>
    <n v="104.85436893000001"/>
    <s v="Gujarat"/>
  </r>
  <r>
    <n v="1.39819143821306E+17"/>
    <s v="2025-04-05"/>
    <x v="7"/>
    <x v="2"/>
    <n v="122001"/>
    <n v="7117"/>
    <n v="3"/>
    <n v="139.80582519999999"/>
    <n v="4"/>
    <n v="144"/>
    <n v="45.631067960000003"/>
    <s v="Delhi"/>
  </r>
  <r>
    <n v="1.4587693960267501E+17"/>
    <s v="2025-04-21"/>
    <x v="7"/>
    <x v="1"/>
    <n v="244412"/>
    <n v="7117"/>
    <n v="3"/>
    <n v="158.2524272"/>
    <n v="4"/>
    <n v="163"/>
    <n v="61.165048540000001"/>
    <s v="Kerala"/>
  </r>
  <r>
    <n v="1.48281242957808E+17"/>
    <s v="2025-04-28"/>
    <x v="7"/>
    <x v="1"/>
    <n v="233303"/>
    <n v="7117"/>
    <n v="3"/>
    <n v="156.31067959999999"/>
    <n v="4"/>
    <n v="161"/>
    <n v="38.834951459999999"/>
    <s v="West Bengal"/>
  </r>
  <r>
    <n v="1.4842020543768198E+17"/>
    <s v="2025-04-28"/>
    <x v="7"/>
    <x v="3"/>
    <n v="232102"/>
    <n v="7117"/>
    <n v="3"/>
    <n v="172.81553400000001"/>
    <n v="5"/>
    <n v="178"/>
    <n v="68.932038829999996"/>
    <s v="Bihar"/>
  </r>
  <r>
    <n v="1.3889111452160301E+17"/>
    <s v="2025-04-02"/>
    <x v="7"/>
    <x v="4"/>
    <n v="502110"/>
    <n v="7117"/>
    <n v="3"/>
    <n v="159.22330099999999"/>
    <n v="4"/>
    <n v="164"/>
    <n v="37.86407767"/>
    <s v="Chhattisgarh"/>
  </r>
  <r>
    <n v="1.46297849857984E+17"/>
    <s v="2025-04-22"/>
    <x v="7"/>
    <x v="1"/>
    <n v="273402"/>
    <n v="7117"/>
    <n v="3"/>
    <n v="158.2524272"/>
    <n v="4"/>
    <n v="163"/>
    <n v="40.776699030000003"/>
    <s v="Bihar"/>
  </r>
  <r>
    <n v="1.4501485661076E+17"/>
    <s v="2025-04-19"/>
    <x v="7"/>
    <x v="1"/>
    <n v="761009"/>
    <n v="7117"/>
    <n v="3"/>
    <n v="151.45631069999999"/>
    <n v="4"/>
    <n v="156"/>
    <n v="33.980582519999999"/>
    <s v="Uttar Pradesh"/>
  </r>
  <r>
    <n v="1.43359425297142E+17"/>
    <s v="2025-04-14"/>
    <x v="7"/>
    <x v="1"/>
    <n v="500064"/>
    <n v="7117"/>
    <n v="3"/>
    <n v="156.31067959999999"/>
    <n v="4"/>
    <n v="161"/>
    <n v="38.834951459999999"/>
    <s v="Chhattisgarh"/>
  </r>
  <r>
    <n v="1.4443740711026301E+17"/>
    <s v="2025-04-17"/>
    <x v="7"/>
    <x v="1"/>
    <n v="222303"/>
    <n v="7117"/>
    <n v="3"/>
    <n v="160.19417480000001"/>
    <n v="4"/>
    <n v="165"/>
    <n v="38.834951459999999"/>
    <s v="Madhya Pradesh"/>
  </r>
  <r>
    <n v="1.3894456706692E+17"/>
    <s v="2025-04-02"/>
    <x v="7"/>
    <x v="2"/>
    <n v="752111"/>
    <n v="7117"/>
    <n v="3"/>
    <n v="141.7475728"/>
    <n v="4"/>
    <n v="146"/>
    <n v="37.86407767"/>
    <s v="Jharkhand"/>
  </r>
  <r>
    <n v="1.38888629723638E+17"/>
    <s v="2025-04-02"/>
    <x v="7"/>
    <x v="1"/>
    <n v="854202"/>
    <n v="7117"/>
    <n v="3"/>
    <n v="155.33980579999999"/>
    <n v="4"/>
    <n v="160"/>
    <n v="37.86407767"/>
    <s v="Maharashtra"/>
  </r>
  <r>
    <n v="1.39674984619902E+17"/>
    <s v="2025-04-04"/>
    <x v="7"/>
    <x v="3"/>
    <n v="829144"/>
    <n v="7117"/>
    <n v="3"/>
    <n v="91.262135900000004"/>
    <n v="2"/>
    <n v="94"/>
    <n v="43.689320389999999"/>
    <s v="Andhra Pradesh"/>
  </r>
  <r>
    <n v="1.48091984379616E+17"/>
    <s v="2025-04-27"/>
    <x v="7"/>
    <x v="1"/>
    <n v="572101"/>
    <n v="7117"/>
    <n v="3"/>
    <n v="165.04854370000001"/>
    <n v="4"/>
    <n v="170"/>
    <n v="53.398058249999998"/>
    <s v="Delhi"/>
  </r>
  <r>
    <n v="1.3889524915460899E+17"/>
    <s v="2025-04-02"/>
    <x v="7"/>
    <x v="3"/>
    <n v="229202"/>
    <n v="7117"/>
    <n v="3"/>
    <n v="145.631068"/>
    <n v="4"/>
    <n v="150"/>
    <n v="51.456310680000001"/>
    <s v="Rajasthan"/>
  </r>
  <r>
    <n v="1.4217043618467699E+17"/>
    <s v="2025-04-11"/>
    <x v="7"/>
    <x v="5"/>
    <n v="581118"/>
    <n v="7117"/>
    <n v="3"/>
    <n v="132.03883500000001"/>
    <n v="3"/>
    <n v="136"/>
    <n v="37.86407767"/>
    <s v="West Bengal"/>
  </r>
  <r>
    <n v="1.38349329321136E+17"/>
    <s v="2025-04-01"/>
    <x v="7"/>
    <x v="3"/>
    <n v="413112"/>
    <n v="7117"/>
    <n v="3"/>
    <n v="147.57281549999999"/>
    <n v="4"/>
    <n v="152"/>
    <n v="53.398058249999998"/>
    <s v="Telangana"/>
  </r>
  <r>
    <n v="1.3863311325800499E+17"/>
    <s v="2025-04-01"/>
    <x v="7"/>
    <x v="1"/>
    <n v="828130"/>
    <n v="7117"/>
    <n v="3"/>
    <n v="165.04854370000001"/>
    <n v="4"/>
    <n v="170"/>
    <n v="43.689320389999999"/>
    <s v="West Bengal"/>
  </r>
  <r>
    <n v="1.4617694934575002E+17"/>
    <s v="2025-04-22"/>
    <x v="7"/>
    <x v="1"/>
    <n v="488333"/>
    <n v="7117"/>
    <n v="3"/>
    <n v="136.8932039"/>
    <n v="4"/>
    <n v="141"/>
    <n v="33.980582519999999"/>
    <s v="Rajasthan"/>
  </r>
  <r>
    <n v="1.4588710623486099E+17"/>
    <s v="2025-04-21"/>
    <x v="7"/>
    <x v="1"/>
    <n v="440022"/>
    <n v="7117"/>
    <n v="3"/>
    <n v="256.31067960000001"/>
    <n v="7"/>
    <n v="264"/>
    <n v="67.961165050000005"/>
    <s v="Uttar Pradesh"/>
  </r>
  <r>
    <n v="1.3850285298408E+17"/>
    <s v="2025-04-01"/>
    <x v="7"/>
    <x v="2"/>
    <n v="805107"/>
    <n v="7117"/>
    <n v="3"/>
    <n v="178.6407767"/>
    <n v="5"/>
    <n v="184"/>
    <n v="57.2815534"/>
    <s v="Bihar"/>
  </r>
  <r>
    <n v="1.4587893216828E+17"/>
    <s v="2025-04-21"/>
    <x v="7"/>
    <x v="1"/>
    <n v="305801"/>
    <n v="7117"/>
    <n v="3"/>
    <n v="162.1359223"/>
    <n v="4"/>
    <n v="167"/>
    <n v="43.689320389999999"/>
    <s v="Gujarat"/>
  </r>
  <r>
    <n v="1.3851150567981501E+17"/>
    <s v="2025-04-01"/>
    <x v="7"/>
    <x v="1"/>
    <n v="700018"/>
    <n v="7117"/>
    <n v="3"/>
    <n v="132.03883500000001"/>
    <n v="3"/>
    <n v="136"/>
    <n v="52.42718447"/>
    <s v="Bihar"/>
  </r>
  <r>
    <n v="1.4338424993235101E+17"/>
    <s v="2025-04-14"/>
    <x v="7"/>
    <x v="2"/>
    <n v="302029"/>
    <n v="7117"/>
    <n v="3"/>
    <n v="167.96116499999999"/>
    <n v="5"/>
    <n v="173"/>
    <n v="46.601941750000002"/>
    <s v="Delhi"/>
  </r>
  <r>
    <n v="1.45103004184812E+17"/>
    <s v="2025-04-19"/>
    <x v="7"/>
    <x v="1"/>
    <n v="563127"/>
    <n v="7117"/>
    <n v="3"/>
    <n v="165.04854370000001"/>
    <n v="4"/>
    <n v="170"/>
    <n v="47.57281553"/>
    <s v="Uttar Pradesh"/>
  </r>
  <r>
    <n v="1.4757249514697501E+17"/>
    <s v="2025-04-26"/>
    <x v="7"/>
    <x v="1"/>
    <n v="444806"/>
    <n v="7117"/>
    <n v="3"/>
    <n v="182.52427180000001"/>
    <n v="5"/>
    <n v="188"/>
    <n v="61.165048540000001"/>
    <s v="Maharashtra"/>
  </r>
  <r>
    <n v="1.4043876758746099E+17"/>
    <s v="2025-04-06"/>
    <x v="7"/>
    <x v="1"/>
    <n v="221304"/>
    <n v="7117"/>
    <n v="3"/>
    <n v="190.29126210000001"/>
    <n v="5"/>
    <n v="196"/>
    <n v="56.310679610000001"/>
    <s v="Rajasthan"/>
  </r>
  <r>
    <n v="1.3932555120194499E+17"/>
    <s v="2025-04-03"/>
    <x v="7"/>
    <x v="3"/>
    <n v="804432"/>
    <n v="7117"/>
    <n v="3"/>
    <n v="151.45631069999999"/>
    <n v="4"/>
    <n v="156"/>
    <n v="33.980582519999999"/>
    <s v="Uttarakhand"/>
  </r>
  <r>
    <n v="1.4067030972317901E+17"/>
    <s v="2025-04-07"/>
    <x v="7"/>
    <x v="6"/>
    <n v="824211"/>
    <n v="7117"/>
    <n v="3"/>
    <n v="170.8737864"/>
    <n v="5"/>
    <n v="176"/>
    <n v="49.514563109999997"/>
    <s v="Madhya Pradesh"/>
  </r>
  <r>
    <n v="1.3959772841889699E+17"/>
    <s v="2025-04-04"/>
    <x v="7"/>
    <x v="2"/>
    <n v="474006"/>
    <n v="7117"/>
    <n v="3"/>
    <n v="139.80582519999999"/>
    <n v="4"/>
    <n v="144"/>
    <n v="52.42718447"/>
    <s v="Karnataka"/>
  </r>
  <r>
    <n v="1.41114652200948E+17"/>
    <s v="2025-04-08"/>
    <x v="7"/>
    <x v="3"/>
    <n v="524322"/>
    <n v="7117"/>
    <n v="3"/>
    <n v="228.15533980000001"/>
    <n v="6"/>
    <n v="235"/>
    <n v="63.106796119999998"/>
    <s v="Bihar"/>
  </r>
  <r>
    <n v="1.4696911229885299E+17"/>
    <s v="2025-04-24"/>
    <x v="7"/>
    <x v="3"/>
    <n v="802218"/>
    <n v="7117"/>
    <n v="3"/>
    <n v="180.58252429999999"/>
    <n v="5"/>
    <n v="186"/>
    <n v="59.223300969999997"/>
    <s v="Odisha"/>
  </r>
  <r>
    <n v="1.4117369822434701E+17"/>
    <s v="2025-04-08"/>
    <x v="7"/>
    <x v="0"/>
    <n v="766018"/>
    <n v="7117"/>
    <n v="3"/>
    <n v="150.4854369"/>
    <n v="4"/>
    <n v="155"/>
    <n v="33.009708740000001"/>
    <s v="Uttar Pradesh"/>
  </r>
  <r>
    <n v="1.4037061981113699E+17"/>
    <s v="2025-04-06"/>
    <x v="7"/>
    <x v="0"/>
    <n v="232110"/>
    <n v="7117"/>
    <n v="3"/>
    <n v="151.45631069999999"/>
    <n v="4"/>
    <n v="156"/>
    <n v="52.42718447"/>
    <s v="Madhya Pradesh"/>
  </r>
  <r>
    <n v="1.41225429294486E+17"/>
    <s v="2025-04-08"/>
    <x v="7"/>
    <x v="5"/>
    <n v="700145"/>
    <n v="7117"/>
    <n v="3"/>
    <n v="184.46601939999999"/>
    <n v="5"/>
    <n v="190"/>
    <n v="63.106796119999998"/>
    <s v="Madhya Pradesh"/>
  </r>
  <r>
    <n v="1.41179300624306E+17"/>
    <s v="2025-04-08"/>
    <x v="7"/>
    <x v="3"/>
    <n v="825412"/>
    <n v="7117"/>
    <n v="3"/>
    <n v="216.5048544"/>
    <n v="6"/>
    <n v="223"/>
    <n v="51.456310680000001"/>
    <s v="Uttar Pradesh"/>
  </r>
  <r>
    <n v="1.4617349631510202E+17"/>
    <s v="2025-04-22"/>
    <x v="7"/>
    <x v="1"/>
    <n v="847115"/>
    <n v="7117"/>
    <n v="3"/>
    <n v="166.9902913"/>
    <n v="5"/>
    <n v="172"/>
    <n v="49.514563109999997"/>
    <s v="Maharashtra"/>
  </r>
  <r>
    <n v="1.40283154209018E+17"/>
    <s v="2025-04-06"/>
    <x v="7"/>
    <x v="0"/>
    <n v="560026"/>
    <n v="7117"/>
    <n v="3"/>
    <n v="186.40776700000001"/>
    <n v="5"/>
    <n v="192"/>
    <n v="70.873786409999994"/>
    <s v="Assam"/>
  </r>
  <r>
    <n v="1.46315021492324E+17"/>
    <s v="2025-04-22"/>
    <x v="7"/>
    <x v="1"/>
    <n v="641654"/>
    <n v="7117"/>
    <n v="3"/>
    <n v="161.16504850000001"/>
    <n v="4"/>
    <n v="166"/>
    <n v="39.805825239999997"/>
    <s v="Karnataka"/>
  </r>
  <r>
    <n v="1.4335412829484499E+17"/>
    <s v="2025-04-14"/>
    <x v="7"/>
    <x v="1"/>
    <n v="282007"/>
    <n v="7117"/>
    <n v="3"/>
    <n v="203.8834951"/>
    <n v="6"/>
    <n v="210"/>
    <n v="38.834951459999999"/>
    <s v="Telangana"/>
  </r>
  <r>
    <n v="1.3921796589909901E+17"/>
    <s v="2025-04-03"/>
    <x v="7"/>
    <x v="0"/>
    <n v="285122"/>
    <n v="7117"/>
    <n v="3"/>
    <n v="165.04854370000001"/>
    <n v="4"/>
    <n v="170"/>
    <n v="47.57281553"/>
    <s v="Rajasthan"/>
  </r>
  <r>
    <n v="1.4219685530422099E+17"/>
    <s v="2025-04-11"/>
    <x v="7"/>
    <x v="1"/>
    <n v="522257"/>
    <n v="7117"/>
    <n v="3"/>
    <n v="166.9902913"/>
    <n v="5"/>
    <n v="172"/>
    <n v="45.631067960000003"/>
    <s v="Madhya Pradesh"/>
  </r>
  <r>
    <n v="1.4291304907863501E+17"/>
    <s v="2025-04-13"/>
    <x v="7"/>
    <x v="3"/>
    <n v="413112"/>
    <n v="7117"/>
    <n v="3"/>
    <n v="163.1067961"/>
    <n v="4"/>
    <n v="168"/>
    <n v="45.631067960000003"/>
    <s v="Delhi"/>
  </r>
  <r>
    <n v="1.4333269561118099E+17"/>
    <s v="2025-04-14"/>
    <x v="7"/>
    <x v="1"/>
    <n v="841428"/>
    <n v="7117"/>
    <n v="3"/>
    <n v="152.42718450000001"/>
    <n v="4"/>
    <n v="157"/>
    <n v="34.951456309999998"/>
    <s v="Rajasthan"/>
  </r>
  <r>
    <n v="1.4720030703718E+17"/>
    <s v="2025-04-25"/>
    <x v="7"/>
    <x v="1"/>
    <n v="273304"/>
    <n v="7117"/>
    <n v="3"/>
    <n v="162.1359223"/>
    <n v="4"/>
    <n v="167"/>
    <n v="44.660194169999997"/>
    <s v="Delhi"/>
  </r>
  <r>
    <n v="1.4336080620982099E+17"/>
    <s v="2025-04-14"/>
    <x v="7"/>
    <x v="1"/>
    <n v="805111"/>
    <n v="7117"/>
    <n v="3"/>
    <n v="151.45631069999999"/>
    <n v="4"/>
    <n v="156"/>
    <n v="33.980582519999999"/>
    <s v="Uttar Pradesh"/>
  </r>
  <r>
    <n v="1.3893598836241901E+17"/>
    <s v="2025-04-02"/>
    <x v="7"/>
    <x v="2"/>
    <n v="562138"/>
    <n v="7117"/>
    <n v="3"/>
    <n v="141.7475728"/>
    <n v="4"/>
    <n v="146"/>
    <n v="47.57281553"/>
    <s v="West Bengal"/>
  </r>
  <r>
    <n v="1.5243232709453901E+17"/>
    <s v="2025-05-09"/>
    <x v="8"/>
    <x v="0"/>
    <n v="843334"/>
    <n v="7117"/>
    <n v="3"/>
    <n v="172.81553400000001"/>
    <n v="5"/>
    <n v="178"/>
    <n v="51.456310680000001"/>
    <s v="Madhya Pradesh"/>
  </r>
  <r>
    <n v="1.5962863472486499E+17"/>
    <s v="2025-05-29"/>
    <x v="8"/>
    <x v="6"/>
    <n v="222136"/>
    <n v="7117"/>
    <n v="3"/>
    <n v="172.81553400000001"/>
    <n v="5"/>
    <n v="178"/>
    <n v="55.339805830000003"/>
    <s v="Jharkhand"/>
  </r>
  <r>
    <n v="1.5667729239384499E+17"/>
    <s v="2025-05-21"/>
    <x v="8"/>
    <x v="6"/>
    <n v="581402"/>
    <n v="7117"/>
    <n v="3"/>
    <n v="137.8640777"/>
    <n v="4"/>
    <n v="142"/>
    <n v="40.776699030000003"/>
    <s v="Karnataka"/>
  </r>
  <r>
    <n v="1.5198341138497699E+17"/>
    <s v="2025-05-08"/>
    <x v="8"/>
    <x v="2"/>
    <n v="400607"/>
    <n v="7117"/>
    <n v="3"/>
    <n v="169.90291260000001"/>
    <n v="5"/>
    <n v="175"/>
    <n v="48.543689319999999"/>
    <s v="Madhya Pradesh"/>
  </r>
  <r>
    <n v="1.5883375499028301E+17"/>
    <s v="2025-05-27"/>
    <x v="8"/>
    <x v="1"/>
    <n v="522402"/>
    <n v="330410"/>
    <n v="18"/>
    <n v="185.59322030000001"/>
    <n v="33"/>
    <n v="219"/>
    <n v="45.762711860000003"/>
    <s v="Uttar Pradesh"/>
  </r>
  <r>
    <n v="1.4993126218947398E+17"/>
    <s v="2025-05-02"/>
    <x v="8"/>
    <x v="1"/>
    <n v="516454"/>
    <n v="7117"/>
    <n v="3"/>
    <n v="164.07766989999999"/>
    <n v="4"/>
    <n v="169"/>
    <n v="42.7184466"/>
    <s v="Uttar Pradesh"/>
  </r>
  <r>
    <n v="1.5049656603282899E+17"/>
    <s v="2025-05-04"/>
    <x v="8"/>
    <x v="1"/>
    <n v="533105"/>
    <n v="7117"/>
    <n v="3"/>
    <n v="160.19417480000001"/>
    <n v="4"/>
    <n v="165"/>
    <n v="63.106796119999998"/>
    <s v="Bihar"/>
  </r>
  <r>
    <n v="1.4953276356424899E+17"/>
    <s v="2025-05-01"/>
    <x v="8"/>
    <x v="0"/>
    <n v="496111"/>
    <n v="7117"/>
    <n v="3"/>
    <n v="198.05825239999999"/>
    <n v="5"/>
    <n v="204"/>
    <n v="76.69902913"/>
    <s v="Madhya Pradesh"/>
  </r>
  <r>
    <n v="1.5009616750113901E+17"/>
    <s v="2025-05-03"/>
    <x v="8"/>
    <x v="1"/>
    <n v="845459"/>
    <n v="7117"/>
    <n v="3"/>
    <n v="179.6116505"/>
    <n v="5"/>
    <n v="185"/>
    <n v="38.834951459999999"/>
    <s v="Uttar Pradesh"/>
  </r>
  <r>
    <n v="1.5636211159172198E+17"/>
    <s v="2025-05-20"/>
    <x v="8"/>
    <x v="1"/>
    <n v="852214"/>
    <n v="7117"/>
    <n v="3"/>
    <n v="112.6213592"/>
    <n v="3"/>
    <n v="116"/>
    <n v="33.009708740000001"/>
    <s v="Uttar Pradesh"/>
  </r>
  <r>
    <n v="1.4958110672752E+17"/>
    <s v="2025-05-01"/>
    <x v="8"/>
    <x v="0"/>
    <n v="600039"/>
    <n v="7117"/>
    <n v="3"/>
    <n v="177.66990290000001"/>
    <n v="5"/>
    <n v="183"/>
    <n v="56.310679610000001"/>
    <s v="Bihar"/>
  </r>
  <r>
    <n v="1.5484587918502E+17"/>
    <s v="2025-05-16"/>
    <x v="8"/>
    <x v="3"/>
    <n v="841428"/>
    <n v="7117"/>
    <n v="3"/>
    <n v="152.42718450000001"/>
    <n v="4"/>
    <n v="157"/>
    <n v="33.980582519999999"/>
    <s v="Andhra Pradesh"/>
  </r>
  <r>
    <n v="1.5056603176517798E+17"/>
    <s v="2025-05-04"/>
    <x v="8"/>
    <x v="1"/>
    <n v="502307"/>
    <n v="7117"/>
    <n v="3"/>
    <n v="157.28155340000001"/>
    <n v="4"/>
    <n v="162"/>
    <n v="43.689320389999999"/>
    <s v="Maharashtra"/>
  </r>
  <r>
    <n v="1.55619161760932E+17"/>
    <s v="2025-05-18"/>
    <x v="8"/>
    <x v="0"/>
    <n v="700150"/>
    <n v="7117"/>
    <n v="3"/>
    <n v="160.19417480000001"/>
    <n v="4"/>
    <n v="165"/>
    <n v="38.834951459999999"/>
    <s v="Bihar"/>
  </r>
  <r>
    <n v="1.5421109540861501E+17"/>
    <s v="2025-05-14"/>
    <x v="8"/>
    <x v="1"/>
    <n v="229127"/>
    <n v="7117"/>
    <n v="3"/>
    <n v="148.54368930000001"/>
    <n v="4"/>
    <n v="153"/>
    <n v="40.776699030000003"/>
    <s v="Chhattisgarh"/>
  </r>
  <r>
    <n v="1.5787492246980701E+17"/>
    <s v="2025-05-24"/>
    <x v="8"/>
    <x v="1"/>
    <n v="276201"/>
    <n v="7117"/>
    <n v="3"/>
    <n v="157.28155340000001"/>
    <n v="4"/>
    <n v="162"/>
    <n v="39.805825239999997"/>
    <s v="Karnataka"/>
  </r>
  <r>
    <n v="1.58829840651332E+17"/>
    <s v="2025-05-27"/>
    <x v="8"/>
    <x v="0"/>
    <n v="721305"/>
    <n v="7117"/>
    <n v="3"/>
    <n v="194.17475730000001"/>
    <n v="5"/>
    <n v="200"/>
    <n v="53.398058249999998"/>
    <s v="Odisha"/>
  </r>
  <r>
    <n v="1.5881350846776301E+17"/>
    <s v="2025-05-27"/>
    <x v="8"/>
    <x v="0"/>
    <n v="560076"/>
    <n v="7117"/>
    <n v="3"/>
    <n v="172.81553400000001"/>
    <n v="5"/>
    <n v="178"/>
    <n v="55.339805830000003"/>
    <s v="Tamil Nadu"/>
  </r>
  <r>
    <n v="1.58274156985668E+17"/>
    <s v="2025-05-25"/>
    <x v="8"/>
    <x v="1"/>
    <n v="400011"/>
    <n v="7117"/>
    <n v="3"/>
    <n v="171.84466019999999"/>
    <n v="5"/>
    <n v="177"/>
    <n v="50.485436890000003"/>
    <s v="Rajasthan"/>
  </r>
  <r>
    <n v="1.5889521659671901E+17"/>
    <s v="2025-05-27"/>
    <x v="8"/>
    <x v="2"/>
    <n v="842002"/>
    <n v="7117"/>
    <n v="3"/>
    <n v="166.0194175"/>
    <n v="4"/>
    <n v="171"/>
    <n v="47.57281553"/>
    <s v="Bihar"/>
  </r>
  <r>
    <n v="1.56558135283232E+17"/>
    <s v="2025-05-21"/>
    <x v="8"/>
    <x v="3"/>
    <n v="413211"/>
    <n v="7117"/>
    <n v="3"/>
    <n v="174.7572816"/>
    <n v="5"/>
    <n v="180"/>
    <n v="53.398058249999998"/>
    <s v="Odisha"/>
  </r>
  <r>
    <n v="1.5514623344126099E+17"/>
    <s v="2025-05-17"/>
    <x v="8"/>
    <x v="2"/>
    <n v="136026"/>
    <n v="7117"/>
    <n v="3"/>
    <n v="159.22330099999999"/>
    <n v="4"/>
    <n v="164"/>
    <n v="47.57281553"/>
    <s v="Uttar Pradesh"/>
  </r>
  <r>
    <n v="1.4952951365937101E+17"/>
    <s v="2025-05-01"/>
    <x v="8"/>
    <x v="1"/>
    <n v="210126"/>
    <n v="7117"/>
    <n v="3"/>
    <n v="158.2524272"/>
    <n v="4"/>
    <n v="163"/>
    <n v="40.776699030000003"/>
    <s v="Bihar"/>
  </r>
  <r>
    <n v="1.5204650359891699E+17"/>
    <s v="2025-05-08"/>
    <x v="8"/>
    <x v="3"/>
    <n v="535593"/>
    <n v="7117"/>
    <n v="3"/>
    <n v="180.58252429999999"/>
    <n v="5"/>
    <n v="186"/>
    <n v="39.805825239999997"/>
    <s v="Tamil Nadu"/>
  </r>
  <r>
    <n v="1.56725706036948E+17"/>
    <s v="2025-05-21"/>
    <x v="8"/>
    <x v="3"/>
    <n v="203396"/>
    <n v="7117"/>
    <n v="3"/>
    <n v="212.6213592"/>
    <n v="6"/>
    <n v="219"/>
    <n v="47.57281553"/>
    <s v="Uttar Pradesh"/>
  </r>
  <r>
    <n v="1.5423859171010099E+17"/>
    <s v="2025-05-14"/>
    <x v="8"/>
    <x v="3"/>
    <n v="855108"/>
    <n v="7117"/>
    <n v="3"/>
    <n v="277.66990290000001"/>
    <n v="8"/>
    <n v="286"/>
    <n v="54.368932039999997"/>
    <s v="Bihar"/>
  </r>
  <r>
    <n v="1.59672189728688E+17"/>
    <s v="2025-05-29"/>
    <x v="8"/>
    <x v="2"/>
    <n v="271801"/>
    <n v="7117"/>
    <n v="3"/>
    <n v="137.8640777"/>
    <n v="4"/>
    <n v="142"/>
    <n v="33.980582519999999"/>
    <s v="Karnataka"/>
  </r>
  <r>
    <n v="1.5815894106174499E+17"/>
    <s v="2025-05-25"/>
    <x v="8"/>
    <x v="0"/>
    <n v="122508"/>
    <n v="7117"/>
    <n v="3"/>
    <n v="285.43689319999999"/>
    <n v="8"/>
    <n v="294"/>
    <n v="97.087378639999997"/>
    <s v="Rajasthan"/>
  </r>
  <r>
    <n v="1.5990418468146598E+17"/>
    <s v="2025-05-30"/>
    <x v="8"/>
    <x v="3"/>
    <n v="444806"/>
    <n v="7117"/>
    <n v="3"/>
    <n v="163.1067961"/>
    <n v="4"/>
    <n v="168"/>
    <n v="45.631067960000003"/>
    <s v="Uttar Pradesh"/>
  </r>
  <r>
    <n v="1.5704038869470499E+17"/>
    <s v="2025-05-22"/>
    <x v="8"/>
    <x v="0"/>
    <n v="361315"/>
    <n v="7117"/>
    <n v="3"/>
    <n v="267.96116499999999"/>
    <n v="8"/>
    <n v="276"/>
    <n v="54.368932039999997"/>
    <s v="Bihar"/>
  </r>
  <r>
    <n v="1.5889659138471299E+17"/>
    <s v="2025-05-27"/>
    <x v="8"/>
    <x v="1"/>
    <n v="324001"/>
    <n v="7117"/>
    <n v="3"/>
    <n v="153.3980583"/>
    <n v="4"/>
    <n v="158"/>
    <n v="49.514563109999997"/>
    <s v="Bihar"/>
  </r>
  <r>
    <n v="1.5416295772597101E+17"/>
    <s v="2025-05-14"/>
    <x v="8"/>
    <x v="1"/>
    <n v="516127"/>
    <n v="7117"/>
    <n v="3"/>
    <n v="166.9902913"/>
    <n v="5"/>
    <n v="172"/>
    <n v="45.631067960000003"/>
    <s v="Uttar Pradesh"/>
  </r>
  <r>
    <n v="1.5381084663917501E+17"/>
    <s v="2025-05-13"/>
    <x v="8"/>
    <x v="3"/>
    <n v="532001"/>
    <n v="7117"/>
    <n v="3"/>
    <n v="169.90291260000001"/>
    <n v="5"/>
    <n v="175"/>
    <n v="48.543689319999999"/>
    <s v="Andhra Pradesh"/>
  </r>
  <r>
    <n v="1.55743563505304E+17"/>
    <s v="2025-05-18"/>
    <x v="8"/>
    <x v="1"/>
    <n v="209729"/>
    <n v="7117"/>
    <n v="3"/>
    <n v="164.07766989999999"/>
    <n v="4"/>
    <n v="169"/>
    <n v="46.601941750000002"/>
    <s v="Uttar Pradesh"/>
  </r>
  <r>
    <n v="1.5968751121920998E+17"/>
    <s v="2025-05-29"/>
    <x v="8"/>
    <x v="1"/>
    <n v="400103"/>
    <n v="7117"/>
    <n v="3"/>
    <n v="157.28155340000001"/>
    <n v="4"/>
    <n v="162"/>
    <n v="38.834951459999999"/>
    <s v="Andhra Pradesh"/>
  </r>
  <r>
    <n v="1.5025382416132099E+17"/>
    <s v="2025-05-03"/>
    <x v="8"/>
    <x v="2"/>
    <n v="852210"/>
    <n v="7117"/>
    <n v="3"/>
    <n v="146.6019417"/>
    <n v="4"/>
    <n v="151"/>
    <n v="42.7184466"/>
    <s v="Uttar Pradesh"/>
  </r>
  <r>
    <n v="1.5015502342190202E+17"/>
    <s v="2025-05-03"/>
    <x v="8"/>
    <x v="1"/>
    <n v="284002"/>
    <n v="7117"/>
    <n v="3"/>
    <n v="177.66990290000001"/>
    <n v="5"/>
    <n v="183"/>
    <n v="56.310679610000001"/>
    <s v="Odisha"/>
  </r>
  <r>
    <n v="1.5410921576080998E+17"/>
    <s v="2025-05-14"/>
    <x v="8"/>
    <x v="1"/>
    <n v="261001"/>
    <n v="7117"/>
    <n v="3"/>
    <n v="146.6019417"/>
    <n v="4"/>
    <n v="151"/>
    <n v="42.7184466"/>
    <s v="Uttar Pradesh"/>
  </r>
  <r>
    <n v="1.5128341001414499E+17"/>
    <s v="2025-05-06"/>
    <x v="8"/>
    <x v="5"/>
    <n v="228001"/>
    <n v="7117"/>
    <n v="3"/>
    <n v="155.33980579999999"/>
    <n v="4"/>
    <n v="160"/>
    <n v="51.456310680000001"/>
    <s v="Andhra Pradesh"/>
  </r>
  <r>
    <n v="1.60259110221196E+17"/>
    <s v="2025-05-31"/>
    <x v="8"/>
    <x v="4"/>
    <n v="560066"/>
    <n v="7117"/>
    <n v="3"/>
    <n v="152.42718450000001"/>
    <n v="4"/>
    <n v="157"/>
    <n v="55.339805830000003"/>
    <s v="West Bengal"/>
  </r>
  <r>
    <n v="1.5049686433609299E+17"/>
    <s v="2025-05-04"/>
    <x v="8"/>
    <x v="1"/>
    <n v="276403"/>
    <n v="7117"/>
    <n v="3"/>
    <n v="166.9902913"/>
    <n v="5"/>
    <n v="172"/>
    <n v="53.398058249999998"/>
    <s v="Punjab"/>
  </r>
  <r>
    <n v="1.4976556335782701E+17"/>
    <s v="2025-05-02"/>
    <x v="8"/>
    <x v="0"/>
    <n v="845426"/>
    <n v="7117"/>
    <n v="3"/>
    <n v="169.90291260000001"/>
    <n v="5"/>
    <n v="175"/>
    <n v="48.543689319999999"/>
    <s v="Bihar"/>
  </r>
  <r>
    <n v="1.4941757739961699E+17"/>
    <s v="2025-05-01"/>
    <x v="8"/>
    <x v="0"/>
    <n v="560058"/>
    <n v="7117"/>
    <n v="3"/>
    <n v="174.7572816"/>
    <n v="5"/>
    <n v="180"/>
    <n v="53.398058249999998"/>
    <s v="Chhattisgarh"/>
  </r>
  <r>
    <n v="1.4945764935555699E+17"/>
    <s v="2025-05-01"/>
    <x v="8"/>
    <x v="2"/>
    <n v="144004"/>
    <n v="7117"/>
    <n v="3"/>
    <n v="157.28155340000001"/>
    <n v="4"/>
    <n v="162"/>
    <n v="53.398058249999998"/>
    <s v="West Bengal"/>
  </r>
  <r>
    <n v="1.4992803414825798E+17"/>
    <s v="2025-05-02"/>
    <x v="8"/>
    <x v="1"/>
    <n v="284202"/>
    <n v="7117"/>
    <n v="3"/>
    <n v="164.07766989999999"/>
    <n v="4"/>
    <n v="169"/>
    <n v="46.601941750000002"/>
    <s v="Delhi"/>
  </r>
  <r>
    <n v="1.50177559548168E+17"/>
    <s v="2025-05-03"/>
    <x v="8"/>
    <x v="1"/>
    <n v="222137"/>
    <n v="7117"/>
    <n v="3"/>
    <n v="164.07766989999999"/>
    <n v="4"/>
    <n v="169"/>
    <n v="42.7184466"/>
    <s v="Maharashtra"/>
  </r>
  <r>
    <n v="1.55386219117748E+17"/>
    <s v="2025-05-18"/>
    <x v="8"/>
    <x v="1"/>
    <n v="143001"/>
    <n v="7117"/>
    <n v="3"/>
    <n v="208.7378641"/>
    <n v="6"/>
    <n v="215"/>
    <n v="53.398058249999998"/>
    <s v="Bihar"/>
  </r>
  <r>
    <n v="1.5346098003726301E+17"/>
    <s v="2025-05-12"/>
    <x v="8"/>
    <x v="1"/>
    <n v="455336"/>
    <n v="7117"/>
    <n v="3"/>
    <n v="167.96116499999999"/>
    <n v="5"/>
    <n v="173"/>
    <n v="46.601941750000002"/>
    <s v="Uttar Pradesh"/>
  </r>
  <r>
    <n v="1.5408685445818E+17"/>
    <s v="2025-05-14"/>
    <x v="8"/>
    <x v="1"/>
    <n v="276404"/>
    <n v="7117"/>
    <n v="3"/>
    <n v="193.20388349999999"/>
    <n v="5"/>
    <n v="199"/>
    <n v="71.844660189999999"/>
    <s v="Tripura"/>
  </r>
  <r>
    <n v="1.4985523591764499E+17"/>
    <s v="2025-05-02"/>
    <x v="8"/>
    <x v="1"/>
    <n v="485666"/>
    <n v="7117"/>
    <n v="3"/>
    <n v="153.3980583"/>
    <n v="4"/>
    <n v="158"/>
    <n v="49.514563109999997"/>
    <s v="Karnataka"/>
  </r>
  <r>
    <n v="1.5887628293802E+17"/>
    <s v="2025-05-27"/>
    <x v="8"/>
    <x v="0"/>
    <n v="221005"/>
    <n v="7117"/>
    <n v="3"/>
    <n v="156.31067959999999"/>
    <n v="4"/>
    <n v="161"/>
    <n v="38.834951459999999"/>
    <s v="Madhya Pradesh"/>
  </r>
  <r>
    <n v="1.5280533285789501E+17"/>
    <s v="2025-05-10"/>
    <x v="8"/>
    <x v="5"/>
    <n v="743126"/>
    <n v="7117"/>
    <n v="3"/>
    <n v="174.7572816"/>
    <n v="5"/>
    <n v="180"/>
    <n v="53.398058249999998"/>
    <s v="Uttar Pradesh"/>
  </r>
  <r>
    <n v="1.5027448732867501E+17"/>
    <s v="2025-05-03"/>
    <x v="8"/>
    <x v="1"/>
    <n v="246149"/>
    <n v="7117"/>
    <n v="3"/>
    <n v="168.93203879999999"/>
    <n v="5"/>
    <n v="174"/>
    <n v="47.57281553"/>
    <s v="Tamil Nadu"/>
  </r>
  <r>
    <n v="1.5640151471276301E+17"/>
    <s v="2025-05-20"/>
    <x v="8"/>
    <x v="0"/>
    <n v="743234"/>
    <n v="7117"/>
    <n v="3"/>
    <n v="150.4854369"/>
    <n v="4"/>
    <n v="155"/>
    <n v="53.398058249999998"/>
    <s v="Andhra Pradesh"/>
  </r>
  <r>
    <n v="1.5972546220035501E+17"/>
    <s v="2025-05-29"/>
    <x v="8"/>
    <x v="0"/>
    <n v="276207"/>
    <n v="7117"/>
    <n v="3"/>
    <n v="166.9902913"/>
    <n v="5"/>
    <n v="172"/>
    <n v="49.514563109999997"/>
    <s v="Madhya Pradesh"/>
  </r>
  <r>
    <n v="1.5089393047591802E+17"/>
    <s v="2025-05-05"/>
    <x v="8"/>
    <x v="1"/>
    <n v="743312"/>
    <n v="7117"/>
    <n v="18"/>
    <n v="121.18644070000001"/>
    <n v="21"/>
    <n v="143"/>
    <n v="43.220338980000001"/>
    <s v="Jammu And Kashmir"/>
  </r>
  <r>
    <n v="1.5813991713692602E+17"/>
    <s v="2025-05-25"/>
    <x v="8"/>
    <x v="5"/>
    <n v="121005"/>
    <n v="7117"/>
    <n v="3"/>
    <n v="160.19417480000001"/>
    <n v="4"/>
    <n v="165"/>
    <n v="38.834951459999999"/>
    <s v="Telangana"/>
  </r>
  <r>
    <n v="1.54281512073148E+17"/>
    <s v="2025-05-14"/>
    <x v="8"/>
    <x v="2"/>
    <n v="801503"/>
    <n v="7117"/>
    <n v="3"/>
    <n v="163.1067961"/>
    <n v="4"/>
    <n v="168"/>
    <n v="45.631067960000003"/>
    <s v="Uttar Pradesh"/>
  </r>
  <r>
    <n v="1.50166142661068E+17"/>
    <s v="2025-05-03"/>
    <x v="8"/>
    <x v="0"/>
    <n v="392001"/>
    <n v="330410"/>
    <n v="18"/>
    <n v="202.5423729"/>
    <n v="36"/>
    <n v="239"/>
    <n v="45.762711860000003"/>
    <s v="Punjab"/>
  </r>
  <r>
    <n v="1.5349515601478499E+17"/>
    <s v="2025-05-12"/>
    <x v="8"/>
    <x v="0"/>
    <n v="123001"/>
    <n v="7117"/>
    <n v="18"/>
    <n v="127.1186441"/>
    <n v="22"/>
    <n v="150"/>
    <n v="36.440677970000003"/>
    <s v="Goa"/>
  </r>
  <r>
    <n v="1.50224394068136E+17"/>
    <s v="2025-05-03"/>
    <x v="8"/>
    <x v="1"/>
    <n v="180010"/>
    <n v="7117"/>
    <n v="3"/>
    <n v="174.7572816"/>
    <n v="5"/>
    <n v="180"/>
    <n v="53.398058249999998"/>
    <s v="Karnataka"/>
  </r>
  <r>
    <n v="1.5043468109913299E+17"/>
    <s v="2025-05-04"/>
    <x v="8"/>
    <x v="3"/>
    <n v="560027"/>
    <n v="7117"/>
    <n v="3"/>
    <n v="168.93203879999999"/>
    <n v="5"/>
    <n v="174"/>
    <n v="37.86407767"/>
    <s v="Goa"/>
  </r>
  <r>
    <n v="1.5662256182271501E+17"/>
    <s v="2025-05-21"/>
    <x v="8"/>
    <x v="2"/>
    <n v="228001"/>
    <n v="7117"/>
    <n v="3"/>
    <n v="235.92233010000001"/>
    <n v="7"/>
    <n v="243"/>
    <n v="39.805825239999997"/>
    <s v="Madhya Pradesh"/>
  </r>
  <r>
    <n v="1.4954599439555398E+17"/>
    <s v="2025-05-01"/>
    <x v="8"/>
    <x v="0"/>
    <n v="423203"/>
    <n v="7117"/>
    <n v="3"/>
    <n v="174.7572816"/>
    <n v="5"/>
    <n v="180"/>
    <n v="53.398058249999998"/>
    <s v="Telangana"/>
  </r>
  <r>
    <n v="1.5243733011527802E+17"/>
    <s v="2025-05-09"/>
    <x v="8"/>
    <x v="3"/>
    <n v="416122"/>
    <n v="7117"/>
    <n v="3"/>
    <n v="172.81553400000001"/>
    <n v="5"/>
    <n v="178"/>
    <n v="51.456310680000001"/>
    <s v="Madhya Pradesh"/>
  </r>
  <r>
    <n v="1.50223841218168E+17"/>
    <s v="2025-05-03"/>
    <x v="8"/>
    <x v="1"/>
    <n v="788101"/>
    <n v="7117"/>
    <n v="3"/>
    <n v="165.04854370000001"/>
    <n v="4"/>
    <n v="170"/>
    <n v="43.689320389999999"/>
    <s v="Tamil Nadu"/>
  </r>
  <r>
    <n v="1.5261042173028499E+17"/>
    <s v="2025-05-10"/>
    <x v="8"/>
    <x v="1"/>
    <n v="600077"/>
    <n v="7117"/>
    <n v="3"/>
    <n v="370.87378639999997"/>
    <n v="11"/>
    <n v="382"/>
    <n v="79.611650490000002"/>
    <s v="Uttar Pradesh"/>
  </r>
  <r>
    <n v="1.54447218915916E+17"/>
    <s v="2025-05-15"/>
    <x v="8"/>
    <x v="1"/>
    <n v="176092"/>
    <n v="7117"/>
    <n v="3"/>
    <n v="157.28155340000001"/>
    <n v="4"/>
    <n v="162"/>
    <n v="53.398058249999998"/>
    <s v="Andhra Pradesh"/>
  </r>
  <r>
    <n v="1.5265444304372198E+17"/>
    <s v="2025-05-10"/>
    <x v="8"/>
    <x v="3"/>
    <n v="562138"/>
    <n v="7117"/>
    <n v="3"/>
    <n v="143.68932040000001"/>
    <n v="4"/>
    <n v="148"/>
    <n v="39.805825239999997"/>
    <s v="Andhra Pradesh"/>
  </r>
  <r>
    <n v="1.5713109127787501E+17"/>
    <s v="2025-05-22"/>
    <x v="8"/>
    <x v="3"/>
    <n v="284202"/>
    <n v="7117"/>
    <n v="3"/>
    <n v="165.04854370000001"/>
    <n v="4"/>
    <n v="170"/>
    <n v="61.165048540000001"/>
    <s v="Tamil Nadu"/>
  </r>
  <r>
    <n v="1.5426812788970099E+17"/>
    <s v="2025-05-14"/>
    <x v="8"/>
    <x v="3"/>
    <n v="412306"/>
    <n v="7117"/>
    <n v="3"/>
    <n v="224.2718447"/>
    <n v="6"/>
    <n v="231"/>
    <n v="59.223300969999997"/>
    <s v="Karnataka"/>
  </r>
  <r>
    <n v="1.5600850604507699E+17"/>
    <s v="2025-05-19"/>
    <x v="8"/>
    <x v="3"/>
    <n v="516127"/>
    <n v="7117"/>
    <n v="3"/>
    <n v="214.56310680000001"/>
    <n v="6"/>
    <n v="221"/>
    <n v="60.194174760000003"/>
    <s v="Maharashtra"/>
  </r>
  <r>
    <n v="1.5384496348077299E+17"/>
    <s v="2025-05-13"/>
    <x v="8"/>
    <x v="3"/>
    <n v="441210"/>
    <n v="330410"/>
    <n v="18"/>
    <n v="202.5423729"/>
    <n v="36"/>
    <n v="239"/>
    <n v="45.762711860000003"/>
    <s v="Uttar Pradesh"/>
  </r>
  <r>
    <n v="1.5826591418425798E+17"/>
    <s v="2025-05-25"/>
    <x v="8"/>
    <x v="5"/>
    <n v="206001"/>
    <n v="7117"/>
    <n v="3"/>
    <n v="129.1262136"/>
    <n v="3"/>
    <n v="133"/>
    <n v="34.951456309999998"/>
    <s v="Rajasthan"/>
  </r>
  <r>
    <n v="1.5085395444761402E+17"/>
    <s v="2025-05-05"/>
    <x v="8"/>
    <x v="1"/>
    <n v="131102"/>
    <n v="7117"/>
    <n v="3"/>
    <n v="174.7572816"/>
    <n v="5"/>
    <n v="180"/>
    <n v="53.398058249999998"/>
    <s v="Gujarat"/>
  </r>
  <r>
    <n v="1.54990558510036E+17"/>
    <s v="2025-05-16"/>
    <x v="8"/>
    <x v="1"/>
    <n v="835207"/>
    <n v="7117"/>
    <n v="3"/>
    <n v="174.7572816"/>
    <n v="5"/>
    <n v="180"/>
    <n v="53.398058249999998"/>
    <s v="Andhra Pradesh"/>
  </r>
  <r>
    <n v="1.5662830548218899E+17"/>
    <s v="2025-05-21"/>
    <x v="8"/>
    <x v="1"/>
    <n v="361325"/>
    <n v="7117"/>
    <n v="3"/>
    <n v="133.0097087"/>
    <n v="3"/>
    <n v="137"/>
    <n v="53.398058249999998"/>
    <s v="Haryana"/>
  </r>
  <r>
    <n v="1.5525444704230301E+17"/>
    <s v="2025-05-17"/>
    <x v="8"/>
    <x v="3"/>
    <n v="462041"/>
    <n v="7117"/>
    <n v="3"/>
    <n v="142.71844659999999"/>
    <n v="4"/>
    <n v="147"/>
    <n v="38.834951459999999"/>
    <s v="Bihar"/>
  </r>
  <r>
    <n v="1.5461412791708301E+17"/>
    <s v="2025-05-15"/>
    <x v="8"/>
    <x v="3"/>
    <n v="614303"/>
    <n v="7117"/>
    <n v="3"/>
    <n v="224.2718447"/>
    <n v="6"/>
    <n v="231"/>
    <n v="59.223300969999997"/>
    <s v="Karnataka"/>
  </r>
  <r>
    <n v="1.5856824777869402E+17"/>
    <s v="2025-05-26"/>
    <x v="8"/>
    <x v="1"/>
    <n v="841424"/>
    <n v="7117"/>
    <n v="3"/>
    <n v="166.0194175"/>
    <n v="4"/>
    <n v="171"/>
    <n v="71.844660189999999"/>
    <s v="Andaman And Nicobar Islands"/>
  </r>
  <r>
    <n v="1.5169692772981299E+17"/>
    <s v="2025-05-07"/>
    <x v="8"/>
    <x v="1"/>
    <n v="752094"/>
    <n v="7117"/>
    <n v="3"/>
    <n v="166.0194175"/>
    <n v="4"/>
    <n v="171"/>
    <n v="44.660194169999997"/>
    <s v="Uttar Pradesh"/>
  </r>
  <r>
    <n v="1.4951633852842099E+17"/>
    <s v="2025-05-01"/>
    <x v="8"/>
    <x v="3"/>
    <n v="440001"/>
    <n v="7117"/>
    <n v="3"/>
    <n v="212.6213592"/>
    <n v="6"/>
    <n v="219"/>
    <n v="47.57281553"/>
    <s v="Tamil Nadu"/>
  </r>
  <r>
    <n v="1.5528177604503699E+17"/>
    <s v="2025-05-17"/>
    <x v="8"/>
    <x v="4"/>
    <n v="533468"/>
    <n v="7117"/>
    <n v="3"/>
    <n v="157.28155340000001"/>
    <n v="4"/>
    <n v="162"/>
    <n v="53.398058249999998"/>
    <s v="Gujarat"/>
  </r>
  <r>
    <n v="1.5701248554995501E+17"/>
    <s v="2025-05-22"/>
    <x v="8"/>
    <x v="1"/>
    <n v="522101"/>
    <n v="7117"/>
    <n v="3"/>
    <n v="140.77669900000001"/>
    <n v="4"/>
    <n v="145"/>
    <n v="53.398058249999998"/>
    <s v="Odisha"/>
  </r>
  <r>
    <n v="1.55626893927232E+17"/>
    <s v="2025-05-18"/>
    <x v="8"/>
    <x v="6"/>
    <n v="535593"/>
    <n v="7117"/>
    <n v="3"/>
    <n v="186.40776700000001"/>
    <n v="5"/>
    <n v="192"/>
    <n v="45.631067960000003"/>
    <s v="Uttar Pradesh"/>
  </r>
  <r>
    <n v="1.54787439259492E+17"/>
    <s v="2025-05-16"/>
    <x v="8"/>
    <x v="1"/>
    <n v="201201"/>
    <n v="7117"/>
    <n v="3"/>
    <n v="213.59223299999999"/>
    <n v="6"/>
    <n v="220"/>
    <n v="72.815533979999998"/>
    <s v="Assam"/>
  </r>
  <r>
    <n v="1.5959040332931501E+17"/>
    <s v="2025-05-29"/>
    <x v="8"/>
    <x v="1"/>
    <n v="151001"/>
    <n v="7117"/>
    <n v="3"/>
    <n v="174.7572816"/>
    <n v="5"/>
    <n v="180"/>
    <n v="53.398058249999998"/>
    <s v="Odisha"/>
  </r>
  <r>
    <n v="1.58816138199904E+17"/>
    <s v="2025-05-27"/>
    <x v="8"/>
    <x v="2"/>
    <n v="852214"/>
    <n v="7117"/>
    <n v="3"/>
    <n v="193.20388349999999"/>
    <n v="5"/>
    <n v="199"/>
    <n v="71.844660189999999"/>
    <s v="Assam"/>
  </r>
  <r>
    <n v="1.5889618746484899E+17"/>
    <s v="2025-05-27"/>
    <x v="8"/>
    <x v="1"/>
    <n v="126115"/>
    <n v="7117"/>
    <n v="3"/>
    <n v="163.1067961"/>
    <n v="4"/>
    <n v="168"/>
    <n v="45.631067960000003"/>
    <s v="Uttar Pradesh"/>
  </r>
  <r>
    <n v="1.5168981187412198E+17"/>
    <s v="2025-05-07"/>
    <x v="8"/>
    <x v="3"/>
    <n v="841426"/>
    <n v="7117"/>
    <n v="3"/>
    <n v="166.0194175"/>
    <n v="4"/>
    <n v="171"/>
    <n v="44.660194169999997"/>
    <s v="Uttar Pradesh"/>
  </r>
  <r>
    <n v="1.5161746380813501E+17"/>
    <s v="2025-05-07"/>
    <x v="8"/>
    <x v="2"/>
    <n v="184143"/>
    <n v="7117"/>
    <n v="3"/>
    <n v="182.52427180000001"/>
    <n v="5"/>
    <n v="188"/>
    <n v="61.165048540000001"/>
    <s v="Tripura"/>
  </r>
  <r>
    <n v="1.5195667792308E+17"/>
    <s v="2025-05-08"/>
    <x v="8"/>
    <x v="4"/>
    <n v="532430"/>
    <n v="7117"/>
    <n v="3"/>
    <n v="160.19417480000001"/>
    <n v="4"/>
    <n v="165"/>
    <n v="38.834951459999999"/>
    <s v="Uttar Pradesh"/>
  </r>
  <r>
    <n v="1.51296558288964E+17"/>
    <s v="2025-05-06"/>
    <x v="8"/>
    <x v="3"/>
    <n v="829119"/>
    <n v="7117"/>
    <n v="3"/>
    <n v="169.90291260000001"/>
    <n v="5"/>
    <n v="175"/>
    <n v="48.543689319999999"/>
    <s v="West Bengal"/>
  </r>
  <r>
    <n v="1.53315159459308E+17"/>
    <s v="2025-05-12"/>
    <x v="8"/>
    <x v="1"/>
    <n v="143001"/>
    <n v="7117"/>
    <n v="3"/>
    <n v="154.368932"/>
    <n v="4"/>
    <n v="159"/>
    <n v="46.601941750000002"/>
    <s v="Uttar Pradesh"/>
  </r>
  <r>
    <n v="1.6026701056187802E+17"/>
    <s v="2025-05-31"/>
    <x v="8"/>
    <x v="0"/>
    <n v="803201"/>
    <n v="7117"/>
    <n v="3"/>
    <n v="193.20388349999999"/>
    <n v="5"/>
    <n v="199"/>
    <n v="71.844660189999999"/>
    <s v="Tripura"/>
  </r>
  <r>
    <n v="1.6804806059632301E+17"/>
    <s v="2025-06-21"/>
    <x v="9"/>
    <x v="3"/>
    <n v="533435"/>
    <n v="7117"/>
    <n v="3"/>
    <n v="170.8737864"/>
    <n v="5"/>
    <n v="176"/>
    <n v="52.42718447"/>
    <s v="Odisha"/>
  </r>
  <r>
    <n v="1.6678223752051501E+17"/>
    <s v="2025-06-18"/>
    <x v="9"/>
    <x v="1"/>
    <n v="132103"/>
    <n v="7117"/>
    <n v="3"/>
    <n v="205.82524269999999"/>
    <n v="6"/>
    <n v="212"/>
    <n v="69.902912619999995"/>
    <s v="Sikkim"/>
  </r>
  <r>
    <n v="1.65371657409104E+17"/>
    <s v="2025-06-14"/>
    <x v="9"/>
    <x v="6"/>
    <n v="711106"/>
    <n v="7117"/>
    <n v="3"/>
    <n v="168.93203879999999"/>
    <n v="5"/>
    <n v="174"/>
    <n v="47.57281553"/>
    <s v="Bihar"/>
  </r>
  <r>
    <n v="1.6406559450841402E+17"/>
    <s v="2025-06-10"/>
    <x v="9"/>
    <x v="1"/>
    <n v="560067"/>
    <n v="7117"/>
    <n v="3"/>
    <n v="154.368932"/>
    <n v="4"/>
    <n v="159"/>
    <n v="36.893203880000002"/>
    <s v="Karnataka"/>
  </r>
  <r>
    <n v="1.7084851242326499E+17"/>
    <s v="2025-06-29"/>
    <x v="9"/>
    <x v="0"/>
    <n v="390001"/>
    <n v="7117"/>
    <n v="3"/>
    <n v="165.04854370000001"/>
    <n v="4"/>
    <n v="170"/>
    <n v="47.57281553"/>
    <s v="Uttarakhand"/>
  </r>
  <r>
    <n v="1.6227463860804301E+17"/>
    <s v="2025-06-06"/>
    <x v="9"/>
    <x v="3"/>
    <n v="413112"/>
    <n v="7117"/>
    <n v="3"/>
    <n v="157.28155340000001"/>
    <n v="4"/>
    <n v="162"/>
    <n v="39.805825239999997"/>
    <s v="Uttar Pradesh"/>
  </r>
  <r>
    <n v="1.6325696122267501E+17"/>
    <s v="2025-06-08"/>
    <x v="9"/>
    <x v="1"/>
    <n v="413112"/>
    <n v="7117"/>
    <n v="3"/>
    <n v="133.9805825"/>
    <n v="4"/>
    <n v="138"/>
    <n v="39.805825239999997"/>
    <s v="Odisha"/>
  </r>
  <r>
    <n v="1.6324685870639002E+17"/>
    <s v="2025-06-08"/>
    <x v="9"/>
    <x v="3"/>
    <n v="813106"/>
    <n v="7117"/>
    <n v="3"/>
    <n v="165.04854370000001"/>
    <n v="4"/>
    <n v="170"/>
    <n v="35.922330100000003"/>
    <s v="Bihar"/>
  </r>
  <r>
    <n v="1.6950676994349798E+17"/>
    <s v="2025-06-25"/>
    <x v="9"/>
    <x v="1"/>
    <n v="500008"/>
    <n v="7117"/>
    <n v="3"/>
    <n v="149.5145631"/>
    <n v="4"/>
    <n v="154"/>
    <n v="32.038834950000002"/>
    <s v="Uttar Pradesh"/>
  </r>
  <r>
    <n v="1.6830871290415101E+17"/>
    <s v="2025-06-22"/>
    <x v="9"/>
    <x v="1"/>
    <n v="670611"/>
    <n v="7117"/>
    <n v="3"/>
    <n v="159.22330099999999"/>
    <n v="4"/>
    <n v="164"/>
    <n v="37.86407767"/>
    <s v="Bihar"/>
  </r>
  <r>
    <n v="1.6477945415621402E+17"/>
    <s v="2025-06-12"/>
    <x v="9"/>
    <x v="1"/>
    <n v="152021"/>
    <n v="7117"/>
    <n v="3"/>
    <n v="161.16504850000001"/>
    <n v="4"/>
    <n v="166"/>
    <n v="43.689320389999999"/>
    <s v="Madhya Pradesh"/>
  </r>
  <r>
    <n v="1.6319328288386202E+17"/>
    <s v="2025-06-08"/>
    <x v="9"/>
    <x v="1"/>
    <n v="813106"/>
    <n v="7117"/>
    <n v="3"/>
    <n v="133.9805825"/>
    <n v="4"/>
    <n v="138"/>
    <n v="39.805825239999997"/>
    <s v="Maharashtra"/>
  </r>
  <r>
    <n v="1.64690090122252E+17"/>
    <s v="2025-06-12"/>
    <x v="9"/>
    <x v="2"/>
    <n v="284002"/>
    <n v="7117"/>
    <n v="3"/>
    <n v="149.5145631"/>
    <n v="4"/>
    <n v="154"/>
    <n v="32.038834950000002"/>
    <s v="Gujarat"/>
  </r>
  <r>
    <n v="1.6079993775018202E+17"/>
    <s v="2025-06-01"/>
    <x v="9"/>
    <x v="1"/>
    <n v="509210"/>
    <n v="7117"/>
    <n v="3"/>
    <n v="171.84466019999999"/>
    <n v="5"/>
    <n v="177"/>
    <n v="54.368932039999997"/>
    <s v="Odisha"/>
  </r>
  <r>
    <n v="1.6785988908649699E+17"/>
    <s v="2025-06-21"/>
    <x v="9"/>
    <x v="3"/>
    <n v="751024"/>
    <n v="7117"/>
    <n v="3"/>
    <n v="191.2621359"/>
    <n v="5"/>
    <n v="197"/>
    <n v="69.902912619999995"/>
    <s v="Tripura"/>
  </r>
  <r>
    <n v="1.6298851786218202E+17"/>
    <s v="2025-06-07"/>
    <x v="9"/>
    <x v="4"/>
    <n v="845451"/>
    <n v="7117"/>
    <n v="3"/>
    <n v="460.19417479999998"/>
    <n v="13"/>
    <n v="474"/>
    <n v="107.76699029"/>
    <s v="Bihar"/>
  </r>
  <r>
    <n v="1.6568336740964899E+17"/>
    <s v="2025-06-15"/>
    <x v="9"/>
    <x v="2"/>
    <n v="600055"/>
    <n v="7117"/>
    <n v="3"/>
    <n v="172.81553400000001"/>
    <n v="5"/>
    <n v="178"/>
    <n v="55.339805830000003"/>
    <s v="Karnataka"/>
  </r>
  <r>
    <n v="1.6362967978485699E+17"/>
    <s v="2025-06-09"/>
    <x v="9"/>
    <x v="2"/>
    <n v="825336"/>
    <n v="7117"/>
    <n v="3"/>
    <n v="175.7281553"/>
    <n v="5"/>
    <n v="181"/>
    <n v="58.252427179999998"/>
    <s v="Karnataka"/>
  </r>
  <r>
    <n v="1.6691763926751699E+17"/>
    <s v="2025-06-18"/>
    <x v="9"/>
    <x v="3"/>
    <n v="813106"/>
    <n v="7117"/>
    <n v="3"/>
    <n v="224.2718447"/>
    <n v="6"/>
    <n v="231"/>
    <n v="69.902912619999995"/>
    <s v="Assam"/>
  </r>
  <r>
    <n v="1.6584799157022301E+17"/>
    <s v="2025-06-15"/>
    <x v="9"/>
    <x v="0"/>
    <n v="301020"/>
    <n v="7117"/>
    <n v="3"/>
    <n v="162.1359223"/>
    <n v="4"/>
    <n v="167"/>
    <n v="44.660194169999997"/>
    <s v="Uttar Pradesh"/>
  </r>
  <r>
    <n v="1.6579336592611901E+17"/>
    <s v="2025-06-15"/>
    <x v="9"/>
    <x v="1"/>
    <n v="534112"/>
    <n v="7117"/>
    <n v="3"/>
    <n v="131.06796120000001"/>
    <n v="3"/>
    <n v="135"/>
    <n v="36.893203880000002"/>
    <s v="Karnataka"/>
  </r>
  <r>
    <n v="1.67521509829804E+17"/>
    <s v="2025-06-20"/>
    <x v="9"/>
    <x v="1"/>
    <n v="110059"/>
    <n v="7117"/>
    <n v="3"/>
    <n v="155.33980579999999"/>
    <n v="4"/>
    <n v="160"/>
    <n v="37.86407767"/>
    <s v="Odisha"/>
  </r>
  <r>
    <n v="1.6547086458116701E+17"/>
    <s v="2025-06-14"/>
    <x v="9"/>
    <x v="1"/>
    <n v="828112"/>
    <n v="7117"/>
    <n v="3"/>
    <n v="151.45631069999999"/>
    <n v="4"/>
    <n v="156"/>
    <n v="47.57281553"/>
    <s v="Bihar"/>
  </r>
  <r>
    <n v="1.6284301529824198E+17"/>
    <s v="2025-06-07"/>
    <x v="9"/>
    <x v="1"/>
    <n v="500030"/>
    <n v="7117"/>
    <n v="3"/>
    <n v="169.90291260000001"/>
    <n v="5"/>
    <n v="175"/>
    <n v="48.543689319999999"/>
    <s v="Rajasthan"/>
  </r>
  <r>
    <n v="1.6056727299453699E+17"/>
    <s v="2025-06-01"/>
    <x v="9"/>
    <x v="3"/>
    <n v="486331"/>
    <n v="7117"/>
    <n v="3"/>
    <n v="162.1359223"/>
    <n v="4"/>
    <n v="167"/>
    <n v="48.543689319999999"/>
    <s v="Uttar Pradesh"/>
  </r>
  <r>
    <n v="1.6787277222258301E+17"/>
    <s v="2025-06-21"/>
    <x v="9"/>
    <x v="1"/>
    <n v="841226"/>
    <n v="7117"/>
    <n v="3"/>
    <n v="164.07766989999999"/>
    <n v="4"/>
    <n v="169"/>
    <n v="46.601941750000002"/>
    <s v="Karnataka"/>
  </r>
  <r>
    <n v="1.6317151352755002E+17"/>
    <s v="2025-06-08"/>
    <x v="9"/>
    <x v="1"/>
    <n v="421002"/>
    <n v="7117"/>
    <n v="3"/>
    <n v="153.3980583"/>
    <n v="4"/>
    <n v="158"/>
    <n v="35.922330100000003"/>
    <s v="Haryana"/>
  </r>
  <r>
    <n v="1.6323484271991501E+17"/>
    <s v="2025-06-08"/>
    <x v="9"/>
    <x v="1"/>
    <n v="852109"/>
    <n v="330410"/>
    <n v="18"/>
    <n v="202.5423729"/>
    <n v="36"/>
    <n v="239"/>
    <n v="45.762711860000003"/>
    <s v="Punjab"/>
  </r>
  <r>
    <n v="1.6310536698990099E+17"/>
    <s v="2025-06-08"/>
    <x v="9"/>
    <x v="3"/>
    <n v="403521"/>
    <n v="7117"/>
    <n v="3"/>
    <n v="147.57281549999999"/>
    <n v="4"/>
    <n v="152"/>
    <n v="53.398058249999998"/>
    <s v="Tamil Nadu"/>
  </r>
  <r>
    <n v="1.7084407999847101E+17"/>
    <s v="2025-06-29"/>
    <x v="9"/>
    <x v="1"/>
    <n v="804432"/>
    <n v="7117"/>
    <n v="3"/>
    <n v="188.34951459999999"/>
    <n v="5"/>
    <n v="194"/>
    <n v="70.873786409999994"/>
    <s v="Odisha"/>
  </r>
  <r>
    <n v="1.6056692148438E+17"/>
    <s v="2025-06-01"/>
    <x v="9"/>
    <x v="5"/>
    <n v="495004"/>
    <n v="7117"/>
    <n v="3"/>
    <n v="162.1359223"/>
    <n v="4"/>
    <n v="167"/>
    <n v="48.543689319999999"/>
    <s v="Uttar Pradesh"/>
  </r>
  <r>
    <n v="1.61399886058196E+17"/>
    <s v="2025-06-03"/>
    <x v="9"/>
    <x v="1"/>
    <n v="335501"/>
    <n v="7117"/>
    <n v="3"/>
    <n v="147.57281549999999"/>
    <n v="4"/>
    <n v="152"/>
    <n v="53.398058249999998"/>
    <s v="Gujarat"/>
  </r>
  <r>
    <n v="1.6903216643136198E+17"/>
    <s v="2025-06-24"/>
    <x v="9"/>
    <x v="0"/>
    <n v="829301"/>
    <n v="7117"/>
    <n v="3"/>
    <n v="111.65048539999999"/>
    <n v="3"/>
    <n v="115"/>
    <n v="44.660194169999997"/>
    <s v="Uttar Pradesh"/>
  </r>
  <r>
    <n v="1.6721144941304198E+17"/>
    <s v="2025-06-19"/>
    <x v="9"/>
    <x v="1"/>
    <n v="534437"/>
    <n v="7117"/>
    <n v="3"/>
    <n v="146.6019417"/>
    <n v="4"/>
    <n v="151"/>
    <n v="66.990291260000006"/>
    <s v="Karnataka"/>
  </r>
  <r>
    <n v="1.6317190564464198E+17"/>
    <s v="2025-06-08"/>
    <x v="9"/>
    <x v="1"/>
    <n v="811315"/>
    <n v="7117"/>
    <n v="3"/>
    <n v="214.56310680000001"/>
    <n v="6"/>
    <n v="221"/>
    <n v="60.194174760000003"/>
    <s v="Maharashtra"/>
  </r>
  <r>
    <n v="1.62794638481408E+17"/>
    <s v="2025-06-07"/>
    <x v="9"/>
    <x v="0"/>
    <n v="281501"/>
    <n v="7117"/>
    <n v="3"/>
    <n v="161.16504850000001"/>
    <n v="4"/>
    <n v="166"/>
    <n v="43.689320389999999"/>
    <s v="Telangana"/>
  </r>
  <r>
    <n v="1.6694239435590899E+17"/>
    <s v="2025-06-18"/>
    <x v="9"/>
    <x v="0"/>
    <n v="814152"/>
    <n v="7117"/>
    <n v="3"/>
    <n v="170.8737864"/>
    <n v="5"/>
    <n v="176"/>
    <n v="53.398058249999998"/>
    <s v="Gujarat"/>
  </r>
  <r>
    <n v="1.6765862815578899E+17"/>
    <s v="2025-06-20"/>
    <x v="9"/>
    <x v="0"/>
    <n v="531024"/>
    <n v="7117"/>
    <n v="3"/>
    <n v="193.20388349999999"/>
    <n v="5"/>
    <n v="199"/>
    <n v="52.42718447"/>
    <s v="Tamil Nadu"/>
  </r>
  <r>
    <n v="1.6082333255867802E+17"/>
    <s v="2025-06-02"/>
    <x v="9"/>
    <x v="1"/>
    <n v="431501"/>
    <n v="7117"/>
    <n v="3"/>
    <n v="122.3300971"/>
    <n v="3"/>
    <n v="126"/>
    <n v="28.155339810000001"/>
    <s v="Rajasthan"/>
  </r>
  <r>
    <n v="1.6781045548512099E+17"/>
    <s v="2025-06-21"/>
    <x v="9"/>
    <x v="1"/>
    <n v="140402"/>
    <n v="7117"/>
    <n v="3"/>
    <n v="152.42718450000001"/>
    <n v="4"/>
    <n v="157"/>
    <n v="48.543689319999999"/>
    <s v="Bihar"/>
  </r>
  <r>
    <n v="1.6538283656062701E+17"/>
    <s v="2025-06-14"/>
    <x v="9"/>
    <x v="1"/>
    <n v="501218"/>
    <n v="7117"/>
    <n v="3"/>
    <n v="166.0194175"/>
    <n v="4"/>
    <n v="171"/>
    <n v="44.660194169999997"/>
    <s v="Uttar Pradesh"/>
  </r>
  <r>
    <n v="1.6468264103212E+17"/>
    <s v="2025-06-12"/>
    <x v="9"/>
    <x v="3"/>
    <n v="273006"/>
    <n v="7117"/>
    <n v="3"/>
    <n v="160.19417480000001"/>
    <n v="4"/>
    <n v="165"/>
    <n v="42.7184466"/>
    <s v="Uttar Pradesh"/>
  </r>
  <r>
    <n v="1.6807806952023699E+17"/>
    <s v="2025-06-22"/>
    <x v="9"/>
    <x v="1"/>
    <n v="440034"/>
    <n v="7117"/>
    <n v="3"/>
    <n v="174.7572816"/>
    <n v="5"/>
    <n v="180"/>
    <n v="33.009708740000001"/>
    <s v="Delhi"/>
  </r>
  <r>
    <n v="1.6312760568706202E+17"/>
    <s v="2025-06-08"/>
    <x v="9"/>
    <x v="1"/>
    <n v="276205"/>
    <n v="7117"/>
    <n v="3"/>
    <n v="165.04854370000001"/>
    <n v="4"/>
    <n v="170"/>
    <n v="47.57281553"/>
    <s v="Delhi"/>
  </r>
  <r>
    <n v="1.6062680723260499E+17"/>
    <s v="2025-06-01"/>
    <x v="9"/>
    <x v="1"/>
    <n v="303712"/>
    <n v="330410"/>
    <n v="18"/>
    <n v="176.2711864"/>
    <n v="31"/>
    <n v="208"/>
    <n v="45.762711860000003"/>
    <s v="Uttar Pradesh"/>
  </r>
  <r>
    <n v="1.69400631906372E+17"/>
    <s v="2025-06-25"/>
    <x v="9"/>
    <x v="1"/>
    <n v="493118"/>
    <n v="7117"/>
    <n v="3"/>
    <n v="128.15533980000001"/>
    <n v="3"/>
    <n v="132"/>
    <n v="33.980582519999999"/>
    <s v="Rajasthan"/>
  </r>
  <r>
    <n v="1.6547176512517101E+17"/>
    <s v="2025-06-14"/>
    <x v="9"/>
    <x v="2"/>
    <n v="145025"/>
    <n v="7117"/>
    <n v="3"/>
    <n v="151.45631069999999"/>
    <n v="4"/>
    <n v="156"/>
    <n v="47.57281553"/>
    <s v="Bihar"/>
  </r>
  <r>
    <n v="1.6586363562600198E+17"/>
    <s v="2025-06-15"/>
    <x v="9"/>
    <x v="3"/>
    <n v="121003"/>
    <n v="7117"/>
    <n v="3"/>
    <n v="207.7669903"/>
    <n v="6"/>
    <n v="214"/>
    <n v="53.398058249999998"/>
    <s v="West Bengal"/>
  </r>
  <r>
    <n v="1.70756798972792E+17"/>
    <s v="2025-06-29"/>
    <x v="9"/>
    <x v="1"/>
    <n v="207242"/>
    <n v="7117"/>
    <n v="3"/>
    <n v="169.90291260000001"/>
    <n v="5"/>
    <n v="175"/>
    <n v="52.42718447"/>
    <s v="Kerala"/>
  </r>
  <r>
    <n v="1.6825197328659398E+17"/>
    <s v="2025-06-22"/>
    <x v="9"/>
    <x v="1"/>
    <n v="788001"/>
    <n v="7117"/>
    <n v="3"/>
    <n v="171.84466019999999"/>
    <n v="5"/>
    <n v="177"/>
    <n v="54.368932039999997"/>
    <s v="Maharashtra"/>
  </r>
  <r>
    <n v="1.6577503901368602E+17"/>
    <s v="2025-06-15"/>
    <x v="9"/>
    <x v="1"/>
    <n v="501501"/>
    <n v="7117"/>
    <n v="3"/>
    <n v="263.1067961"/>
    <n v="7"/>
    <n v="271"/>
    <n v="66.990291260000006"/>
    <s v="Andhra Pradesh"/>
  </r>
  <r>
    <n v="1.7126938601893501E+17"/>
    <s v="2025-06-30"/>
    <x v="9"/>
    <x v="3"/>
    <n v="847240"/>
    <n v="7117"/>
    <n v="3"/>
    <n v="114.5631068"/>
    <n v="3"/>
    <n v="118"/>
    <n v="47.57281553"/>
    <s v="Punjab"/>
  </r>
  <r>
    <n v="1.66049447548652E+17"/>
    <s v="2025-06-16"/>
    <x v="9"/>
    <x v="1"/>
    <n v="844115"/>
    <n v="7117"/>
    <n v="3"/>
    <n v="146.6019417"/>
    <n v="4"/>
    <n v="151"/>
    <n v="29.126213589999999"/>
    <s v="Uttar Pradesh"/>
  </r>
  <r>
    <n v="1.6348626200622202E+17"/>
    <s v="2025-06-09"/>
    <x v="9"/>
    <x v="1"/>
    <n v="276123"/>
    <n v="330410"/>
    <n v="18"/>
    <n v="205.93220339999999"/>
    <n v="37"/>
    <n v="243"/>
    <n v="49.152542369999999"/>
    <s v="Haryana"/>
  </r>
  <r>
    <n v="1.6934976552742499E+17"/>
    <s v="2025-06-25"/>
    <x v="9"/>
    <x v="3"/>
    <n v="761105"/>
    <n v="7117"/>
    <n v="3"/>
    <n v="147.57281549999999"/>
    <n v="4"/>
    <n v="152"/>
    <n v="53.398058249999998"/>
    <s v="Madhya Pradesh"/>
  </r>
  <r>
    <n v="1.60951512309796E+17"/>
    <s v="2025-06-02"/>
    <x v="9"/>
    <x v="0"/>
    <n v="400053"/>
    <n v="7117"/>
    <n v="3"/>
    <n v="166.9902913"/>
    <n v="5"/>
    <n v="172"/>
    <n v="45.631067960000003"/>
    <s v="Uttar Pradesh"/>
  </r>
  <r>
    <n v="1.6550842529248198E+17"/>
    <s v="2025-06-14"/>
    <x v="9"/>
    <x v="2"/>
    <n v="845451"/>
    <n v="7117"/>
    <n v="3"/>
    <n v="159.22330099999999"/>
    <n v="4"/>
    <n v="164"/>
    <n v="37.86407767"/>
    <s v="Tamil Nadu"/>
  </r>
  <r>
    <n v="1.6617768685360701E+17"/>
    <s v="2025-06-16"/>
    <x v="9"/>
    <x v="1"/>
    <n v="332719"/>
    <n v="7117"/>
    <n v="3"/>
    <n v="150.4854369"/>
    <n v="4"/>
    <n v="155"/>
    <n v="33.009708740000001"/>
    <s v="Himachal Pradesh"/>
  </r>
  <r>
    <n v="1.6241463919020198E+17"/>
    <s v="2025-06-06"/>
    <x v="9"/>
    <x v="2"/>
    <n v="281501"/>
    <n v="7117"/>
    <n v="3"/>
    <n v="204.8543689"/>
    <n v="6"/>
    <n v="211"/>
    <n v="49.514563109999997"/>
    <s v="Haryana"/>
  </r>
  <r>
    <n v="1.6961423765555299E+17"/>
    <s v="2025-06-26"/>
    <x v="9"/>
    <x v="0"/>
    <n v="263126"/>
    <n v="7117"/>
    <n v="3"/>
    <n v="112.6213592"/>
    <n v="3"/>
    <n v="116"/>
    <n v="45.631067960000003"/>
    <s v="Uttar Pradesh"/>
  </r>
  <r>
    <n v="1.7119511609388602E+17"/>
    <s v="2025-06-30"/>
    <x v="9"/>
    <x v="1"/>
    <n v="312601"/>
    <n v="7117"/>
    <n v="3"/>
    <n v="176.69902909999999"/>
    <n v="5"/>
    <n v="182"/>
    <n v="55.339805830000003"/>
    <s v="Gujarat"/>
  </r>
  <r>
    <n v="1.69954152685012E+17"/>
    <s v="2025-06-27"/>
    <x v="9"/>
    <x v="1"/>
    <n v="110053"/>
    <n v="7117"/>
    <n v="3"/>
    <n v="167.96116499999999"/>
    <n v="5"/>
    <n v="173"/>
    <n v="36.893203880000002"/>
    <s v="West Bengal"/>
  </r>
  <r>
    <n v="1.71265125775412E+17"/>
    <s v="2025-06-30"/>
    <x v="9"/>
    <x v="3"/>
    <n v="277123"/>
    <n v="7117"/>
    <n v="3"/>
    <n v="163.1067961"/>
    <n v="4"/>
    <n v="168"/>
    <n v="45.631067960000003"/>
    <s v="Punjab"/>
  </r>
  <r>
    <n v="1.67154385890348E+17"/>
    <s v="2025-06-19"/>
    <x v="9"/>
    <x v="1"/>
    <n v="700119"/>
    <n v="7117"/>
    <n v="3"/>
    <n v="208.7378641"/>
    <n v="6"/>
    <n v="215"/>
    <n v="54.368932039999997"/>
    <s v="Maharashtra"/>
  </r>
  <r>
    <n v="1.6723841137831699E+17"/>
    <s v="2025-06-19"/>
    <x v="9"/>
    <x v="1"/>
    <n v="440017"/>
    <n v="7117"/>
    <n v="3"/>
    <n v="141.7475728"/>
    <n v="4"/>
    <n v="146"/>
    <n v="47.57281553"/>
    <s v="Delhi"/>
  </r>
  <r>
    <n v="1.7110175898185299E+17"/>
    <s v="2025-06-30"/>
    <x v="9"/>
    <x v="3"/>
    <n v="232327"/>
    <n v="7117"/>
    <n v="3"/>
    <n v="191.2621359"/>
    <n v="5"/>
    <n v="197"/>
    <n v="69.902912619999995"/>
    <s v="Jammu And Kashmir"/>
  </r>
  <r>
    <n v="1.7074322231502499E+17"/>
    <s v="2025-06-29"/>
    <x v="9"/>
    <x v="3"/>
    <n v="144001"/>
    <n v="7117"/>
    <n v="3"/>
    <n v="147.57281549999999"/>
    <n v="4"/>
    <n v="152"/>
    <n v="53.398058249999998"/>
    <s v="Jharkhand"/>
  </r>
  <r>
    <n v="1.6934380414130899E+17"/>
    <s v="2025-06-25"/>
    <x v="9"/>
    <x v="0"/>
    <n v="766100"/>
    <n v="7117"/>
    <n v="3"/>
    <n v="186.40776700000001"/>
    <n v="5"/>
    <n v="192"/>
    <n v="32.038834950000002"/>
    <s v="Uttar Pradesh"/>
  </r>
  <r>
    <n v="1.6336015643491299E+17"/>
    <s v="2025-06-09"/>
    <x v="9"/>
    <x v="3"/>
    <n v="276123"/>
    <n v="7117"/>
    <n v="3"/>
    <n v="153.3980583"/>
    <n v="4"/>
    <n v="158"/>
    <n v="35.922330100000003"/>
    <s v="Rajasthan"/>
  </r>
  <r>
    <n v="1.7833124518774598E+17"/>
    <s v="2025-07-20"/>
    <x v="10"/>
    <x v="3"/>
    <n v="591234"/>
    <n v="7117"/>
    <n v="3"/>
    <n v="166.9902913"/>
    <n v="5"/>
    <n v="172"/>
    <n v="45.631067960000003"/>
    <s v="Uttar Pradesh"/>
  </r>
  <r>
    <n v="1.7731450319570598E+17"/>
    <s v="2025-07-17"/>
    <x v="10"/>
    <x v="5"/>
    <n v="844102"/>
    <n v="330410"/>
    <n v="18"/>
    <n v="413.55932200000001"/>
    <n v="74"/>
    <n v="488"/>
    <n v="133.89830508"/>
    <s v="Jammu And Kashmir"/>
  </r>
  <r>
    <n v="1.7798666551880899E+17"/>
    <s v="2025-07-19"/>
    <x v="10"/>
    <x v="3"/>
    <n v="274702"/>
    <n v="7117"/>
    <n v="3"/>
    <n v="174.7572816"/>
    <n v="5"/>
    <n v="180"/>
    <n v="53.398058249999998"/>
    <s v="Chhattisgarh"/>
  </r>
  <r>
    <n v="1.7375207529653901E+17"/>
    <s v="2025-07-07"/>
    <x v="10"/>
    <x v="3"/>
    <n v="825408"/>
    <n v="7117"/>
    <n v="3"/>
    <n v="177.66990290000001"/>
    <n v="5"/>
    <n v="183"/>
    <n v="36.893203880000002"/>
    <s v="Andhra Pradesh"/>
  </r>
  <r>
    <n v="1.7320436721256099E+17"/>
    <s v="2025-07-06"/>
    <x v="10"/>
    <x v="0"/>
    <n v="307024"/>
    <n v="7117"/>
    <n v="3"/>
    <n v="137.8640777"/>
    <n v="4"/>
    <n v="142"/>
    <n v="48.543689319999999"/>
    <s v="Uttar Pradesh"/>
  </r>
  <r>
    <n v="1.7163597062508E+17"/>
    <s v="2025-07-01"/>
    <x v="10"/>
    <x v="1"/>
    <n v="532430"/>
    <n v="7117"/>
    <n v="3"/>
    <n v="168.93203879999999"/>
    <n v="5"/>
    <n v="174"/>
    <n v="47.57281553"/>
    <s v="Punjab"/>
  </r>
  <r>
    <n v="1.7765524770601699E+17"/>
    <s v="2025-07-18"/>
    <x v="10"/>
    <x v="1"/>
    <n v="208021"/>
    <n v="330410"/>
    <n v="18"/>
    <n v="202.5423729"/>
    <n v="36"/>
    <n v="239"/>
    <n v="45.762711860000003"/>
    <s v="Haryana"/>
  </r>
  <r>
    <n v="1.80731761629852E+17"/>
    <s v="2025-07-26"/>
    <x v="10"/>
    <x v="3"/>
    <n v="803114"/>
    <n v="7117"/>
    <n v="3"/>
    <n v="175.7281553"/>
    <n v="5"/>
    <n v="181"/>
    <n v="54.368932039999997"/>
    <s v="Karnataka"/>
  </r>
  <r>
    <n v="1.7890544603548602E+17"/>
    <s v="2025-07-21"/>
    <x v="10"/>
    <x v="3"/>
    <n v="825409"/>
    <n v="7117"/>
    <n v="3"/>
    <n v="189.32038829999999"/>
    <n v="5"/>
    <n v="195"/>
    <n v="71.844660189999999"/>
    <s v="Jammu And Kashmir"/>
  </r>
  <r>
    <n v="1.7199713578754099E+17"/>
    <s v="2025-07-02"/>
    <x v="10"/>
    <x v="2"/>
    <n v="481880"/>
    <n v="7117"/>
    <n v="3"/>
    <n v="148.54368930000001"/>
    <n v="4"/>
    <n v="153"/>
    <n v="44.660194169999997"/>
    <s v="Telangana"/>
  </r>
  <r>
    <n v="1.72169563222328E+17"/>
    <s v="2025-07-03"/>
    <x v="10"/>
    <x v="1"/>
    <n v="638152"/>
    <n v="7117"/>
    <n v="3"/>
    <n v="273.78640780000001"/>
    <n v="8"/>
    <n v="282"/>
    <n v="77.669902910000005"/>
    <s v="Andhra Pradesh"/>
  </r>
  <r>
    <n v="1.7665875544062301E+17"/>
    <s v="2025-07-15"/>
    <x v="10"/>
    <x v="0"/>
    <n v="141006"/>
    <n v="7117"/>
    <n v="3"/>
    <n v="227.18446599999999"/>
    <n v="6"/>
    <n v="234"/>
    <n v="33.009708740000001"/>
    <s v="Uttar Pradesh"/>
  </r>
  <r>
    <n v="1.8064200380075901E+17"/>
    <s v="2025-07-26"/>
    <x v="10"/>
    <x v="1"/>
    <n v="841436"/>
    <n v="7117"/>
    <n v="3"/>
    <n v="166.0194175"/>
    <n v="4"/>
    <n v="171"/>
    <n v="48.543689319999999"/>
    <s v="Bihar"/>
  </r>
  <r>
    <n v="1.7927884355382598E+17"/>
    <s v="2025-07-22"/>
    <x v="10"/>
    <x v="3"/>
    <n v="591234"/>
    <n v="7117"/>
    <n v="3"/>
    <n v="145.631068"/>
    <n v="4"/>
    <n v="150"/>
    <n v="48.543689319999999"/>
    <s v="Uttar Pradesh"/>
  </r>
  <r>
    <n v="1.7819249089215101E+17"/>
    <s v="2025-07-19"/>
    <x v="10"/>
    <x v="0"/>
    <n v="601201"/>
    <n v="330410"/>
    <n v="18"/>
    <n v="190.67796609999999"/>
    <n v="34"/>
    <n v="225"/>
    <n v="54.237288139999997"/>
    <s v="Karnataka"/>
  </r>
  <r>
    <n v="1.736142559107E+17"/>
    <s v="2025-07-07"/>
    <x v="10"/>
    <x v="3"/>
    <n v="822117"/>
    <n v="330410"/>
    <n v="18"/>
    <n v="186.44067799999999"/>
    <n v="33"/>
    <n v="220"/>
    <n v="46.610169489999997"/>
    <s v="Uttar Pradesh"/>
  </r>
  <r>
    <n v="1.71543003508168E+17"/>
    <s v="2025-07-01"/>
    <x v="10"/>
    <x v="3"/>
    <n v="493445"/>
    <n v="7117"/>
    <n v="3"/>
    <n v="193.20388349999999"/>
    <n v="5"/>
    <n v="199"/>
    <n v="52.42718447"/>
    <s v="Tamil Nadu"/>
  </r>
  <r>
    <n v="1.81674591500104E+17"/>
    <s v="2025-07-29"/>
    <x v="10"/>
    <x v="1"/>
    <n v="272194"/>
    <n v="7117"/>
    <n v="3"/>
    <n v="166.9902913"/>
    <n v="5"/>
    <n v="172"/>
    <n v="45.631067960000003"/>
    <s v="Uttar Pradesh"/>
  </r>
  <r>
    <n v="1.7296036101883501E+17"/>
    <s v="2025-07-05"/>
    <x v="10"/>
    <x v="1"/>
    <n v="272191"/>
    <n v="7117"/>
    <n v="3"/>
    <n v="174.7572816"/>
    <n v="5"/>
    <n v="180"/>
    <n v="53.398058249999998"/>
    <s v="Chhattisgarh"/>
  </r>
  <r>
    <n v="1.74457561167792E+17"/>
    <s v="2025-07-09"/>
    <x v="10"/>
    <x v="1"/>
    <n v="455001"/>
    <n v="7117"/>
    <n v="3"/>
    <n v="174.7572816"/>
    <n v="5"/>
    <n v="180"/>
    <n v="53.398058249999998"/>
    <s v="Bihar"/>
  </r>
  <r>
    <n v="1.7983444460916602E+17"/>
    <s v="2025-07-24"/>
    <x v="10"/>
    <x v="2"/>
    <n v="212659"/>
    <n v="7117"/>
    <n v="3"/>
    <n v="158.2524272"/>
    <n v="4"/>
    <n v="163"/>
    <n v="54.368932039999997"/>
    <s v="Bihar"/>
  </r>
  <r>
    <n v="1.7160307114623299E+17"/>
    <s v="2025-07-01"/>
    <x v="10"/>
    <x v="6"/>
    <n v="442905"/>
    <n v="7117"/>
    <n v="3"/>
    <n v="250.4854369"/>
    <n v="7"/>
    <n v="258"/>
    <n v="54.368932039999997"/>
    <s v="Madhya Pradesh"/>
  </r>
  <r>
    <n v="1.81309712045732E+17"/>
    <s v="2025-07-28"/>
    <x v="10"/>
    <x v="1"/>
    <n v="799264"/>
    <n v="7117"/>
    <n v="3"/>
    <n v="171.84466019999999"/>
    <n v="5"/>
    <n v="177"/>
    <n v="54.368932039999997"/>
    <s v="Tamil Nadu"/>
  </r>
  <r>
    <n v="1.8237589985296E+17"/>
    <s v="2025-07-31"/>
    <x v="10"/>
    <x v="3"/>
    <n v="284204"/>
    <n v="7117"/>
    <n v="3"/>
    <n v="135.92233010000001"/>
    <n v="4"/>
    <n v="140"/>
    <n v="38.834951459999999"/>
    <s v="Tamil Nadu"/>
  </r>
  <r>
    <n v="1.7195646176418202E+17"/>
    <s v="2025-07-02"/>
    <x v="10"/>
    <x v="1"/>
    <n v="243005"/>
    <n v="7117"/>
    <n v="3"/>
    <n v="181.55339810000001"/>
    <n v="5"/>
    <n v="187"/>
    <n v="60.194174760000003"/>
    <s v="Andhra Pradesh"/>
  </r>
  <r>
    <n v="1.7198522442555398E+17"/>
    <s v="2025-07-02"/>
    <x v="10"/>
    <x v="1"/>
    <n v="475675"/>
    <n v="7117"/>
    <n v="3"/>
    <n v="166.0194175"/>
    <n v="4"/>
    <n v="171"/>
    <n v="44.660194169999997"/>
    <s v="Uttar Pradesh"/>
  </r>
  <r>
    <n v="1.7698644211505402E+17"/>
    <s v="2025-07-16"/>
    <x v="10"/>
    <x v="6"/>
    <n v="824211"/>
    <n v="7117"/>
    <n v="3"/>
    <n v="166.9902913"/>
    <n v="5"/>
    <n v="172"/>
    <n v="45.631067960000003"/>
    <s v="Uttar Pradesh"/>
  </r>
  <r>
    <n v="1.8249100701912E+17"/>
    <s v="2025-07-31"/>
    <x v="10"/>
    <x v="3"/>
    <n v="123029"/>
    <n v="7117"/>
    <n v="3"/>
    <n v="145.631068"/>
    <n v="4"/>
    <n v="150"/>
    <n v="48.543689319999999"/>
    <s v="Uttar Pradesh"/>
  </r>
  <r>
    <n v="1.7916288801518099E+17"/>
    <s v="2025-07-22"/>
    <x v="10"/>
    <x v="1"/>
    <n v="768110"/>
    <n v="7117"/>
    <n v="3"/>
    <n v="166.0194175"/>
    <n v="4"/>
    <n v="171"/>
    <n v="48.543689319999999"/>
    <s v="Uttar Pradesh"/>
  </r>
  <r>
    <n v="1.8253363278230301E+17"/>
    <s v="2025-07-31"/>
    <x v="10"/>
    <x v="3"/>
    <n v="110074"/>
    <n v="7117"/>
    <n v="3"/>
    <n v="169.90291260000001"/>
    <n v="5"/>
    <n v="175"/>
    <n v="48.543689319999999"/>
    <s v="Chhattisgarh"/>
  </r>
  <r>
    <n v="1.93717719068284E+17"/>
    <s v="2025-08-31"/>
    <x v="11"/>
    <x v="3"/>
    <n v="390010"/>
    <n v="7117"/>
    <n v="3"/>
    <n v="145.631068"/>
    <n v="4"/>
    <n v="150"/>
    <n v="51.456310680000001"/>
    <s v="Rajasthan"/>
  </r>
  <r>
    <n v="1.9160204051775501E+17"/>
    <s v="2025-08-25"/>
    <x v="11"/>
    <x v="2"/>
    <n v="445301"/>
    <n v="7117"/>
    <n v="3"/>
    <n v="168.93203879999999"/>
    <n v="5"/>
    <n v="174"/>
    <n v="51.456310680000001"/>
    <s v="Punjab"/>
  </r>
  <r>
    <n v="1.89341000141144E+17"/>
    <s v="2025-08-19"/>
    <x v="11"/>
    <x v="2"/>
    <n v="743504"/>
    <n v="7117"/>
    <n v="3"/>
    <n v="287.37864080000003"/>
    <n v="8"/>
    <n v="296"/>
    <n v="38.834951459999999"/>
    <s v="Odisha"/>
  </r>
  <r>
    <n v="1.9104293055869798E+17"/>
    <s v="2025-08-24"/>
    <x v="11"/>
    <x v="1"/>
    <n v="500067"/>
    <n v="7117"/>
    <n v="3"/>
    <n v="150.4854369"/>
    <n v="4"/>
    <n v="155"/>
    <n v="40.776699030000003"/>
    <s v="Bihar"/>
  </r>
  <r>
    <n v="1.8760061283758899E+17"/>
    <s v="2025-08-14"/>
    <x v="11"/>
    <x v="5"/>
    <n v="517408"/>
    <n v="7117"/>
    <n v="3"/>
    <n v="131.06796120000001"/>
    <n v="3"/>
    <n v="135"/>
    <n v="36.893203880000002"/>
    <s v="Odisha"/>
  </r>
  <r>
    <n v="1.8677096849922E+17"/>
    <s v="2025-08-12"/>
    <x v="11"/>
    <x v="1"/>
    <n v="281005"/>
    <n v="7117"/>
    <n v="3"/>
    <n v="219.41747570000001"/>
    <n v="6"/>
    <n v="226"/>
    <n v="57.2815534"/>
    <s v="Bihar"/>
  </r>
  <r>
    <n v="1.8303912652551002E+17"/>
    <s v="2025-08-02"/>
    <x v="11"/>
    <x v="1"/>
    <n v="624710"/>
    <n v="7117"/>
    <n v="3"/>
    <n v="166.0194175"/>
    <n v="4"/>
    <n v="171"/>
    <n v="56.310679610000001"/>
    <s v="Gujarat"/>
  </r>
  <r>
    <n v="1.84983578541868E+17"/>
    <s v="2025-08-07"/>
    <x v="11"/>
    <x v="1"/>
    <n v="828402"/>
    <n v="7117"/>
    <n v="3"/>
    <n v="174.7572816"/>
    <n v="5"/>
    <n v="180"/>
    <n v="57.2815534"/>
    <s v="Andhra Pradesh"/>
  </r>
  <r>
    <n v="1.8420587991318899E+17"/>
    <s v="2025-08-05"/>
    <x v="11"/>
    <x v="3"/>
    <n v="440016"/>
    <n v="7117"/>
    <n v="3"/>
    <n v="146.6019417"/>
    <n v="4"/>
    <n v="151"/>
    <n v="29.126213589999999"/>
    <s v="Bihar"/>
  </r>
  <r>
    <n v="1.90718104342168E+17"/>
    <s v="2025-08-23"/>
    <x v="11"/>
    <x v="1"/>
    <n v="782105"/>
    <n v="7117"/>
    <n v="3"/>
    <n v="199.02912620000001"/>
    <n v="5"/>
    <n v="205"/>
    <n v="58.252427179999998"/>
    <s v="Tamil Nadu"/>
  </r>
  <r>
    <n v="1.8569095621618899E+17"/>
    <s v="2025-08-09"/>
    <x v="11"/>
    <x v="1"/>
    <n v="621719"/>
    <n v="7117"/>
    <n v="3"/>
    <n v="153.3980583"/>
    <n v="4"/>
    <n v="158"/>
    <n v="35.922330100000003"/>
    <s v="Karnataka"/>
  </r>
  <r>
    <n v="1.8925052726610701E+17"/>
    <s v="2025-08-19"/>
    <x v="11"/>
    <x v="1"/>
    <n v="332025"/>
    <n v="330410"/>
    <n v="18"/>
    <n v="187.2881356"/>
    <n v="33"/>
    <n v="221"/>
    <n v="30.508474580000001"/>
    <s v="Uttar Pradesh"/>
  </r>
  <r>
    <n v="1.91144630480584E+17"/>
    <s v="2025-08-24"/>
    <x v="11"/>
    <x v="1"/>
    <n v="508222"/>
    <n v="7117"/>
    <n v="3"/>
    <n v="149.5145631"/>
    <n v="4"/>
    <n v="154"/>
    <n v="39.805825239999997"/>
    <s v="Telangana"/>
  </r>
  <r>
    <n v="1.90796621737672E+17"/>
    <s v="2025-08-23"/>
    <x v="11"/>
    <x v="1"/>
    <n v="148023"/>
    <n v="7117"/>
    <n v="3"/>
    <n v="151.45631069999999"/>
    <n v="4"/>
    <n v="156"/>
    <n v="33.980582519999999"/>
    <s v="Delhi"/>
  </r>
  <r>
    <n v="1.9079680994551398E+17"/>
    <s v="2025-08-23"/>
    <x v="11"/>
    <x v="1"/>
    <n v="497225"/>
    <n v="7117"/>
    <n v="3"/>
    <n v="167.96116499999999"/>
    <n v="5"/>
    <n v="173"/>
    <n v="50.485436890000003"/>
    <s v="Delhi"/>
  </r>
  <r>
    <n v="1.8321811232021299E+17"/>
    <s v="2025-08-02"/>
    <x v="11"/>
    <x v="1"/>
    <n v="764073"/>
    <n v="7117"/>
    <n v="3"/>
    <n v="159.22330099999999"/>
    <n v="4"/>
    <n v="164"/>
    <n v="58.252427179999998"/>
    <s v="Odisha"/>
  </r>
  <r>
    <n v="1.9047194362278499E+17"/>
    <s v="2025-08-22"/>
    <x v="11"/>
    <x v="5"/>
    <n v="382418"/>
    <n v="7117"/>
    <n v="3"/>
    <n v="174.7572816"/>
    <n v="5"/>
    <n v="180"/>
    <n v="57.2815534"/>
    <s v="Bihar"/>
  </r>
  <r>
    <n v="1.8687862412863101E+17"/>
    <s v="2025-08-12"/>
    <x v="11"/>
    <x v="3"/>
    <n v="243751"/>
    <n v="7117"/>
    <n v="3"/>
    <n v="151.45631069999999"/>
    <n v="4"/>
    <n v="156"/>
    <n v="33.980582519999999"/>
    <s v="Uttar Pradesh"/>
  </r>
  <r>
    <n v="1.8613230800866701E+17"/>
    <s v="2025-08-10"/>
    <x v="11"/>
    <x v="1"/>
    <n v="110081"/>
    <n v="7117"/>
    <n v="3"/>
    <n v="167.96116499999999"/>
    <n v="5"/>
    <n v="173"/>
    <n v="50.485436890000003"/>
    <s v="Haryana"/>
  </r>
  <r>
    <n v="1.89238800294396E+17"/>
    <s v="2025-08-19"/>
    <x v="11"/>
    <x v="0"/>
    <n v="123501"/>
    <n v="7117"/>
    <n v="3"/>
    <n v="150.4854369"/>
    <n v="4"/>
    <n v="155"/>
    <n v="33.009708740000001"/>
    <s v="Delhi"/>
  </r>
  <r>
    <n v="1.8797452284104301E+17"/>
    <s v="2025-08-15"/>
    <x v="11"/>
    <x v="1"/>
    <n v="532421"/>
    <n v="7117"/>
    <n v="3"/>
    <n v="131.06796120000001"/>
    <n v="3"/>
    <n v="135"/>
    <n v="36.893203880000002"/>
    <s v="Maharashtra"/>
  </r>
  <r>
    <n v="1.92444402906464E+17"/>
    <s v="2025-08-28"/>
    <x v="11"/>
    <x v="1"/>
    <n v="444107"/>
    <n v="7117"/>
    <n v="3"/>
    <n v="136.8932039"/>
    <n v="4"/>
    <n v="141"/>
    <n v="42.7184466"/>
    <s v="Kerala"/>
  </r>
  <r>
    <n v="1.9117028322187699E+17"/>
    <s v="2025-08-24"/>
    <x v="11"/>
    <x v="1"/>
    <n v="121003"/>
    <n v="7117"/>
    <n v="3"/>
    <n v="178.6407767"/>
    <n v="5"/>
    <n v="184"/>
    <n v="49.514563109999997"/>
    <s v="Rajasthan"/>
  </r>
  <r>
    <n v="1.8743784930521901E+17"/>
    <s v="2025-08-14"/>
    <x v="11"/>
    <x v="1"/>
    <n v="209733"/>
    <n v="7117"/>
    <n v="3"/>
    <n v="171.84466019999999"/>
    <n v="5"/>
    <n v="177"/>
    <n v="50.485436890000003"/>
    <s v="Uttarakhand"/>
  </r>
  <r>
    <n v="1.92769994638692E+17"/>
    <s v="2025-08-29"/>
    <x v="11"/>
    <x v="3"/>
    <n v="517424"/>
    <n v="7117"/>
    <n v="3"/>
    <n v="155.33980579999999"/>
    <n v="4"/>
    <n v="160"/>
    <n v="58.252427179999998"/>
    <s v="Karnataka"/>
  </r>
  <r>
    <n v="1.8270729695841299E+17"/>
    <s v="2025-08-01"/>
    <x v="11"/>
    <x v="1"/>
    <n v="226022"/>
    <n v="7117"/>
    <n v="3"/>
    <n v="168.93203879999999"/>
    <n v="5"/>
    <n v="174"/>
    <n v="47.57281553"/>
    <s v="Delhi"/>
  </r>
  <r>
    <n v="1.8941387020045501E+17"/>
    <s v="2025-08-19"/>
    <x v="11"/>
    <x v="3"/>
    <n v="753001"/>
    <n v="7117"/>
    <n v="3"/>
    <n v="176.69902909999999"/>
    <n v="5"/>
    <n v="182"/>
    <n v="55.339805830000003"/>
    <s v="Andhra Pradesh"/>
  </r>
  <r>
    <n v="1.89691917872956E+17"/>
    <s v="2025-08-20"/>
    <x v="11"/>
    <x v="1"/>
    <n v="201102"/>
    <n v="7117"/>
    <n v="3"/>
    <n v="161.16504850000001"/>
    <n v="4"/>
    <n v="166"/>
    <n v="57.2815534"/>
    <s v="Chhattisgarh"/>
  </r>
  <r>
    <n v="1.93328474524516E+17"/>
    <s v="2025-08-30"/>
    <x v="11"/>
    <x v="2"/>
    <n v="847402"/>
    <n v="7117"/>
    <n v="3"/>
    <n v="130.09708739999999"/>
    <n v="3"/>
    <n v="134"/>
    <n v="35.922330100000003"/>
    <s v="Chhattisgarh"/>
  </r>
  <r>
    <n v="1.8618178887873699E+17"/>
    <s v="2025-08-10"/>
    <x v="11"/>
    <x v="2"/>
    <n v="759122"/>
    <n v="7117"/>
    <n v="3"/>
    <n v="149.5145631"/>
    <n v="4"/>
    <n v="154"/>
    <n v="55.339805830000003"/>
    <s v="Tamil Nadu"/>
  </r>
  <r>
    <n v="1.9227037084133299E+17"/>
    <s v="2025-08-27"/>
    <x v="11"/>
    <x v="3"/>
    <n v="411039"/>
    <n v="7117"/>
    <n v="3"/>
    <n v="148.54368930000001"/>
    <n v="4"/>
    <n v="153"/>
    <n v="38.834951459999999"/>
    <s v="Maharashtra"/>
  </r>
  <r>
    <n v="1.8859722842287299E+17"/>
    <s v="2025-08-17"/>
    <x v="11"/>
    <x v="1"/>
    <n v="274409"/>
    <n v="7117"/>
    <n v="3"/>
    <n v="141.7475728"/>
    <n v="4"/>
    <n v="146"/>
    <n v="55.339805830000003"/>
    <s v="Madhya Pradesh"/>
  </r>
  <r>
    <n v="1.9116997258271501E+17"/>
    <s v="2025-08-24"/>
    <x v="11"/>
    <x v="2"/>
    <n v="636905"/>
    <n v="7117"/>
    <n v="3"/>
    <n v="138.83495149999999"/>
    <n v="4"/>
    <n v="143"/>
    <n v="50.485436890000003"/>
    <s v="Bihar"/>
  </r>
  <r>
    <n v="1.9179392109723699E+17"/>
    <s v="2025-08-26"/>
    <x v="11"/>
    <x v="0"/>
    <n v="560026"/>
    <n v="7117"/>
    <n v="3"/>
    <n v="174.7572816"/>
    <n v="5"/>
    <n v="180"/>
    <n v="57.2815534"/>
    <s v="Tamil Nadu"/>
  </r>
  <r>
    <n v="1.88546398412632E+17"/>
    <s v="2025-08-17"/>
    <x v="11"/>
    <x v="6"/>
    <n v="225409"/>
    <n v="7117"/>
    <n v="3"/>
    <n v="143.68932040000001"/>
    <n v="4"/>
    <n v="148"/>
    <n v="33.980582519999999"/>
    <s v="Delhi"/>
  </r>
  <r>
    <n v="1.8748880055700301E+17"/>
    <s v="2025-08-14"/>
    <x v="11"/>
    <x v="2"/>
    <n v="403516"/>
    <n v="7117"/>
    <n v="3"/>
    <n v="134.95145629999999"/>
    <n v="4"/>
    <n v="139"/>
    <n v="37.86407767"/>
    <s v="Gujarat"/>
  </r>
  <r>
    <m/>
    <m/>
    <x v="12"/>
    <x v="7"/>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C1521C-C7F3-4D3A-A412-7C1F8781C2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6" firstHeaderRow="1" firstDataRow="1" firstDataCol="1"/>
  <pivotFields count="15">
    <pivotField numFmtId="1" showAll="0">
      <items count="1550">
        <item x="3"/>
        <item x="13"/>
        <item x="14"/>
        <item x="11"/>
        <item x="4"/>
        <item x="5"/>
        <item x="1"/>
        <item x="12"/>
        <item x="8"/>
        <item x="6"/>
        <item x="0"/>
        <item x="10"/>
        <item x="7"/>
        <item x="9"/>
        <item x="2"/>
        <item x="74"/>
        <item x="78"/>
        <item x="64"/>
        <item x="49"/>
        <item x="133"/>
        <item x="87"/>
        <item x="149"/>
        <item x="51"/>
        <item x="92"/>
        <item x="70"/>
        <item x="15"/>
        <item x="73"/>
        <item x="24"/>
        <item x="91"/>
        <item x="96"/>
        <item x="105"/>
        <item x="33"/>
        <item x="44"/>
        <item x="128"/>
        <item x="110"/>
        <item x="25"/>
        <item x="76"/>
        <item x="124"/>
        <item x="137"/>
        <item x="38"/>
        <item x="53"/>
        <item x="140"/>
        <item x="100"/>
        <item x="114"/>
        <item x="41"/>
        <item x="21"/>
        <item x="86"/>
        <item x="101"/>
        <item x="52"/>
        <item x="77"/>
        <item x="108"/>
        <item x="19"/>
        <item x="116"/>
        <item x="102"/>
        <item x="50"/>
        <item x="109"/>
        <item x="47"/>
        <item x="122"/>
        <item x="58"/>
        <item x="36"/>
        <item x="43"/>
        <item x="106"/>
        <item x="118"/>
        <item x="88"/>
        <item x="42"/>
        <item x="80"/>
        <item x="29"/>
        <item x="95"/>
        <item x="143"/>
        <item x="72"/>
        <item x="56"/>
        <item x="65"/>
        <item x="90"/>
        <item x="112"/>
        <item x="75"/>
        <item x="16"/>
        <item x="150"/>
        <item x="22"/>
        <item x="85"/>
        <item x="82"/>
        <item x="144"/>
        <item x="129"/>
        <item x="146"/>
        <item x="93"/>
        <item x="138"/>
        <item x="66"/>
        <item x="126"/>
        <item x="125"/>
        <item x="57"/>
        <item x="135"/>
        <item x="119"/>
        <item x="79"/>
        <item x="31"/>
        <item x="39"/>
        <item x="54"/>
        <item x="147"/>
        <item x="30"/>
        <item x="32"/>
        <item x="142"/>
        <item x="148"/>
        <item x="113"/>
        <item x="23"/>
        <item x="37"/>
        <item x="40"/>
        <item x="115"/>
        <item x="123"/>
        <item x="89"/>
        <item x="35"/>
        <item x="97"/>
        <item x="98"/>
        <item x="45"/>
        <item x="131"/>
        <item x="61"/>
        <item x="130"/>
        <item x="132"/>
        <item x="62"/>
        <item x="103"/>
        <item x="60"/>
        <item x="63"/>
        <item x="55"/>
        <item x="121"/>
        <item x="117"/>
        <item x="94"/>
        <item x="28"/>
        <item x="17"/>
        <item x="111"/>
        <item x="120"/>
        <item x="83"/>
        <item x="34"/>
        <item x="134"/>
        <item x="84"/>
        <item x="81"/>
        <item x="104"/>
        <item x="59"/>
        <item x="145"/>
        <item x="139"/>
        <item x="48"/>
        <item x="127"/>
        <item x="107"/>
        <item x="99"/>
        <item x="68"/>
        <item x="136"/>
        <item x="69"/>
        <item x="20"/>
        <item x="141"/>
        <item x="18"/>
        <item x="46"/>
        <item x="151"/>
        <item x="67"/>
        <item x="27"/>
        <item x="71"/>
        <item x="26"/>
        <item x="222"/>
        <item x="279"/>
        <item x="242"/>
        <item x="221"/>
        <item x="272"/>
        <item x="257"/>
        <item x="213"/>
        <item x="183"/>
        <item x="180"/>
        <item x="235"/>
        <item x="230"/>
        <item x="330"/>
        <item x="220"/>
        <item x="248"/>
        <item x="216"/>
        <item x="177"/>
        <item x="309"/>
        <item x="160"/>
        <item x="167"/>
        <item x="281"/>
        <item x="157"/>
        <item x="297"/>
        <item x="308"/>
        <item x="209"/>
        <item x="223"/>
        <item x="240"/>
        <item x="336"/>
        <item x="245"/>
        <item x="226"/>
        <item x="256"/>
        <item x="212"/>
        <item x="190"/>
        <item x="289"/>
        <item x="229"/>
        <item x="314"/>
        <item x="192"/>
        <item x="214"/>
        <item x="198"/>
        <item x="316"/>
        <item x="184"/>
        <item x="201"/>
        <item x="263"/>
        <item x="322"/>
        <item x="298"/>
        <item x="203"/>
        <item x="205"/>
        <item x="303"/>
        <item x="252"/>
        <item x="284"/>
        <item x="265"/>
        <item x="166"/>
        <item x="249"/>
        <item x="323"/>
        <item x="159"/>
        <item x="326"/>
        <item x="320"/>
        <item x="233"/>
        <item x="173"/>
        <item x="271"/>
        <item x="164"/>
        <item x="288"/>
        <item x="246"/>
        <item x="277"/>
        <item x="174"/>
        <item x="294"/>
        <item x="204"/>
        <item x="327"/>
        <item x="169"/>
        <item x="305"/>
        <item x="152"/>
        <item x="250"/>
        <item x="333"/>
        <item x="155"/>
        <item x="196"/>
        <item x="237"/>
        <item x="153"/>
        <item x="172"/>
        <item x="301"/>
        <item x="239"/>
        <item x="307"/>
        <item x="259"/>
        <item x="193"/>
        <item x="291"/>
        <item x="241"/>
        <item x="324"/>
        <item x="234"/>
        <item x="274"/>
        <item x="154"/>
        <item x="264"/>
        <item x="191"/>
        <item x="186"/>
        <item x="304"/>
        <item x="331"/>
        <item x="195"/>
        <item x="273"/>
        <item x="328"/>
        <item x="185"/>
        <item x="189"/>
        <item x="266"/>
        <item x="280"/>
        <item x="175"/>
        <item x="199"/>
        <item x="317"/>
        <item x="228"/>
        <item x="267"/>
        <item x="278"/>
        <item x="182"/>
        <item x="254"/>
        <item x="310"/>
        <item x="207"/>
        <item x="313"/>
        <item x="162"/>
        <item x="255"/>
        <item x="295"/>
        <item x="161"/>
        <item x="218"/>
        <item x="302"/>
        <item x="179"/>
        <item x="276"/>
        <item x="315"/>
        <item x="215"/>
        <item x="285"/>
        <item x="296"/>
        <item x="244"/>
        <item x="181"/>
        <item x="325"/>
        <item x="247"/>
        <item x="270"/>
        <item x="261"/>
        <item x="334"/>
        <item x="293"/>
        <item x="258"/>
        <item x="165"/>
        <item x="306"/>
        <item x="321"/>
        <item x="178"/>
        <item x="260"/>
        <item x="197"/>
        <item x="312"/>
        <item x="168"/>
        <item x="194"/>
        <item x="210"/>
        <item x="208"/>
        <item x="158"/>
        <item x="188"/>
        <item x="238"/>
        <item x="290"/>
        <item x="286"/>
        <item x="292"/>
        <item x="268"/>
        <item x="170"/>
        <item x="300"/>
        <item x="200"/>
        <item x="282"/>
        <item x="251"/>
        <item x="262"/>
        <item x="269"/>
        <item x="329"/>
        <item x="211"/>
        <item x="318"/>
        <item x="335"/>
        <item x="225"/>
        <item x="202"/>
        <item x="156"/>
        <item x="275"/>
        <item x="187"/>
        <item x="311"/>
        <item x="236"/>
        <item x="319"/>
        <item x="163"/>
        <item x="231"/>
        <item x="219"/>
        <item x="206"/>
        <item x="287"/>
        <item x="243"/>
        <item x="332"/>
        <item x="232"/>
        <item x="217"/>
        <item x="171"/>
        <item x="224"/>
        <item x="299"/>
        <item x="176"/>
        <item x="283"/>
        <item x="227"/>
        <item x="253"/>
        <item x="426"/>
        <item x="394"/>
        <item x="409"/>
        <item x="427"/>
        <item x="445"/>
        <item x="451"/>
        <item x="345"/>
        <item x="415"/>
        <item x="355"/>
        <item x="477"/>
        <item x="430"/>
        <item x="456"/>
        <item x="384"/>
        <item x="400"/>
        <item x="383"/>
        <item x="353"/>
        <item x="494"/>
        <item x="376"/>
        <item x="373"/>
        <item x="342"/>
        <item x="458"/>
        <item x="417"/>
        <item x="481"/>
        <item x="492"/>
        <item x="440"/>
        <item x="378"/>
        <item x="447"/>
        <item x="485"/>
        <item x="349"/>
        <item x="356"/>
        <item x="500"/>
        <item x="460"/>
        <item x="482"/>
        <item x="495"/>
        <item x="344"/>
        <item x="446"/>
        <item x="491"/>
        <item x="448"/>
        <item x="488"/>
        <item x="508"/>
        <item x="423"/>
        <item x="387"/>
        <item x="357"/>
        <item x="382"/>
        <item x="502"/>
        <item x="441"/>
        <item x="393"/>
        <item x="391"/>
        <item x="352"/>
        <item x="498"/>
        <item x="361"/>
        <item x="346"/>
        <item x="474"/>
        <item x="377"/>
        <item x="457"/>
        <item x="371"/>
        <item x="459"/>
        <item x="472"/>
        <item x="475"/>
        <item x="490"/>
        <item x="471"/>
        <item x="505"/>
        <item x="499"/>
        <item x="362"/>
        <item x="444"/>
        <item x="422"/>
        <item x="449"/>
        <item x="450"/>
        <item x="501"/>
        <item x="496"/>
        <item x="443"/>
        <item x="367"/>
        <item x="402"/>
        <item x="463"/>
        <item x="363"/>
        <item x="412"/>
        <item x="359"/>
        <item x="503"/>
        <item x="465"/>
        <item x="380"/>
        <item x="439"/>
        <item x="358"/>
        <item x="348"/>
        <item x="343"/>
        <item x="436"/>
        <item x="507"/>
        <item x="385"/>
        <item x="407"/>
        <item x="468"/>
        <item x="466"/>
        <item x="338"/>
        <item x="368"/>
        <item x="424"/>
        <item x="374"/>
        <item x="425"/>
        <item x="399"/>
        <item x="397"/>
        <item x="419"/>
        <item x="484"/>
        <item x="479"/>
        <item x="390"/>
        <item x="480"/>
        <item x="455"/>
        <item x="434"/>
        <item x="347"/>
        <item x="416"/>
        <item x="414"/>
        <item x="487"/>
        <item x="381"/>
        <item x="360"/>
        <item x="375"/>
        <item x="453"/>
        <item x="398"/>
        <item x="354"/>
        <item x="370"/>
        <item x="339"/>
        <item x="467"/>
        <item x="405"/>
        <item x="410"/>
        <item x="431"/>
        <item x="351"/>
        <item x="504"/>
        <item x="483"/>
        <item x="366"/>
        <item x="462"/>
        <item x="486"/>
        <item x="350"/>
        <item x="452"/>
        <item x="469"/>
        <item x="464"/>
        <item x="497"/>
        <item x="340"/>
        <item x="401"/>
        <item x="413"/>
        <item x="372"/>
        <item x="454"/>
        <item x="476"/>
        <item x="435"/>
        <item x="428"/>
        <item x="388"/>
        <item x="493"/>
        <item x="386"/>
        <item x="437"/>
        <item x="506"/>
        <item x="389"/>
        <item x="379"/>
        <item x="365"/>
        <item x="411"/>
        <item x="403"/>
        <item x="364"/>
        <item x="341"/>
        <item x="396"/>
        <item x="369"/>
        <item x="421"/>
        <item x="408"/>
        <item x="337"/>
        <item x="392"/>
        <item x="470"/>
        <item x="406"/>
        <item x="461"/>
        <item x="509"/>
        <item x="433"/>
        <item x="432"/>
        <item x="473"/>
        <item x="442"/>
        <item x="478"/>
        <item x="418"/>
        <item x="489"/>
        <item x="395"/>
        <item x="404"/>
        <item x="420"/>
        <item x="429"/>
        <item x="438"/>
        <item x="712"/>
        <item x="656"/>
        <item x="542"/>
        <item x="600"/>
        <item x="652"/>
        <item x="580"/>
        <item x="538"/>
        <item x="572"/>
        <item x="713"/>
        <item x="637"/>
        <item x="559"/>
        <item x="698"/>
        <item x="719"/>
        <item x="634"/>
        <item x="704"/>
        <item x="628"/>
        <item x="613"/>
        <item x="588"/>
        <item x="623"/>
        <item x="694"/>
        <item x="690"/>
        <item x="659"/>
        <item x="686"/>
        <item x="630"/>
        <item x="528"/>
        <item x="687"/>
        <item x="531"/>
        <item x="658"/>
        <item x="579"/>
        <item x="604"/>
        <item x="671"/>
        <item x="723"/>
        <item x="596"/>
        <item x="722"/>
        <item x="591"/>
        <item x="619"/>
        <item x="524"/>
        <item x="660"/>
        <item x="620"/>
        <item x="684"/>
        <item x="574"/>
        <item x="551"/>
        <item x="535"/>
        <item x="602"/>
        <item x="631"/>
        <item x="724"/>
        <item x="525"/>
        <item x="567"/>
        <item x="527"/>
        <item x="587"/>
        <item x="526"/>
        <item x="593"/>
        <item x="556"/>
        <item x="543"/>
        <item x="676"/>
        <item x="533"/>
        <item x="635"/>
        <item x="512"/>
        <item x="586"/>
        <item x="517"/>
        <item x="670"/>
        <item x="513"/>
        <item x="715"/>
        <item x="622"/>
        <item x="530"/>
        <item x="564"/>
        <item x="706"/>
        <item x="562"/>
        <item x="692"/>
        <item x="597"/>
        <item x="523"/>
        <item x="627"/>
        <item x="642"/>
        <item x="548"/>
        <item x="689"/>
        <item x="565"/>
        <item x="666"/>
        <item x="662"/>
        <item x="632"/>
        <item x="608"/>
        <item x="693"/>
        <item x="629"/>
        <item x="703"/>
        <item x="583"/>
        <item x="595"/>
        <item x="699"/>
        <item x="514"/>
        <item x="661"/>
        <item x="570"/>
        <item x="625"/>
        <item x="707"/>
        <item x="626"/>
        <item x="621"/>
        <item x="721"/>
        <item x="540"/>
        <item x="520"/>
        <item x="598"/>
        <item x="678"/>
        <item x="537"/>
        <item x="643"/>
        <item x="673"/>
        <item x="550"/>
        <item x="696"/>
        <item x="665"/>
        <item x="555"/>
        <item x="612"/>
        <item x="636"/>
        <item x="610"/>
        <item x="518"/>
        <item x="718"/>
        <item x="617"/>
        <item x="653"/>
        <item x="539"/>
        <item x="558"/>
        <item x="708"/>
        <item x="607"/>
        <item x="669"/>
        <item x="647"/>
        <item x="648"/>
        <item x="710"/>
        <item x="544"/>
        <item x="601"/>
        <item x="594"/>
        <item x="644"/>
        <item x="685"/>
        <item x="618"/>
        <item x="599"/>
        <item x="646"/>
        <item x="672"/>
        <item x="640"/>
        <item x="536"/>
        <item x="679"/>
        <item x="714"/>
        <item x="717"/>
        <item x="727"/>
        <item x="616"/>
        <item x="560"/>
        <item x="545"/>
        <item x="701"/>
        <item x="624"/>
        <item x="569"/>
        <item x="576"/>
        <item x="663"/>
        <item x="639"/>
        <item x="589"/>
        <item x="553"/>
        <item x="695"/>
        <item x="716"/>
        <item x="638"/>
        <item x="585"/>
        <item x="532"/>
        <item x="552"/>
        <item x="726"/>
        <item x="577"/>
        <item x="534"/>
        <item x="667"/>
        <item x="519"/>
        <item x="691"/>
        <item x="700"/>
        <item x="549"/>
        <item x="521"/>
        <item x="725"/>
        <item x="697"/>
        <item x="633"/>
        <item x="605"/>
        <item x="677"/>
        <item x="511"/>
        <item x="654"/>
        <item x="561"/>
        <item x="682"/>
        <item x="664"/>
        <item x="547"/>
        <item x="566"/>
        <item x="705"/>
        <item x="573"/>
        <item x="655"/>
        <item x="614"/>
        <item x="603"/>
        <item x="582"/>
        <item x="645"/>
        <item x="581"/>
        <item x="571"/>
        <item x="651"/>
        <item x="702"/>
        <item x="650"/>
        <item x="720"/>
        <item x="563"/>
        <item x="522"/>
        <item x="557"/>
        <item x="590"/>
        <item x="516"/>
        <item x="510"/>
        <item x="611"/>
        <item x="584"/>
        <item x="546"/>
        <item x="680"/>
        <item x="554"/>
        <item x="568"/>
        <item x="711"/>
        <item x="675"/>
        <item x="683"/>
        <item x="649"/>
        <item x="674"/>
        <item x="578"/>
        <item x="668"/>
        <item x="606"/>
        <item x="529"/>
        <item x="575"/>
        <item x="541"/>
        <item x="609"/>
        <item x="657"/>
        <item x="615"/>
        <item x="709"/>
        <item x="681"/>
        <item x="688"/>
        <item x="641"/>
        <item x="592"/>
        <item x="515"/>
        <item x="843"/>
        <item x="874"/>
        <item x="836"/>
        <item x="821"/>
        <item x="771"/>
        <item x="879"/>
        <item x="830"/>
        <item x="767"/>
        <item x="768"/>
        <item x="803"/>
        <item x="894"/>
        <item x="742"/>
        <item x="819"/>
        <item x="897"/>
        <item x="895"/>
        <item x="809"/>
        <item x="751"/>
        <item x="782"/>
        <item x="893"/>
        <item x="745"/>
        <item x="738"/>
        <item x="915"/>
        <item x="822"/>
        <item x="923"/>
        <item x="805"/>
        <item x="867"/>
        <item x="907"/>
        <item x="862"/>
        <item x="728"/>
        <item x="919"/>
        <item x="759"/>
        <item x="770"/>
        <item x="816"/>
        <item x="846"/>
        <item x="831"/>
        <item x="746"/>
        <item x="780"/>
        <item x="858"/>
        <item x="774"/>
        <item x="845"/>
        <item x="777"/>
        <item x="901"/>
        <item x="905"/>
        <item x="824"/>
        <item x="834"/>
        <item x="756"/>
        <item x="927"/>
        <item x="848"/>
        <item x="818"/>
        <item x="910"/>
        <item x="808"/>
        <item x="928"/>
        <item x="902"/>
        <item x="871"/>
        <item x="861"/>
        <item x="884"/>
        <item x="812"/>
        <item x="801"/>
        <item x="761"/>
        <item x="797"/>
        <item x="769"/>
        <item x="739"/>
        <item x="913"/>
        <item x="856"/>
        <item x="775"/>
        <item x="896"/>
        <item x="852"/>
        <item x="749"/>
        <item x="757"/>
        <item x="878"/>
        <item x="760"/>
        <item x="785"/>
        <item x="810"/>
        <item x="909"/>
        <item x="885"/>
        <item x="733"/>
        <item x="753"/>
        <item x="835"/>
        <item x="873"/>
        <item x="791"/>
        <item x="773"/>
        <item x="826"/>
        <item x="850"/>
        <item x="903"/>
        <item x="914"/>
        <item x="814"/>
        <item x="789"/>
        <item x="934"/>
        <item x="930"/>
        <item x="736"/>
        <item x="931"/>
        <item x="772"/>
        <item x="793"/>
        <item x="875"/>
        <item x="828"/>
        <item x="839"/>
        <item x="827"/>
        <item x="911"/>
        <item x="763"/>
        <item x="788"/>
        <item x="784"/>
        <item x="820"/>
        <item x="876"/>
        <item x="860"/>
        <item x="866"/>
        <item x="892"/>
        <item x="792"/>
        <item x="748"/>
        <item x="870"/>
        <item x="900"/>
        <item x="779"/>
        <item x="881"/>
        <item x="825"/>
        <item x="806"/>
        <item x="787"/>
        <item x="732"/>
        <item x="744"/>
        <item x="890"/>
        <item x="730"/>
        <item x="729"/>
        <item x="853"/>
        <item x="868"/>
        <item x="883"/>
        <item x="766"/>
        <item x="754"/>
        <item x="786"/>
        <item x="804"/>
        <item x="847"/>
        <item x="798"/>
        <item x="764"/>
        <item x="886"/>
        <item x="781"/>
        <item x="891"/>
        <item x="741"/>
        <item x="925"/>
        <item x="859"/>
        <item x="807"/>
        <item x="817"/>
        <item x="917"/>
        <item x="838"/>
        <item x="815"/>
        <item x="802"/>
        <item x="920"/>
        <item x="796"/>
        <item x="851"/>
        <item x="829"/>
        <item x="918"/>
        <item x="912"/>
        <item x="854"/>
        <item x="844"/>
        <item x="799"/>
        <item x="855"/>
        <item x="765"/>
        <item x="863"/>
        <item x="864"/>
        <item x="776"/>
        <item x="887"/>
        <item x="888"/>
        <item x="734"/>
        <item x="800"/>
        <item x="840"/>
        <item x="731"/>
        <item x="758"/>
        <item x="795"/>
        <item x="899"/>
        <item x="750"/>
        <item x="906"/>
        <item x="737"/>
        <item x="735"/>
        <item x="857"/>
        <item x="882"/>
        <item x="790"/>
        <item x="762"/>
        <item x="794"/>
        <item x="932"/>
        <item x="924"/>
        <item x="752"/>
        <item x="929"/>
        <item x="842"/>
        <item x="865"/>
        <item x="811"/>
        <item x="921"/>
        <item x="898"/>
        <item x="904"/>
        <item x="908"/>
        <item x="823"/>
        <item x="833"/>
        <item x="778"/>
        <item x="755"/>
        <item x="813"/>
        <item x="747"/>
        <item x="832"/>
        <item x="783"/>
        <item x="872"/>
        <item x="889"/>
        <item x="740"/>
        <item x="926"/>
        <item x="743"/>
        <item x="880"/>
        <item x="849"/>
        <item x="916"/>
        <item x="877"/>
        <item x="837"/>
        <item x="869"/>
        <item x="841"/>
        <item x="922"/>
        <item x="933"/>
        <item x="956"/>
        <item x="1040"/>
        <item x="1103"/>
        <item x="1052"/>
        <item x="970"/>
        <item x="966"/>
        <item x="979"/>
        <item x="953"/>
        <item x="955"/>
        <item x="952"/>
        <item x="1021"/>
        <item x="1074"/>
        <item x="1026"/>
        <item x="1089"/>
        <item x="1008"/>
        <item x="1082"/>
        <item x="1001"/>
        <item x="957"/>
        <item x="1013"/>
        <item x="959"/>
        <item x="1092"/>
        <item x="1022"/>
        <item x="1010"/>
        <item x="1035"/>
        <item x="1009"/>
        <item x="994"/>
        <item x="980"/>
        <item x="1063"/>
        <item x="1062"/>
        <item x="1104"/>
        <item x="1016"/>
        <item x="1054"/>
        <item x="967"/>
        <item x="972"/>
        <item x="1003"/>
        <item x="1012"/>
        <item x="938"/>
        <item x="992"/>
        <item x="971"/>
        <item x="990"/>
        <item x="1077"/>
        <item x="1036"/>
        <item x="1043"/>
        <item x="1042"/>
        <item x="1061"/>
        <item x="1098"/>
        <item x="1094"/>
        <item x="969"/>
        <item x="963"/>
        <item x="1097"/>
        <item x="1075"/>
        <item x="984"/>
        <item x="988"/>
        <item x="936"/>
        <item x="1030"/>
        <item x="991"/>
        <item x="1058"/>
        <item x="997"/>
        <item x="1083"/>
        <item x="1011"/>
        <item x="1002"/>
        <item x="1080"/>
        <item x="1079"/>
        <item x="1085"/>
        <item x="1059"/>
        <item x="1067"/>
        <item x="1024"/>
        <item x="1105"/>
        <item x="1056"/>
        <item x="996"/>
        <item x="1007"/>
        <item x="1044"/>
        <item x="998"/>
        <item x="1081"/>
        <item x="964"/>
        <item x="999"/>
        <item x="973"/>
        <item x="1041"/>
        <item x="975"/>
        <item x="1020"/>
        <item x="1000"/>
        <item x="1033"/>
        <item x="1064"/>
        <item x="986"/>
        <item x="1038"/>
        <item x="1073"/>
        <item x="1100"/>
        <item x="985"/>
        <item x="958"/>
        <item x="1066"/>
        <item x="987"/>
        <item x="1088"/>
        <item x="1029"/>
        <item x="1025"/>
        <item x="1087"/>
        <item x="1072"/>
        <item x="949"/>
        <item x="961"/>
        <item x="948"/>
        <item x="1023"/>
        <item x="1055"/>
        <item x="945"/>
        <item x="1065"/>
        <item x="976"/>
        <item x="1005"/>
        <item x="1078"/>
        <item x="1050"/>
        <item x="1034"/>
        <item x="943"/>
        <item x="1049"/>
        <item x="978"/>
        <item x="989"/>
        <item x="1047"/>
        <item x="1084"/>
        <item x="983"/>
        <item x="977"/>
        <item x="1076"/>
        <item x="1039"/>
        <item x="962"/>
        <item x="1053"/>
        <item x="1015"/>
        <item x="1018"/>
        <item x="1006"/>
        <item x="1095"/>
        <item x="1027"/>
        <item x="1014"/>
        <item x="942"/>
        <item x="968"/>
        <item x="1032"/>
        <item x="1028"/>
        <item x="1068"/>
        <item x="1048"/>
        <item x="1101"/>
        <item x="982"/>
        <item x="939"/>
        <item x="1004"/>
        <item x="937"/>
        <item x="1086"/>
        <item x="1070"/>
        <item x="950"/>
        <item x="993"/>
        <item x="946"/>
        <item x="960"/>
        <item x="944"/>
        <item x="951"/>
        <item x="1019"/>
        <item x="1090"/>
        <item x="1093"/>
        <item x="1096"/>
        <item x="1051"/>
        <item x="981"/>
        <item x="995"/>
        <item x="1102"/>
        <item x="1091"/>
        <item x="954"/>
        <item x="974"/>
        <item x="1037"/>
        <item x="1099"/>
        <item x="1069"/>
        <item x="947"/>
        <item x="1031"/>
        <item x="940"/>
        <item x="1057"/>
        <item x="935"/>
        <item x="1071"/>
        <item x="1046"/>
        <item x="1045"/>
        <item x="1060"/>
        <item x="1017"/>
        <item x="965"/>
        <item x="941"/>
        <item x="1288"/>
        <item x="1292"/>
        <item x="1294"/>
        <item x="1272"/>
        <item x="1289"/>
        <item x="1230"/>
        <item x="1283"/>
        <item x="1277"/>
        <item x="1286"/>
        <item x="1318"/>
        <item x="1282"/>
        <item x="1312"/>
        <item x="1134"/>
        <item x="1299"/>
        <item x="1136"/>
        <item x="1133"/>
        <item x="1197"/>
        <item x="1191"/>
        <item x="1241"/>
        <item x="1229"/>
        <item x="1222"/>
        <item x="1301"/>
        <item x="1169"/>
        <item x="1244"/>
        <item x="1284"/>
        <item x="1273"/>
        <item x="1213"/>
        <item x="1267"/>
        <item x="1268"/>
        <item x="1260"/>
        <item x="1151"/>
        <item x="1309"/>
        <item x="1170"/>
        <item x="1305"/>
        <item x="1254"/>
        <item x="1173"/>
        <item x="1140"/>
        <item x="1226"/>
        <item x="1298"/>
        <item x="1149"/>
        <item x="1300"/>
        <item x="1166"/>
        <item x="1138"/>
        <item x="1147"/>
        <item x="1144"/>
        <item x="1150"/>
        <item x="1302"/>
        <item x="1240"/>
        <item x="1304"/>
        <item x="1307"/>
        <item x="1232"/>
        <item x="1306"/>
        <item x="1246"/>
        <item x="1253"/>
        <item x="1198"/>
        <item x="1204"/>
        <item x="1196"/>
        <item x="1206"/>
        <item x="1264"/>
        <item x="1249"/>
        <item x="1116"/>
        <item x="1200"/>
        <item x="1128"/>
        <item x="1266"/>
        <item x="1263"/>
        <item x="1215"/>
        <item x="1269"/>
        <item x="1182"/>
        <item x="1257"/>
        <item x="1216"/>
        <item x="1250"/>
        <item x="1193"/>
        <item x="1142"/>
        <item x="1135"/>
        <item x="1287"/>
        <item x="1129"/>
        <item x="1143"/>
        <item x="1313"/>
        <item x="1125"/>
        <item x="1120"/>
        <item x="1117"/>
        <item x="1234"/>
        <item x="1248"/>
        <item x="1156"/>
        <item x="1174"/>
        <item x="1243"/>
        <item x="1130"/>
        <item x="1155"/>
        <item x="1154"/>
        <item x="1152"/>
        <item x="1121"/>
        <item x="1159"/>
        <item x="1314"/>
        <item x="1165"/>
        <item x="1270"/>
        <item x="1112"/>
        <item x="1172"/>
        <item x="1118"/>
        <item x="1114"/>
        <item x="1124"/>
        <item x="1247"/>
        <item x="1113"/>
        <item x="1153"/>
        <item x="1315"/>
        <item x="1311"/>
        <item x="1111"/>
        <item x="1280"/>
        <item x="1317"/>
        <item x="1109"/>
        <item x="1192"/>
        <item x="1295"/>
        <item x="1106"/>
        <item x="1224"/>
        <item x="1180"/>
        <item x="1205"/>
        <item x="1225"/>
        <item x="1203"/>
        <item x="1212"/>
        <item x="1261"/>
        <item x="1157"/>
        <item x="1271"/>
        <item x="1131"/>
        <item x="1187"/>
        <item x="1255"/>
        <item x="1194"/>
        <item x="1137"/>
        <item x="1186"/>
        <item x="1158"/>
        <item x="1188"/>
        <item x="1175"/>
        <item x="1281"/>
        <item x="1185"/>
        <item x="1179"/>
        <item x="1199"/>
        <item x="1184"/>
        <item x="1231"/>
        <item x="1279"/>
        <item x="1164"/>
        <item x="1160"/>
        <item x="1167"/>
        <item x="1178"/>
        <item x="1296"/>
        <item x="1110"/>
        <item x="1245"/>
        <item x="1163"/>
        <item x="1171"/>
        <item x="1208"/>
        <item x="1123"/>
        <item x="1148"/>
        <item x="1162"/>
        <item x="1223"/>
        <item x="1227"/>
        <item x="1202"/>
        <item x="1181"/>
        <item x="1139"/>
        <item x="1119"/>
        <item x="1274"/>
        <item x="1293"/>
        <item x="1291"/>
        <item x="1107"/>
        <item x="1308"/>
        <item x="1290"/>
        <item x="1256"/>
        <item x="1239"/>
        <item x="1242"/>
        <item x="1108"/>
        <item x="1265"/>
        <item x="1278"/>
        <item x="1310"/>
        <item x="1190"/>
        <item x="1146"/>
        <item x="1177"/>
        <item x="1176"/>
        <item x="1189"/>
        <item x="1303"/>
        <item x="1316"/>
        <item x="1127"/>
        <item x="1115"/>
        <item x="1132"/>
        <item x="1122"/>
        <item x="1297"/>
        <item x="1262"/>
        <item x="1219"/>
        <item x="1217"/>
        <item x="1168"/>
        <item x="1251"/>
        <item x="1211"/>
        <item x="1183"/>
        <item x="1218"/>
        <item x="1285"/>
        <item x="1161"/>
        <item x="1233"/>
        <item x="1275"/>
        <item x="1236"/>
        <item x="1145"/>
        <item x="1209"/>
        <item x="1195"/>
        <item x="1214"/>
        <item x="1141"/>
        <item x="1276"/>
        <item x="1201"/>
        <item x="1228"/>
        <item x="1220"/>
        <item x="1221"/>
        <item x="1237"/>
        <item x="1235"/>
        <item x="1207"/>
        <item x="1252"/>
        <item x="1238"/>
        <item x="1259"/>
        <item x="1210"/>
        <item x="1258"/>
        <item x="1126"/>
        <item x="1361"/>
        <item x="1362"/>
        <item x="1400"/>
        <item x="1341"/>
        <item x="1326"/>
        <item x="1382"/>
        <item x="1329"/>
        <item x="1360"/>
        <item x="1368"/>
        <item x="1363"/>
        <item x="1324"/>
        <item x="1327"/>
        <item x="1355"/>
        <item x="1377"/>
        <item x="1364"/>
        <item x="1384"/>
        <item x="1379"/>
        <item x="1354"/>
        <item x="1371"/>
        <item x="1380"/>
        <item x="1325"/>
        <item x="1359"/>
        <item x="1331"/>
        <item x="1393"/>
        <item x="1374"/>
        <item x="1357"/>
        <item x="1411"/>
        <item x="1409"/>
        <item x="1408"/>
        <item x="1399"/>
        <item x="1410"/>
        <item x="1322"/>
        <item x="1342"/>
        <item x="1319"/>
        <item x="1383"/>
        <item x="1385"/>
        <item x="1387"/>
        <item x="1370"/>
        <item x="1412"/>
        <item x="1366"/>
        <item x="1378"/>
        <item x="1351"/>
        <item x="1391"/>
        <item x="1367"/>
        <item x="1356"/>
        <item x="1350"/>
        <item x="1333"/>
        <item x="1344"/>
        <item x="1389"/>
        <item x="1376"/>
        <item x="1386"/>
        <item x="1397"/>
        <item x="1404"/>
        <item x="1330"/>
        <item x="1394"/>
        <item x="1340"/>
        <item x="1396"/>
        <item x="1401"/>
        <item x="1365"/>
        <item x="1332"/>
        <item x="1403"/>
        <item x="1352"/>
        <item x="1390"/>
        <item x="1328"/>
        <item x="1372"/>
        <item x="1339"/>
        <item x="1381"/>
        <item x="1395"/>
        <item x="1321"/>
        <item x="1343"/>
        <item x="1402"/>
        <item x="1348"/>
        <item x="1388"/>
        <item x="1334"/>
        <item x="1375"/>
        <item x="1346"/>
        <item x="1392"/>
        <item x="1337"/>
        <item x="1398"/>
        <item x="1336"/>
        <item x="1406"/>
        <item x="1335"/>
        <item x="1323"/>
        <item x="1369"/>
        <item x="1338"/>
        <item x="1407"/>
        <item x="1349"/>
        <item x="1405"/>
        <item x="1320"/>
        <item x="1345"/>
        <item x="1353"/>
        <item x="1373"/>
        <item x="1347"/>
        <item x="1358"/>
        <item x="1413"/>
        <item x="1444"/>
        <item x="1438"/>
        <item x="1458"/>
        <item x="1427"/>
        <item x="1452"/>
        <item x="1469"/>
        <item x="1445"/>
        <item x="1419"/>
        <item x="1472"/>
        <item x="1449"/>
        <item x="1437"/>
        <item x="1429"/>
        <item x="1442"/>
        <item x="1457"/>
        <item x="1440"/>
        <item x="1448"/>
        <item x="1425"/>
        <item x="1441"/>
        <item x="1421"/>
        <item x="1420"/>
        <item x="1482"/>
        <item x="1467"/>
        <item x="1431"/>
        <item x="1417"/>
        <item x="1455"/>
        <item x="1426"/>
        <item x="1424"/>
        <item x="1416"/>
        <item x="1454"/>
        <item x="1436"/>
        <item x="1460"/>
        <item x="1470"/>
        <item x="1430"/>
        <item x="1464"/>
        <item x="1434"/>
        <item x="1433"/>
        <item x="1461"/>
        <item x="1466"/>
        <item x="1471"/>
        <item x="1415"/>
        <item x="1432"/>
        <item x="1450"/>
        <item x="1477"/>
        <item x="1447"/>
        <item x="1478"/>
        <item x="1435"/>
        <item x="1451"/>
        <item x="1453"/>
        <item x="1428"/>
        <item x="1439"/>
        <item x="1414"/>
        <item x="1456"/>
        <item x="1463"/>
        <item x="1423"/>
        <item x="1446"/>
        <item x="1481"/>
        <item x="1468"/>
        <item x="1459"/>
        <item x="1422"/>
        <item x="1473"/>
        <item x="1475"/>
        <item x="1480"/>
        <item x="1462"/>
        <item x="1443"/>
        <item x="1418"/>
        <item x="1479"/>
        <item x="1474"/>
        <item x="1476"/>
        <item x="1465"/>
        <item x="1499"/>
        <item x="1504"/>
        <item x="1488"/>
        <item x="1507"/>
        <item x="1508"/>
        <item x="1492"/>
        <item x="1493"/>
        <item x="1501"/>
        <item x="1487"/>
        <item x="1498"/>
        <item x="1486"/>
        <item x="1502"/>
        <item x="1494"/>
        <item x="1509"/>
        <item x="1484"/>
        <item x="1489"/>
        <item x="1485"/>
        <item x="1497"/>
        <item x="1483"/>
        <item x="1491"/>
        <item x="1511"/>
        <item x="1496"/>
        <item x="1503"/>
        <item x="1495"/>
        <item x="1490"/>
        <item x="1505"/>
        <item x="1500"/>
        <item x="1506"/>
        <item x="1510"/>
        <item x="1512"/>
        <item x="1538"/>
        <item x="1519"/>
        <item x="1528"/>
        <item x="1521"/>
        <item x="1520"/>
        <item x="1523"/>
        <item x="1531"/>
        <item x="1542"/>
        <item x="1518"/>
        <item x="1530"/>
        <item x="1536"/>
        <item x="1548"/>
        <item x="1517"/>
        <item x="1533"/>
        <item x="1547"/>
        <item x="1544"/>
        <item x="1532"/>
        <item x="1524"/>
        <item x="1515"/>
        <item x="1539"/>
        <item x="1540"/>
        <item x="1529"/>
        <item x="1522"/>
        <item x="1526"/>
        <item x="1527"/>
        <item x="1516"/>
        <item x="1525"/>
        <item x="1545"/>
        <item x="1535"/>
        <item x="1514"/>
        <item x="1546"/>
        <item x="1543"/>
        <item x="1534"/>
        <item x="1537"/>
        <item x="1541"/>
        <item x="1513"/>
        <item t="default"/>
      </items>
    </pivotField>
    <pivotField showAll="0"/>
    <pivotField showAll="0"/>
    <pivotField showAll="0"/>
    <pivotField showAll="0"/>
    <pivotField showAll="0"/>
    <pivotField showAll="0">
      <items count="8">
        <item h="1" x="3"/>
        <item x="1"/>
        <item x="6"/>
        <item x="4"/>
        <item h="1" x="5"/>
        <item h="1" x="2"/>
        <item x="0"/>
        <item t="default"/>
      </items>
    </pivotField>
    <pivotField numFmtId="1" showAll="0"/>
    <pivotField numFmtId="1" showAll="0"/>
    <pivotField numFmtId="1" showAll="0"/>
    <pivotField numFmtId="1" showAll="0"/>
    <pivotField numFmtId="1" showAll="0"/>
    <pivotField dataField="1" numFmtId="1" showAll="0">
      <items count="513">
        <item x="329"/>
        <item x="360"/>
        <item x="334"/>
        <item x="450"/>
        <item x="124"/>
        <item x="413"/>
        <item x="111"/>
        <item x="435"/>
        <item x="3"/>
        <item x="30"/>
        <item x="14"/>
        <item x="317"/>
        <item x="284"/>
        <item x="456"/>
        <item x="123"/>
        <item x="210"/>
        <item x="362"/>
        <item x="416"/>
        <item x="212"/>
        <item x="60"/>
        <item x="2"/>
        <item x="45"/>
        <item x="8"/>
        <item x="338"/>
        <item x="11"/>
        <item x="386"/>
        <item x="173"/>
        <item x="47"/>
        <item x="138"/>
        <item x="502"/>
        <item x="487"/>
        <item x="165"/>
        <item x="57"/>
        <item x="62"/>
        <item x="48"/>
        <item x="93"/>
        <item x="463"/>
        <item x="9"/>
        <item x="37"/>
        <item x="394"/>
        <item x="318"/>
        <item x="39"/>
        <item x="300"/>
        <item x="56"/>
        <item x="327"/>
        <item x="67"/>
        <item x="426"/>
        <item x="178"/>
        <item x="7"/>
        <item x="322"/>
        <item x="0"/>
        <item x="357"/>
        <item x="455"/>
        <item x="290"/>
        <item x="464"/>
        <item x="101"/>
        <item x="458"/>
        <item x="107"/>
        <item x="52"/>
        <item x="63"/>
        <item x="223"/>
        <item x="17"/>
        <item x="172"/>
        <item x="40"/>
        <item x="1"/>
        <item x="270"/>
        <item x="461"/>
        <item x="15"/>
        <item x="343"/>
        <item x="55"/>
        <item x="180"/>
        <item x="161"/>
        <item x="452"/>
        <item x="54"/>
        <item x="401"/>
        <item x="271"/>
        <item x="29"/>
        <item x="191"/>
        <item x="511"/>
        <item x="122"/>
        <item x="205"/>
        <item x="500"/>
        <item x="72"/>
        <item x="326"/>
        <item x="46"/>
        <item x="381"/>
        <item x="282"/>
        <item x="266"/>
        <item x="368"/>
        <item x="231"/>
        <item x="68"/>
        <item x="471"/>
        <item x="90"/>
        <item x="377"/>
        <item x="428"/>
        <item x="12"/>
        <item x="354"/>
        <item x="311"/>
        <item x="323"/>
        <item x="91"/>
        <item x="344"/>
        <item x="403"/>
        <item x="292"/>
        <item x="78"/>
        <item x="13"/>
        <item x="418"/>
        <item x="160"/>
        <item x="355"/>
        <item x="221"/>
        <item x="50"/>
        <item x="31"/>
        <item x="390"/>
        <item x="358"/>
        <item x="135"/>
        <item x="75"/>
        <item x="330"/>
        <item x="162"/>
        <item x="6"/>
        <item x="402"/>
        <item x="333"/>
        <item x="253"/>
        <item x="237"/>
        <item x="74"/>
        <item x="104"/>
        <item x="492"/>
        <item x="10"/>
        <item x="267"/>
        <item x="187"/>
        <item x="291"/>
        <item x="304"/>
        <item x="38"/>
        <item x="407"/>
        <item x="373"/>
        <item x="283"/>
        <item x="297"/>
        <item x="114"/>
        <item x="350"/>
        <item x="25"/>
        <item x="34"/>
        <item x="469"/>
        <item x="113"/>
        <item x="24"/>
        <item x="184"/>
        <item x="73"/>
        <item x="385"/>
        <item x="209"/>
        <item x="136"/>
        <item x="69"/>
        <item x="133"/>
        <item x="18"/>
        <item x="440"/>
        <item x="203"/>
        <item x="197"/>
        <item x="120"/>
        <item x="229"/>
        <item x="269"/>
        <item x="417"/>
        <item x="339"/>
        <item x="345"/>
        <item x="356"/>
        <item x="234"/>
        <item x="397"/>
        <item x="32"/>
        <item x="174"/>
        <item x="260"/>
        <item x="241"/>
        <item x="82"/>
        <item x="77"/>
        <item x="28"/>
        <item x="408"/>
        <item x="280"/>
        <item x="155"/>
        <item x="336"/>
        <item x="242"/>
        <item x="448"/>
        <item x="216"/>
        <item x="342"/>
        <item x="70"/>
        <item x="288"/>
        <item x="244"/>
        <item x="265"/>
        <item x="36"/>
        <item x="425"/>
        <item x="95"/>
        <item x="233"/>
        <item x="89"/>
        <item x="245"/>
        <item x="301"/>
        <item x="151"/>
        <item x="465"/>
        <item x="61"/>
        <item x="59"/>
        <item x="320"/>
        <item x="148"/>
        <item x="144"/>
        <item x="423"/>
        <item x="364"/>
        <item x="256"/>
        <item x="143"/>
        <item x="264"/>
        <item x="27"/>
        <item x="279"/>
        <item x="347"/>
        <item x="352"/>
        <item x="125"/>
        <item x="4"/>
        <item x="314"/>
        <item x="419"/>
        <item x="218"/>
        <item x="106"/>
        <item x="349"/>
        <item x="308"/>
        <item x="80"/>
        <item x="79"/>
        <item x="392"/>
        <item x="21"/>
        <item x="183"/>
        <item x="94"/>
        <item x="188"/>
        <item x="299"/>
        <item x="303"/>
        <item x="278"/>
        <item x="96"/>
        <item x="391"/>
        <item x="208"/>
        <item x="43"/>
        <item x="331"/>
        <item x="49"/>
        <item x="149"/>
        <item x="287"/>
        <item x="158"/>
        <item x="325"/>
        <item x="86"/>
        <item x="430"/>
        <item x="316"/>
        <item x="26"/>
        <item x="272"/>
        <item x="281"/>
        <item x="298"/>
        <item x="129"/>
        <item x="252"/>
        <item x="410"/>
        <item x="310"/>
        <item x="99"/>
        <item x="137"/>
        <item x="439"/>
        <item x="199"/>
        <item x="105"/>
        <item x="230"/>
        <item x="261"/>
        <item x="337"/>
        <item x="215"/>
        <item x="309"/>
        <item x="232"/>
        <item x="228"/>
        <item x="19"/>
        <item x="415"/>
        <item x="16"/>
        <item x="190"/>
        <item x="341"/>
        <item x="84"/>
        <item x="64"/>
        <item x="243"/>
        <item x="227"/>
        <item x="81"/>
        <item x="92"/>
        <item x="171"/>
        <item x="427"/>
        <item x="258"/>
        <item x="175"/>
        <item x="51"/>
        <item x="406"/>
        <item x="130"/>
        <item x="20"/>
        <item x="259"/>
        <item x="246"/>
        <item x="163"/>
        <item x="22"/>
        <item x="388"/>
        <item x="109"/>
        <item x="145"/>
        <item x="116"/>
        <item x="432"/>
        <item x="361"/>
        <item x="132"/>
        <item x="351"/>
        <item x="376"/>
        <item x="88"/>
        <item x="108"/>
        <item x="393"/>
        <item x="371"/>
        <item x="273"/>
        <item x="250"/>
        <item x="222"/>
        <item x="100"/>
        <item x="118"/>
        <item x="35"/>
        <item x="434"/>
        <item x="257"/>
        <item x="65"/>
        <item x="324"/>
        <item x="370"/>
        <item x="384"/>
        <item x="154"/>
        <item x="193"/>
        <item x="346"/>
        <item x="313"/>
        <item x="5"/>
        <item x="247"/>
        <item x="438"/>
        <item x="41"/>
        <item x="263"/>
        <item x="141"/>
        <item x="444"/>
        <item x="156"/>
        <item x="42"/>
        <item x="319"/>
        <item x="128"/>
        <item x="153"/>
        <item x="168"/>
        <item x="139"/>
        <item x="405"/>
        <item x="103"/>
        <item x="276"/>
        <item x="33"/>
        <item x="366"/>
        <item x="248"/>
        <item x="195"/>
        <item x="387"/>
        <item x="296"/>
        <item x="115"/>
        <item x="289"/>
        <item x="83"/>
        <item x="409"/>
        <item x="328"/>
        <item x="293"/>
        <item x="97"/>
        <item x="204"/>
        <item x="395"/>
        <item x="198"/>
        <item x="332"/>
        <item x="164"/>
        <item x="44"/>
        <item x="382"/>
        <item x="202"/>
        <item x="140"/>
        <item x="214"/>
        <item x="295"/>
        <item x="226"/>
        <item x="225"/>
        <item x="127"/>
        <item x="459"/>
        <item x="196"/>
        <item x="286"/>
        <item x="359"/>
        <item x="277"/>
        <item x="420"/>
        <item x="87"/>
        <item x="167"/>
        <item x="383"/>
        <item x="307"/>
        <item x="363"/>
        <item x="126"/>
        <item x="436"/>
        <item x="340"/>
        <item x="302"/>
        <item x="457"/>
        <item x="305"/>
        <item x="117"/>
        <item x="110"/>
        <item x="367"/>
        <item x="396"/>
        <item x="240"/>
        <item x="102"/>
        <item x="399"/>
        <item x="206"/>
        <item x="147"/>
        <item x="482"/>
        <item x="98"/>
        <item x="186"/>
        <item x="468"/>
        <item x="194"/>
        <item x="121"/>
        <item x="169"/>
        <item x="445"/>
        <item x="192"/>
        <item x="412"/>
        <item x="475"/>
        <item x="71"/>
        <item x="285"/>
        <item x="152"/>
        <item x="375"/>
        <item x="176"/>
        <item x="404"/>
        <item x="255"/>
        <item x="213"/>
        <item x="467"/>
        <item x="268"/>
        <item x="460"/>
        <item x="159"/>
        <item x="437"/>
        <item x="236"/>
        <item x="315"/>
        <item x="501"/>
        <item x="189"/>
        <item x="477"/>
        <item x="429"/>
        <item x="449"/>
        <item x="414"/>
        <item x="400"/>
        <item x="372"/>
        <item x="157"/>
        <item x="275"/>
        <item x="488"/>
        <item x="119"/>
        <item x="321"/>
        <item x="262"/>
        <item x="466"/>
        <item x="251"/>
        <item x="76"/>
        <item x="181"/>
        <item x="142"/>
        <item x="486"/>
        <item x="238"/>
        <item x="378"/>
        <item x="179"/>
        <item x="433"/>
        <item x="23"/>
        <item x="58"/>
        <item x="348"/>
        <item x="185"/>
        <item x="239"/>
        <item x="224"/>
        <item x="479"/>
        <item x="462"/>
        <item x="150"/>
        <item x="505"/>
        <item x="85"/>
        <item x="498"/>
        <item x="274"/>
        <item x="177"/>
        <item x="380"/>
        <item x="170"/>
        <item x="503"/>
        <item x="353"/>
        <item x="491"/>
        <item x="335"/>
        <item x="182"/>
        <item x="447"/>
        <item x="485"/>
        <item x="312"/>
        <item x="294"/>
        <item x="112"/>
        <item x="497"/>
        <item x="451"/>
        <item x="484"/>
        <item x="254"/>
        <item x="454"/>
        <item x="474"/>
        <item x="496"/>
        <item x="306"/>
        <item x="411"/>
        <item x="508"/>
        <item x="483"/>
        <item x="442"/>
        <item x="453"/>
        <item x="493"/>
        <item x="211"/>
        <item x="379"/>
        <item x="494"/>
        <item x="134"/>
        <item x="220"/>
        <item x="131"/>
        <item x="389"/>
        <item x="446"/>
        <item x="217"/>
        <item x="424"/>
        <item x="478"/>
        <item x="219"/>
        <item x="509"/>
        <item x="249"/>
        <item x="53"/>
        <item x="431"/>
        <item x="481"/>
        <item x="398"/>
        <item x="365"/>
        <item x="441"/>
        <item x="504"/>
        <item x="421"/>
        <item x="490"/>
        <item x="200"/>
        <item x="201"/>
        <item x="443"/>
        <item x="66"/>
        <item x="507"/>
        <item x="422"/>
        <item x="207"/>
        <item x="489"/>
        <item x="235"/>
        <item x="476"/>
        <item x="510"/>
        <item x="472"/>
        <item x="369"/>
        <item x="473"/>
        <item x="374"/>
        <item x="470"/>
        <item x="166"/>
        <item x="480"/>
        <item x="146"/>
        <item x="495"/>
        <item x="499"/>
        <item x="506"/>
        <item t="default"/>
      </items>
    </pivotField>
    <pivotField numFmtId="1" showAll="0"/>
    <pivotField axis="axisRow" showAll="0">
      <items count="37">
        <item x="25"/>
        <item x="32"/>
        <item x="12"/>
        <item x="23"/>
        <item x="10"/>
        <item x="5"/>
        <item x="22"/>
        <item x="6"/>
        <item x="9"/>
        <item x="27"/>
        <item x="1"/>
        <item x="20"/>
        <item x="14"/>
        <item x="19"/>
        <item x="33"/>
        <item x="11"/>
        <item x="4"/>
        <item x="24"/>
        <item x="7"/>
        <item x="13"/>
        <item x="30"/>
        <item x="31"/>
        <item x="26"/>
        <item x="18"/>
        <item x="34"/>
        <item x="3"/>
        <item x="15"/>
        <item x="35"/>
        <item x="8"/>
        <item x="21"/>
        <item x="17"/>
        <item x="29"/>
        <item x="0"/>
        <item x="16"/>
        <item x="28"/>
        <item x="2"/>
        <item t="default"/>
      </items>
    </pivotField>
  </pivotFields>
  <rowFields count="1">
    <field x="14"/>
  </rowFields>
  <rowItems count="33">
    <i>
      <x v="1"/>
    </i>
    <i>
      <x v="2"/>
    </i>
    <i>
      <x v="3"/>
    </i>
    <i>
      <x v="4"/>
    </i>
    <i>
      <x v="5"/>
    </i>
    <i>
      <x v="6"/>
    </i>
    <i>
      <x v="7"/>
    </i>
    <i>
      <x v="8"/>
    </i>
    <i>
      <x v="9"/>
    </i>
    <i>
      <x v="10"/>
    </i>
    <i>
      <x v="11"/>
    </i>
    <i>
      <x v="12"/>
    </i>
    <i>
      <x v="13"/>
    </i>
    <i>
      <x v="14"/>
    </i>
    <i>
      <x v="15"/>
    </i>
    <i>
      <x v="16"/>
    </i>
    <i>
      <x v="17"/>
    </i>
    <i>
      <x v="18"/>
    </i>
    <i>
      <x v="19"/>
    </i>
    <i>
      <x v="21"/>
    </i>
    <i>
      <x v="22"/>
    </i>
    <i>
      <x v="23"/>
    </i>
    <i>
      <x v="24"/>
    </i>
    <i>
      <x v="25"/>
    </i>
    <i>
      <x v="26"/>
    </i>
    <i>
      <x v="27"/>
    </i>
    <i>
      <x v="28"/>
    </i>
    <i>
      <x v="30"/>
    </i>
    <i>
      <x v="31"/>
    </i>
    <i>
      <x v="32"/>
    </i>
    <i>
      <x v="33"/>
    </i>
    <i>
      <x v="35"/>
    </i>
    <i t="grand">
      <x/>
    </i>
  </rowItems>
  <colItems count="1">
    <i/>
  </colItems>
  <dataFields count="1">
    <dataField name="Count of total_invoice_value" fld="12" subtotal="count" baseField="14"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EFB266-D937-40FB-889C-093E176981B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_invoice_value" fld="1" baseField="0" baseItem="0"/>
  </dataFields>
  <chartFormats count="16">
    <chartFormat chart="4"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 chart="9" format="12">
      <pivotArea type="data" outline="0" fieldPosition="0">
        <references count="2">
          <reference field="4294967294" count="1" selected="0">
            <x v="0"/>
          </reference>
          <reference field="0" count="1" selected="0">
            <x v="2"/>
          </reference>
        </references>
      </pivotArea>
    </chartFormat>
    <chartFormat chart="9" format="13">
      <pivotArea type="data" outline="0" fieldPosition="0">
        <references count="2">
          <reference field="4294967294" count="1" selected="0">
            <x v="0"/>
          </reference>
          <reference field="0" count="1" selected="0">
            <x v="3"/>
          </reference>
        </references>
      </pivotArea>
    </chartFormat>
    <chartFormat chart="9" format="14">
      <pivotArea type="data" outline="0" fieldPosition="0">
        <references count="2">
          <reference field="4294967294" count="1" selected="0">
            <x v="0"/>
          </reference>
          <reference field="0" count="1" selected="0">
            <x v="4"/>
          </reference>
        </references>
      </pivotArea>
    </chartFormat>
    <chartFormat chart="9" format="15">
      <pivotArea type="data" outline="0" fieldPosition="0">
        <references count="2">
          <reference field="4294967294" count="1" selected="0">
            <x v="0"/>
          </reference>
          <reference field="0" count="1" selected="0">
            <x v="5"/>
          </reference>
        </references>
      </pivotArea>
    </chartFormat>
    <chartFormat chart="9" format="16">
      <pivotArea type="data" outline="0" fieldPosition="0">
        <references count="2">
          <reference field="4294967294" count="1" selected="0">
            <x v="0"/>
          </reference>
          <reference field="0" count="1" selected="0">
            <x v="6"/>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 chart="4" format="5">
      <pivotArea type="data" outline="0" fieldPosition="0">
        <references count="2">
          <reference field="4294967294" count="1" selected="0">
            <x v="0"/>
          </reference>
          <reference field="0" count="1" selected="0">
            <x v="4"/>
          </reference>
        </references>
      </pivotArea>
    </chartFormat>
    <chartFormat chart="4" format="6">
      <pivotArea type="data" outline="0" fieldPosition="0">
        <references count="2">
          <reference field="4294967294" count="1" selected="0">
            <x v="0"/>
          </reference>
          <reference field="0" count="1" selected="0">
            <x v="5"/>
          </reference>
        </references>
      </pivotArea>
    </chartFormat>
    <chartFormat chart="4" format="7">
      <pivotArea type="data" outline="0" fieldPosition="0">
        <references count="2">
          <reference field="4294967294" count="1" selected="0">
            <x v="0"/>
          </reference>
          <reference field="0" count="1" selected="0">
            <x v="6"/>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_sales!$A$1:$K$158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B1DDD5-B10C-4D30-AD44-331A4F0865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36" firstHeaderRow="1" firstDataRow="1" firstDataCol="1"/>
  <pivotFields count="15">
    <pivotField numFmtId="1" showAll="0"/>
    <pivotField showAll="0"/>
    <pivotField showAll="0"/>
    <pivotField showAll="0"/>
    <pivotField showAll="0"/>
    <pivotField showAll="0"/>
    <pivotField showAll="0">
      <items count="8">
        <item h="1" x="3"/>
        <item x="1"/>
        <item h="1" x="6"/>
        <item h="1" x="4"/>
        <item h="1" x="5"/>
        <item h="1" x="2"/>
        <item h="1" x="0"/>
        <item t="default"/>
      </items>
    </pivotField>
    <pivotField numFmtId="1" showAll="0"/>
    <pivotField numFmtId="1" showAll="0"/>
    <pivotField numFmtId="1" showAll="0"/>
    <pivotField numFmtId="1" showAll="0"/>
    <pivotField numFmtId="1" showAll="0"/>
    <pivotField dataField="1" numFmtId="1" showAll="0"/>
    <pivotField numFmtId="1" showAll="0"/>
    <pivotField axis="axisRow" showAll="0">
      <items count="37">
        <item x="25"/>
        <item x="32"/>
        <item x="12"/>
        <item x="23"/>
        <item x="10"/>
        <item x="5"/>
        <item x="22"/>
        <item x="6"/>
        <item x="9"/>
        <item x="27"/>
        <item x="1"/>
        <item x="20"/>
        <item x="14"/>
        <item x="19"/>
        <item x="33"/>
        <item x="11"/>
        <item x="4"/>
        <item x="24"/>
        <item x="7"/>
        <item x="13"/>
        <item x="30"/>
        <item x="31"/>
        <item x="26"/>
        <item x="18"/>
        <item x="34"/>
        <item x="3"/>
        <item x="15"/>
        <item x="35"/>
        <item x="8"/>
        <item x="21"/>
        <item x="17"/>
        <item x="29"/>
        <item x="0"/>
        <item x="16"/>
        <item x="28"/>
        <item x="2"/>
        <item t="default"/>
      </items>
    </pivotField>
  </pivotFields>
  <rowFields count="1">
    <field x="14"/>
  </rowFields>
  <rowItems count="33">
    <i>
      <x v="1"/>
    </i>
    <i>
      <x v="2"/>
    </i>
    <i>
      <x v="3"/>
    </i>
    <i>
      <x v="4"/>
    </i>
    <i>
      <x v="5"/>
    </i>
    <i>
      <x v="6"/>
    </i>
    <i>
      <x v="7"/>
    </i>
    <i>
      <x v="8"/>
    </i>
    <i>
      <x v="9"/>
    </i>
    <i>
      <x v="10"/>
    </i>
    <i>
      <x v="11"/>
    </i>
    <i>
      <x v="12"/>
    </i>
    <i>
      <x v="13"/>
    </i>
    <i>
      <x v="14"/>
    </i>
    <i>
      <x v="15"/>
    </i>
    <i>
      <x v="16"/>
    </i>
    <i>
      <x v="17"/>
    </i>
    <i>
      <x v="18"/>
    </i>
    <i>
      <x v="19"/>
    </i>
    <i>
      <x v="21"/>
    </i>
    <i>
      <x v="22"/>
    </i>
    <i>
      <x v="23"/>
    </i>
    <i>
      <x v="24"/>
    </i>
    <i>
      <x v="25"/>
    </i>
    <i>
      <x v="26"/>
    </i>
    <i>
      <x v="27"/>
    </i>
    <i>
      <x v="28"/>
    </i>
    <i>
      <x v="30"/>
    </i>
    <i>
      <x v="31"/>
    </i>
    <i>
      <x v="32"/>
    </i>
    <i>
      <x v="33"/>
    </i>
    <i>
      <x v="35"/>
    </i>
    <i t="grand">
      <x/>
    </i>
  </rowItems>
  <colItems count="1">
    <i/>
  </colItems>
  <dataFields count="1">
    <dataField name="Sum of total_invoice_value" fld="12" baseField="14" baseItem="11" numFmtId="1"/>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D71D7A-14F6-4036-8F7C-D578809188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5">
    <pivotField numFmtId="1" showAll="0"/>
    <pivotField showAll="0" minSubtotal="1"/>
    <pivotField showAll="0"/>
    <pivotField showAll="0"/>
    <pivotField showAll="0"/>
    <pivotField showAll="0"/>
    <pivotField showAll="0">
      <items count="8">
        <item h="1" x="3"/>
        <item x="1"/>
        <item x="6"/>
        <item x="4"/>
        <item h="1" x="5"/>
        <item h="1" x="2"/>
        <item x="0"/>
        <item t="default"/>
      </items>
    </pivotField>
    <pivotField numFmtId="1" showAll="0"/>
    <pivotField axis="axisRow" numFmtId="1" showAll="0">
      <items count="6">
        <item x="0"/>
        <item x="4"/>
        <item x="2"/>
        <item x="1"/>
        <item x="3"/>
        <item t="default"/>
      </items>
    </pivotField>
    <pivotField numFmtId="1" showAll="0"/>
    <pivotField numFmtId="1" showAll="0"/>
    <pivotField dataField="1" numFmtId="1" showAll="0"/>
    <pivotField numFmtId="1" showAll="0"/>
    <pivotField numFmtId="1" showAll="0"/>
    <pivotField showAll="0"/>
  </pivotFields>
  <rowFields count="1">
    <field x="8"/>
  </rowFields>
  <rowItems count="5">
    <i>
      <x/>
    </i>
    <i>
      <x v="1"/>
    </i>
    <i>
      <x v="2"/>
    </i>
    <i>
      <x v="3"/>
    </i>
    <i t="grand">
      <x/>
    </i>
  </rowItems>
  <colItems count="1">
    <i/>
  </colItems>
  <dataFields count="1">
    <dataField name="Sum of tax_amount" fld="11" baseField="0" baseItem="0" numFmtId="1"/>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AD87B1-481E-4C0C-8470-D3FACDD524F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15">
    <pivotField numFmtId="1" showAll="0"/>
    <pivotField showAll="0"/>
    <pivotField showAll="0"/>
    <pivotField showAll="0"/>
    <pivotField showAll="0"/>
    <pivotField showAll="0"/>
    <pivotField showAll="0">
      <items count="8">
        <item h="1" x="3"/>
        <item x="1"/>
        <item x="6"/>
        <item x="4"/>
        <item h="1" x="5"/>
        <item h="1" x="2"/>
        <item x="0"/>
        <item t="default"/>
      </items>
    </pivotField>
    <pivotField numFmtId="1" showAll="0"/>
    <pivotField numFmtId="1" showAll="0"/>
    <pivotField axis="axisRow" numFmtId="1" showAll="0">
      <items count="4">
        <item x="0"/>
        <item x="2"/>
        <item x="1"/>
        <item t="default"/>
      </items>
    </pivotField>
    <pivotField numFmtId="1" showAll="0"/>
    <pivotField numFmtId="1" showAll="0"/>
    <pivotField dataField="1" numFmtId="1" showAll="0"/>
    <pivotField numFmtId="1" showAll="0"/>
    <pivotField showAll="0"/>
  </pivotFields>
  <rowFields count="1">
    <field x="9"/>
  </rowFields>
  <rowItems count="4">
    <i>
      <x/>
    </i>
    <i>
      <x v="1"/>
    </i>
    <i>
      <x v="2"/>
    </i>
    <i t="grand">
      <x/>
    </i>
  </rowItems>
  <colItems count="1">
    <i/>
  </colItems>
  <dataFields count="1">
    <dataField name="Average of total_invoice_value" fld="12" subtotal="average" baseField="9" baseItem="2" numFmtId="1"/>
  </dataFields>
  <chartFormats count="2">
    <chartFormat chart="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CD25FF-7948-4C4E-AF8A-F45EFC53C98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2">
    <pivotField showAll="0"/>
    <pivotField showAll="0"/>
    <pivotField axis="axisRow" showAll="0">
      <items count="14">
        <item x="0"/>
        <item x="1"/>
        <item x="2"/>
        <item x="3"/>
        <item x="4"/>
        <item x="5"/>
        <item x="6"/>
        <item x="7"/>
        <item x="8"/>
        <item x="9"/>
        <item x="10"/>
        <item x="11"/>
        <item x="12"/>
        <item t="default"/>
      </items>
    </pivotField>
    <pivotField showAll="0">
      <items count="9">
        <item h="1" x="3"/>
        <item x="1"/>
        <item x="6"/>
        <item x="4"/>
        <item h="1" x="5"/>
        <item h="1" x="2"/>
        <item x="0"/>
        <item h="1" x="7"/>
        <item t="default"/>
      </items>
    </pivotField>
    <pivotField showAll="0"/>
    <pivotField showAll="0"/>
    <pivotField showAll="0"/>
    <pivotField showAll="0"/>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total_invoice_value" fld="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0951A189-8CD3-4BC3-9E1E-0FFB5EC185BC}" sourceName="order_status">
  <pivotTables>
    <pivotTable tabId="7" name="PivotTable2"/>
  </pivotTables>
  <data>
    <tabular pivotCacheId="1114363142">
      <items count="7">
        <i x="3"/>
        <i x="1" s="1"/>
        <i x="6"/>
        <i x="4"/>
        <i x="5"/>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d_customer_state_new" xr10:uid="{AE8755B4-7D2D-43FD-9CBA-D4E8609F86AF}" sourceName="[Range].[end_customer_state_new]">
  <pivotTables>
    <pivotTable tabId="6" name="PivotTable1"/>
  </pivotTables>
  <data>
    <olap pivotCacheId="428407279">
      <levels count="2">
        <level uniqueName="[Range].[end_customer_state_new].[(All)]" sourceCaption="(All)" count="0"/>
        <level uniqueName="[Range].[end_customer_state_new].[end_customer_state_new]" sourceCaption="end_customer_state_new" count="36">
          <ranges>
            <range startItem="0">
              <i n="[Range].[end_customer_state_new].&amp;[Andaman &amp; Nicobar Islands]" c="Andaman &amp; Nicobar Islands"/>
              <i n="[Range].[end_customer_state_new].&amp;[Andaman And Nicobar Islands]" c="Andaman And Nicobar Islands"/>
              <i n="[Range].[end_customer_state_new].&amp;[Andhra Pradesh]" c="Andhra Pradesh"/>
              <i n="[Range].[end_customer_state_new].&amp;[Arunachal Pradesh]" c="Arunachal Pradesh"/>
              <i n="[Range].[end_customer_state_new].&amp;[Assam]" c="Assam"/>
              <i n="[Range].[end_customer_state_new].&amp;[Bihar]" c="Bihar"/>
              <i n="[Range].[end_customer_state_new].&amp;[Chandigarh]" c="Chandigarh"/>
              <i n="[Range].[end_customer_state_new].&amp;[Chhattisgarh]" c="Chhattisgarh"/>
              <i n="[Range].[end_customer_state_new].&amp;[Delhi]" c="Delhi"/>
              <i n="[Range].[end_customer_state_new].&amp;[Goa]" c="Goa"/>
              <i n="[Range].[end_customer_state_new].&amp;[Gujarat]" c="Gujarat"/>
              <i n="[Range].[end_customer_state_new].&amp;[Haryana]" c="Haryana"/>
              <i n="[Range].[end_customer_state_new].&amp;[Himachal Pradesh]" c="Himachal Pradesh"/>
              <i n="[Range].[end_customer_state_new].&amp;[Jammu &amp; Kashmir]" c="Jammu &amp; Kashmir"/>
              <i n="[Range].[end_customer_state_new].&amp;[Jammu And Kashmir]" c="Jammu And Kashmir"/>
              <i n="[Range].[end_customer_state_new].&amp;[Jharkhand]" c="Jharkhand"/>
              <i n="[Range].[end_customer_state_new].&amp;[Karnataka]" c="Karnataka"/>
              <i n="[Range].[end_customer_state_new].&amp;[Kerala]" c="Kerala"/>
              <i n="[Range].[end_customer_state_new].&amp;[Madhya Pradesh]" c="Madhya Pradesh"/>
              <i n="[Range].[end_customer_state_new].&amp;[Maharashtra]" c="Maharashtra"/>
              <i n="[Range].[end_customer_state_new].&amp;[Manipur]" c="Manipur"/>
              <i n="[Range].[end_customer_state_new].&amp;[Meghalaya]" c="Meghalaya"/>
              <i n="[Range].[end_customer_state_new].&amp;[Nagaland]" c="Nagaland"/>
              <i n="[Range].[end_customer_state_new].&amp;[Odisha]" c="Odisha"/>
              <i n="[Range].[end_customer_state_new].&amp;[Pondicherry]" c="Pondicherry"/>
              <i n="[Range].[end_customer_state_new].&amp;[Punjab]" c="Punjab"/>
              <i n="[Range].[end_customer_state_new].&amp;[Rajasthan]" c="Rajasthan"/>
              <i n="[Range].[end_customer_state_new].&amp;[Sikkim]" c="Sikkim"/>
              <i n="[Range].[end_customer_state_new].&amp;[Tamil Nadu]" c="Tamil Nadu"/>
              <i n="[Range].[end_customer_state_new].&amp;[Tamilnadu]" c="Tamilnadu"/>
              <i n="[Range].[end_customer_state_new].&amp;[Telangana]" c="Telangana"/>
              <i n="[Range].[end_customer_state_new].&amp;[Tripura]" c="Tripura"/>
              <i n="[Range].[end_customer_state_new].&amp;[Uttar Pradesh]" c="Uttar Pradesh"/>
              <i n="[Range].[end_customer_state_new].&amp;[Uttarakhand]" c="Uttarakhand"/>
              <i n="[Range].[end_customer_state_new].&amp;[Uttarpradesh]" c="Uttarpradesh"/>
              <i n="[Range].[end_customer_state_new].&amp;[West Bengal]" c="West Bengal"/>
            </range>
          </ranges>
        </level>
      </levels>
      <selections count="1">
        <selection n="[Range].[end_customer_state_new].[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FB73F34E-A604-4470-9E87-767E11C63037}" sourceName="order_status">
  <pivotTables>
    <pivotTable tabId="8" name="PivotTable3"/>
  </pivotTables>
  <data>
    <tabular pivotCacheId="1114363142">
      <items count="7">
        <i x="3"/>
        <i x="1" s="1"/>
        <i x="6" s="1"/>
        <i x="4" s="1"/>
        <i x="5"/>
        <i x="2"/>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sn_code" xr10:uid="{701BA7CE-6EE5-47EC-A9C2-9FD88318FCA6}" sourceName="hsn_code">
  <pivotTables>
    <pivotTable tabId="8" name="PivotTable3"/>
  </pivotTables>
  <data>
    <tabular pivotCacheId="1114363142">
      <items count="5">
        <i x="0" s="1"/>
        <i x="4" s="1"/>
        <i x="2" s="1"/>
        <i x="1"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st_rate" xr10:uid="{60264ECE-453D-4E2B-8C0A-3912EBA4795D}" sourceName="gst_rate">
  <pivotTables>
    <pivotTable tabId="11" name="PivotTable4"/>
  </pivotTables>
  <data>
    <tabular pivotCacheId="1114363142">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2" xr10:uid="{5A76AD0B-3244-4531-A1CA-908FC53EFE52}" sourceName="order_status">
  <pivotTables>
    <pivotTable tabId="11" name="PivotTable4"/>
  </pivotTables>
  <data>
    <tabular pivotCacheId="1114363142">
      <items count="7">
        <i x="3"/>
        <i x="1" s="1"/>
        <i x="6" s="1"/>
        <i x="4" s="1"/>
        <i x="5"/>
        <i x="2"/>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377E448-3286-499A-BCF8-64E3C6537F96}" sourceName="Month">
  <pivotTables>
    <pivotTable tabId="12" name="PivotTable1"/>
  </pivotTables>
  <data>
    <tabular pivotCacheId="2078380161">
      <items count="13">
        <i x="4" s="1"/>
        <i x="5" s="1"/>
        <i x="6" s="1"/>
        <i x="7" s="1"/>
        <i x="8" s="1"/>
        <i x="9" s="1"/>
        <i x="10" s="1"/>
        <i x="11" s="1"/>
        <i x="0" s="1"/>
        <i x="1" s="1"/>
        <i x="2" s="1"/>
        <i x="3" s="1"/>
        <i x="12"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3" xr10:uid="{8910F4AB-A617-490D-A259-87BAFBA63830}" sourceName="order_status">
  <pivotTables>
    <pivotTable tabId="12" name="PivotTable1"/>
  </pivotTables>
  <data>
    <tabular pivotCacheId="2078380161">
      <items count="8">
        <i x="3"/>
        <i x="1" s="1"/>
        <i x="6" s="1"/>
        <i x="4" s="1"/>
        <i x="5"/>
        <i x="2"/>
        <i x="0" s="1"/>
        <i x="7"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4" xr10:uid="{0FD231FA-27AD-4B76-A37C-7EC0BE3FF4FA}" sourceName="order_status">
  <pivotTables>
    <pivotTable tabId="13" name="PivotTable2"/>
  </pivotTables>
  <data>
    <tabular pivotCacheId="1114363142">
      <items count="7">
        <i x="3"/>
        <i x="1" s="1"/>
        <i x="6" s="1"/>
        <i x="4" s="1"/>
        <i x="5"/>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5" xr10:uid="{D1A1AD15-8209-4B0E-99D4-50C4B9B6E525}" cache="Slicer_order_status4" caption="order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d_customer_state_new" xr10:uid="{99AC02BA-B143-4C86-AA64-9BA460C2E6F8}" cache="Slicer_end_customer_state_new" caption="end_customer_state_new"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54EF8A6F-2B37-4427-A9D4-24A915D35880}" cache="Slicer_order_status" caption="order_status"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2" xr10:uid="{1A3C91D6-357F-4F23-9A7F-3CC990EDC547}" cache="Slicer_order_status1" caption="order_status" rowHeight="241300"/>
  <slicer name="hsn_code" xr10:uid="{BCEB8F7B-6C13-446E-99E3-425869BB87B2}" cache="Slicer_hsn_code" caption="hsn_cod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st_rate" xr10:uid="{5D72E577-AF97-463E-BFB1-4B8990B0C2C9}" cache="Slicer_gst_rate" caption="gst_rate" rowHeight="241300"/>
  <slicer name="order_status 3" xr10:uid="{A18E8B5A-0DEF-4FC1-ADCB-5247E77F8DEE}" cache="Slicer_order_status2" caption="order_status"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1614E6C-85E3-43A8-A9C0-83CE049309D1}" cache="Slicer_Month" caption="Month" rowHeight="241300"/>
  <slicer name="order_status 4" xr10:uid="{F9686A8C-FEFD-4867-AC77-0326D86CDBC5}" cache="Slicer_order_status3" caption="order_status"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1" xr10:uid="{14024ED9-9E9A-4DDF-837E-E53708FC456A}" cache="Slicer_order_status" caption="order_status" rowHeight="241300"/>
  <slicer name="end_customer_state_new 1" xr10:uid="{845C7E20-6DC3-4ECE-8EA5-3B492BC9D638}" cache="Slicer_end_customer_state_new" caption="end_customer_state_new" level="1" rowHeight="241300"/>
  <slicer name="hsn_code 1" xr10:uid="{26E2C861-B595-4992-AF24-A611CFBBAA15}" cache="Slicer_hsn_code" caption="hsn_code" rowHeight="241300"/>
  <slicer name="gst_rate 1" xr10:uid="{40AB5642-CB9C-4A02-96AC-9515BABBF2C3}" cache="Slicer_gst_rate" caption="gst_rate" rowHeight="241300"/>
  <slicer name="Month 1" xr10:uid="{456D219D-8447-435E-9333-F6AC5185EE0F}"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DBD13F-58A6-49CA-89D1-1961AA1E38FE}" name="Table1" displayName="Table1" ref="B5:D11" totalsRowShown="0" headerRowDxfId="4" dataDxfId="3">
  <autoFilter ref="B5:D11" xr:uid="{D0DBD13F-58A6-49CA-89D1-1961AA1E38FE}"/>
  <tableColumns count="3">
    <tableColumn id="1" xr3:uid="{790E51C3-AF91-4AE9-935D-98C78EC91F61}" name="FILTERS" dataDxfId="2"/>
    <tableColumn id="2" xr3:uid="{675CE7A0-03DD-4F65-AB1E-4F968C72184C}" name="Total Orders by Status" dataDxfId="1"/>
    <tableColumn id="3" xr3:uid="{C0920860-94D9-4748-B17C-39813CC20C75}" name="KPI"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75"/>
  <sheetViews>
    <sheetView zoomScaleNormal="100" zoomScaleSheetLayoutView="86" workbookViewId="0">
      <selection activeCell="K5" sqref="K5"/>
    </sheetView>
  </sheetViews>
  <sheetFormatPr defaultRowHeight="15" x14ac:dyDescent="0.25"/>
  <cols>
    <col min="1" max="1" width="22.5703125" style="11" customWidth="1"/>
    <col min="2" max="2" width="12" style="20" customWidth="1"/>
    <col min="3" max="3" width="14" style="11" customWidth="1"/>
    <col min="4" max="4" width="10.7109375" style="13" customWidth="1"/>
    <col min="5" max="5" width="10.140625" style="13" customWidth="1"/>
    <col min="6" max="6" width="9.28515625" style="11" customWidth="1"/>
    <col min="7" max="7" width="12.5703125" style="12" customWidth="1"/>
    <col min="8" max="8" width="9.5703125" style="13" customWidth="1"/>
    <col min="9" max="9" width="11.140625" style="13" customWidth="1"/>
    <col min="10" max="10" width="10.5703125" style="14" customWidth="1"/>
    <col min="11" max="11" width="27.5703125" style="11" customWidth="1"/>
    <col min="12" max="16384" width="9.140625" style="15"/>
  </cols>
  <sheetData>
    <row r="1" spans="1:11" s="10" customFormat="1" ht="43.5" customHeight="1" x14ac:dyDescent="0.25">
      <c r="A1" s="7" t="s">
        <v>1</v>
      </c>
      <c r="B1" s="7" t="s">
        <v>0</v>
      </c>
      <c r="C1" s="7" t="s">
        <v>2</v>
      </c>
      <c r="D1" s="7" t="s">
        <v>3</v>
      </c>
      <c r="E1" s="7" t="s">
        <v>4</v>
      </c>
      <c r="F1" s="7" t="s">
        <v>5</v>
      </c>
      <c r="G1" s="7" t="s">
        <v>197</v>
      </c>
      <c r="H1" s="7" t="s">
        <v>198</v>
      </c>
      <c r="I1" s="7" t="s">
        <v>199</v>
      </c>
      <c r="J1" s="7" t="s">
        <v>6</v>
      </c>
      <c r="K1" s="7" t="s">
        <v>7</v>
      </c>
    </row>
    <row r="2" spans="1:11" x14ac:dyDescent="0.25">
      <c r="A2" s="13">
        <v>7.179330784349E+16</v>
      </c>
      <c r="B2" s="20" t="s">
        <v>8</v>
      </c>
      <c r="C2" s="11" t="s">
        <v>9</v>
      </c>
      <c r="D2" s="13">
        <v>271904</v>
      </c>
      <c r="E2" s="13">
        <v>7117</v>
      </c>
      <c r="F2" s="11">
        <v>3</v>
      </c>
      <c r="G2" s="13">
        <v>121.35922330097</v>
      </c>
      <c r="H2" s="13">
        <v>3.9611650485436898</v>
      </c>
      <c r="I2" s="13">
        <f>G2+H2</f>
        <v>125.32038834951369</v>
      </c>
      <c r="J2" s="14">
        <v>52.427184466019398</v>
      </c>
      <c r="K2" s="11" t="s">
        <v>10</v>
      </c>
    </row>
    <row r="3" spans="1:11" x14ac:dyDescent="0.25">
      <c r="A3" s="13">
        <v>7.0965383275933904E+16</v>
      </c>
      <c r="B3" s="20" t="s">
        <v>11</v>
      </c>
      <c r="C3" s="11" t="s">
        <v>9</v>
      </c>
      <c r="D3" s="13">
        <v>361001</v>
      </c>
      <c r="E3" s="13">
        <v>711790</v>
      </c>
      <c r="F3" s="11">
        <v>18</v>
      </c>
      <c r="G3" s="13">
        <v>108.474576271186</v>
      </c>
      <c r="H3" s="13">
        <v>21.661016949152501</v>
      </c>
      <c r="I3" s="13">
        <f t="shared" ref="I3:I66" si="0">G3+H3</f>
        <v>130.13559322033851</v>
      </c>
      <c r="J3" s="14">
        <v>44.067796610169502</v>
      </c>
      <c r="K3" s="11" t="s">
        <v>12</v>
      </c>
    </row>
    <row r="4" spans="1:11" x14ac:dyDescent="0.25">
      <c r="A4" s="13">
        <v>7.232841947134E+16</v>
      </c>
      <c r="B4" s="20" t="s">
        <v>13</v>
      </c>
      <c r="C4" s="11" t="s">
        <v>9</v>
      </c>
      <c r="D4" s="13">
        <v>721431</v>
      </c>
      <c r="E4" s="13">
        <v>7117</v>
      </c>
      <c r="F4" s="11">
        <v>3</v>
      </c>
      <c r="G4" s="13">
        <v>105.82524271844601</v>
      </c>
      <c r="H4" s="13">
        <v>3.1747572815534002</v>
      </c>
      <c r="I4" s="13">
        <f t="shared" si="0"/>
        <v>108.9999999999994</v>
      </c>
      <c r="J4" s="14">
        <v>65.048543689320397</v>
      </c>
      <c r="K4" s="11" t="s">
        <v>14</v>
      </c>
    </row>
    <row r="5" spans="1:11" x14ac:dyDescent="0.25">
      <c r="A5" s="13">
        <v>6.8779559920018096E+16</v>
      </c>
      <c r="B5" s="20" t="s">
        <v>15</v>
      </c>
      <c r="C5" s="11" t="s">
        <v>16</v>
      </c>
      <c r="D5" s="13">
        <v>143001</v>
      </c>
      <c r="E5" s="13">
        <v>7117</v>
      </c>
      <c r="F5" s="11">
        <v>18</v>
      </c>
      <c r="G5" s="13">
        <v>75.423728813559293</v>
      </c>
      <c r="H5" s="13">
        <v>17.694915254237198</v>
      </c>
      <c r="I5" s="13">
        <f t="shared" si="0"/>
        <v>93.118644067796495</v>
      </c>
      <c r="J5" s="14">
        <v>33.0508474576271</v>
      </c>
      <c r="K5" s="11" t="s">
        <v>17</v>
      </c>
    </row>
    <row r="6" spans="1:11" x14ac:dyDescent="0.25">
      <c r="A6" s="13">
        <v>6.97351126269564E+16</v>
      </c>
      <c r="B6" s="20" t="s">
        <v>18</v>
      </c>
      <c r="C6" s="11" t="s">
        <v>16</v>
      </c>
      <c r="D6" s="13">
        <v>577203</v>
      </c>
      <c r="E6" s="13">
        <v>711790</v>
      </c>
      <c r="F6" s="11">
        <v>18</v>
      </c>
      <c r="G6" s="13">
        <v>131.35593220338899</v>
      </c>
      <c r="H6" s="13">
        <v>23.644067796610098</v>
      </c>
      <c r="I6" s="13">
        <f t="shared" si="0"/>
        <v>154.99999999999909</v>
      </c>
      <c r="J6" s="14">
        <v>55.932203389830498</v>
      </c>
      <c r="K6" s="11" t="s">
        <v>19</v>
      </c>
    </row>
    <row r="7" spans="1:11" x14ac:dyDescent="0.25">
      <c r="A7" s="13">
        <v>7.0710502195488896E+16</v>
      </c>
      <c r="B7" s="20" t="s">
        <v>20</v>
      </c>
      <c r="C7" s="11" t="s">
        <v>21</v>
      </c>
      <c r="D7" s="13">
        <v>800006</v>
      </c>
      <c r="E7" s="13">
        <v>7117</v>
      </c>
      <c r="F7" s="11">
        <v>18</v>
      </c>
      <c r="G7" s="13">
        <v>143.22033898305</v>
      </c>
      <c r="H7" s="13">
        <v>25.779661016949099</v>
      </c>
      <c r="I7" s="13">
        <f t="shared" si="0"/>
        <v>168.99999999999909</v>
      </c>
      <c r="J7" s="14">
        <v>53.389830508474603</v>
      </c>
      <c r="K7" s="11" t="s">
        <v>22</v>
      </c>
    </row>
    <row r="8" spans="1:11" x14ac:dyDescent="0.25">
      <c r="A8" s="13">
        <v>7.17448524083324E+16</v>
      </c>
      <c r="B8" s="20" t="s">
        <v>8</v>
      </c>
      <c r="C8" s="11" t="s">
        <v>9</v>
      </c>
      <c r="D8" s="13">
        <v>495554</v>
      </c>
      <c r="E8" s="13">
        <v>711790</v>
      </c>
      <c r="F8" s="11">
        <v>18</v>
      </c>
      <c r="G8" s="13">
        <v>120.33898305084701</v>
      </c>
      <c r="H8" s="13">
        <v>21.661016949152501</v>
      </c>
      <c r="I8" s="13">
        <f t="shared" si="0"/>
        <v>141.99999999999952</v>
      </c>
      <c r="J8" s="14">
        <v>55.932203389830498</v>
      </c>
      <c r="K8" s="11" t="s">
        <v>23</v>
      </c>
    </row>
    <row r="9" spans="1:11" x14ac:dyDescent="0.25">
      <c r="A9" s="13">
        <v>7.1959000808825504E+16</v>
      </c>
      <c r="B9" s="20" t="s">
        <v>8</v>
      </c>
      <c r="C9" s="11" t="s">
        <v>9</v>
      </c>
      <c r="D9" s="13">
        <v>160062</v>
      </c>
      <c r="E9" s="13">
        <v>711790</v>
      </c>
      <c r="F9" s="11">
        <v>18</v>
      </c>
      <c r="G9" s="13">
        <v>103.38983050847401</v>
      </c>
      <c r="H9" s="13">
        <v>21.661016949152501</v>
      </c>
      <c r="I9" s="13">
        <f t="shared" si="0"/>
        <v>125.0508474576265</v>
      </c>
      <c r="J9" s="14">
        <v>38.983050847457598</v>
      </c>
      <c r="K9" s="11" t="s">
        <v>17</v>
      </c>
    </row>
    <row r="10" spans="1:11" x14ac:dyDescent="0.25">
      <c r="A10" s="13">
        <v>7.1603082940838096E+16</v>
      </c>
      <c r="B10" s="20" t="s">
        <v>24</v>
      </c>
      <c r="C10" s="11" t="s">
        <v>25</v>
      </c>
      <c r="D10" s="13">
        <v>226002</v>
      </c>
      <c r="E10" s="13">
        <v>7117</v>
      </c>
      <c r="F10" s="11">
        <v>3</v>
      </c>
      <c r="G10" s="13">
        <v>106.796116504854</v>
      </c>
      <c r="H10" s="13">
        <v>4.13592233009709</v>
      </c>
      <c r="I10" s="13">
        <f t="shared" si="0"/>
        <v>110.93203883495109</v>
      </c>
      <c r="J10" s="14">
        <v>29.126213592233</v>
      </c>
      <c r="K10" s="11" t="s">
        <v>10</v>
      </c>
    </row>
    <row r="11" spans="1:11" x14ac:dyDescent="0.25">
      <c r="A11" s="13">
        <v>7.2148570263397104E+16</v>
      </c>
      <c r="B11" s="20" t="s">
        <v>13</v>
      </c>
      <c r="C11" s="11" t="s">
        <v>9</v>
      </c>
      <c r="D11" s="13">
        <v>821101</v>
      </c>
      <c r="E11" s="13">
        <v>7117</v>
      </c>
      <c r="F11" s="11">
        <v>18</v>
      </c>
      <c r="G11" s="13">
        <v>100</v>
      </c>
      <c r="H11" s="13">
        <v>18.610169491525401</v>
      </c>
      <c r="I11" s="13">
        <f t="shared" si="0"/>
        <v>118.6101694915254</v>
      </c>
      <c r="J11" s="14">
        <v>53.389830508474603</v>
      </c>
      <c r="K11" s="11" t="s">
        <v>22</v>
      </c>
    </row>
    <row r="12" spans="1:11" x14ac:dyDescent="0.25">
      <c r="A12" s="13">
        <v>7.18688916131316E+16</v>
      </c>
      <c r="B12" s="20" t="s">
        <v>8</v>
      </c>
      <c r="C12" s="11" t="s">
        <v>25</v>
      </c>
      <c r="D12" s="13">
        <v>462043</v>
      </c>
      <c r="E12" s="13">
        <v>711790</v>
      </c>
      <c r="F12" s="11">
        <v>18</v>
      </c>
      <c r="G12" s="13">
        <v>120.33898305084701</v>
      </c>
      <c r="H12" s="13">
        <v>21.661016949152501</v>
      </c>
      <c r="I12" s="13">
        <f t="shared" si="0"/>
        <v>141.99999999999952</v>
      </c>
      <c r="J12" s="14">
        <v>55.932203389830498</v>
      </c>
      <c r="K12" s="11" t="s">
        <v>26</v>
      </c>
    </row>
    <row r="13" spans="1:11" x14ac:dyDescent="0.25">
      <c r="A13" s="13">
        <v>6.9701173573410096E+16</v>
      </c>
      <c r="B13" s="20" t="s">
        <v>18</v>
      </c>
      <c r="C13" s="11" t="s">
        <v>9</v>
      </c>
      <c r="D13" s="13">
        <v>600117</v>
      </c>
      <c r="E13" s="13">
        <v>711790</v>
      </c>
      <c r="F13" s="11">
        <v>18</v>
      </c>
      <c r="G13" s="13">
        <v>119.49152542372801</v>
      </c>
      <c r="H13" s="13">
        <v>23.644067796610098</v>
      </c>
      <c r="I13" s="13">
        <f t="shared" si="0"/>
        <v>143.13559322033811</v>
      </c>
      <c r="J13" s="14">
        <v>44.067796610169502</v>
      </c>
      <c r="K13" s="11" t="s">
        <v>27</v>
      </c>
    </row>
    <row r="14" spans="1:11" x14ac:dyDescent="0.25">
      <c r="A14" s="13">
        <v>7.12824642485912E+16</v>
      </c>
      <c r="B14" s="20" t="s">
        <v>11</v>
      </c>
      <c r="C14" s="11" t="s">
        <v>16</v>
      </c>
      <c r="D14" s="13">
        <v>110008</v>
      </c>
      <c r="E14" s="13">
        <v>711790</v>
      </c>
      <c r="F14" s="11">
        <v>18</v>
      </c>
      <c r="G14" s="13">
        <v>92.372881355932194</v>
      </c>
      <c r="H14" s="13">
        <v>19.677966101694899</v>
      </c>
      <c r="I14" s="13">
        <f t="shared" si="0"/>
        <v>112.0508474576271</v>
      </c>
      <c r="J14" s="14">
        <v>38.983050847457598</v>
      </c>
      <c r="K14" s="11" t="s">
        <v>28</v>
      </c>
    </row>
    <row r="15" spans="1:11" x14ac:dyDescent="0.25">
      <c r="A15" s="13">
        <v>6.92765912678618E+16</v>
      </c>
      <c r="B15" s="20" t="s">
        <v>29</v>
      </c>
      <c r="C15" s="11" t="s">
        <v>16</v>
      </c>
      <c r="D15" s="13">
        <v>144022</v>
      </c>
      <c r="E15" s="13">
        <v>711790</v>
      </c>
      <c r="F15" s="11">
        <v>18</v>
      </c>
      <c r="G15" s="13">
        <v>114.406779661017</v>
      </c>
      <c r="H15" s="13">
        <v>23.644067796610098</v>
      </c>
      <c r="I15" s="13">
        <f t="shared" si="0"/>
        <v>138.0508474576271</v>
      </c>
      <c r="J15" s="14">
        <v>38.983050847457598</v>
      </c>
      <c r="K15" s="11" t="s">
        <v>17</v>
      </c>
    </row>
    <row r="16" spans="1:11" x14ac:dyDescent="0.25">
      <c r="A16" s="13">
        <v>6.9441780096984704E+16</v>
      </c>
      <c r="B16" s="20" t="s">
        <v>29</v>
      </c>
      <c r="C16" s="11" t="s">
        <v>16</v>
      </c>
      <c r="D16" s="13">
        <v>700032</v>
      </c>
      <c r="E16" s="13">
        <v>711790</v>
      </c>
      <c r="F16" s="11">
        <v>18</v>
      </c>
      <c r="G16" s="13">
        <v>118.64406779661</v>
      </c>
      <c r="H16" s="13">
        <v>21.355932203389798</v>
      </c>
      <c r="I16" s="13">
        <f t="shared" si="0"/>
        <v>139.9999999999998</v>
      </c>
      <c r="J16" s="14">
        <v>55.932203389830498</v>
      </c>
      <c r="K16" s="11" t="s">
        <v>14</v>
      </c>
    </row>
    <row r="17" spans="1:11" x14ac:dyDescent="0.25">
      <c r="A17" s="13">
        <v>7.6989792849111904E+16</v>
      </c>
      <c r="B17" s="20" t="s">
        <v>30</v>
      </c>
      <c r="C17" s="11" t="s">
        <v>25</v>
      </c>
      <c r="D17" s="13">
        <v>700041</v>
      </c>
      <c r="E17" s="13">
        <v>7117</v>
      </c>
      <c r="F17" s="11">
        <v>3</v>
      </c>
      <c r="G17" s="13">
        <v>93.203883495145604</v>
      </c>
      <c r="H17" s="13">
        <v>3.3495145631068</v>
      </c>
      <c r="I17" s="13">
        <f t="shared" si="0"/>
        <v>96.553398058252398</v>
      </c>
      <c r="J17" s="14">
        <v>60.194174757281601</v>
      </c>
      <c r="K17" s="11" t="s">
        <v>14</v>
      </c>
    </row>
    <row r="18" spans="1:11" x14ac:dyDescent="0.25">
      <c r="A18" s="13">
        <v>8.10092355226284E+16</v>
      </c>
      <c r="B18" s="20" t="s">
        <v>31</v>
      </c>
      <c r="C18" s="11" t="s">
        <v>25</v>
      </c>
      <c r="D18" s="13">
        <v>201102</v>
      </c>
      <c r="E18" s="13">
        <v>7117</v>
      </c>
      <c r="F18" s="11">
        <v>3</v>
      </c>
      <c r="G18" s="13">
        <v>127.184466019417</v>
      </c>
      <c r="H18" s="13">
        <v>4.1067961165048503</v>
      </c>
      <c r="I18" s="13">
        <f t="shared" si="0"/>
        <v>131.29126213592184</v>
      </c>
      <c r="J18" s="14">
        <v>58.252427184466001</v>
      </c>
      <c r="K18" s="11" t="s">
        <v>10</v>
      </c>
    </row>
    <row r="19" spans="1:11" x14ac:dyDescent="0.25">
      <c r="A19" s="13">
        <v>8.323104954724E+16</v>
      </c>
      <c r="B19" s="20" t="s">
        <v>32</v>
      </c>
      <c r="C19" s="11" t="s">
        <v>33</v>
      </c>
      <c r="D19" s="13">
        <v>824203</v>
      </c>
      <c r="E19" s="13">
        <v>7117</v>
      </c>
      <c r="F19" s="11">
        <v>3</v>
      </c>
      <c r="G19" s="13">
        <v>156.31067961164999</v>
      </c>
      <c r="H19" s="13">
        <v>4.7766990291262097</v>
      </c>
      <c r="I19" s="13">
        <f t="shared" si="0"/>
        <v>161.08737864077619</v>
      </c>
      <c r="J19" s="14">
        <v>55.339805825242699</v>
      </c>
      <c r="K19" s="11" t="s">
        <v>22</v>
      </c>
    </row>
    <row r="20" spans="1:11" x14ac:dyDescent="0.25">
      <c r="A20" s="13">
        <v>8.3493613057331808E+16</v>
      </c>
      <c r="B20" s="20" t="s">
        <v>34</v>
      </c>
      <c r="C20" s="11" t="s">
        <v>33</v>
      </c>
      <c r="D20" s="13">
        <v>786001</v>
      </c>
      <c r="E20" s="13">
        <v>711790</v>
      </c>
      <c r="F20" s="11">
        <v>3</v>
      </c>
      <c r="G20" s="13">
        <v>124.27184466019401</v>
      </c>
      <c r="H20" s="13">
        <v>4.5145631067961203</v>
      </c>
      <c r="I20" s="13">
        <f t="shared" si="0"/>
        <v>128.78640776699012</v>
      </c>
      <c r="J20" s="14">
        <v>52.427184466019398</v>
      </c>
      <c r="K20" s="11" t="s">
        <v>35</v>
      </c>
    </row>
    <row r="21" spans="1:11" x14ac:dyDescent="0.25">
      <c r="A21" s="13">
        <v>8.0298198937301792E+16</v>
      </c>
      <c r="B21" s="20" t="s">
        <v>36</v>
      </c>
      <c r="C21" s="11" t="s">
        <v>16</v>
      </c>
      <c r="D21" s="13">
        <v>825313</v>
      </c>
      <c r="E21" s="13">
        <v>7117</v>
      </c>
      <c r="F21" s="11">
        <v>3</v>
      </c>
      <c r="G21" s="13">
        <v>141.747572815534</v>
      </c>
      <c r="H21" s="13">
        <v>4.86407766990291</v>
      </c>
      <c r="I21" s="13">
        <f t="shared" si="0"/>
        <v>146.61165048543691</v>
      </c>
      <c r="J21" s="14">
        <v>40.776699029126199</v>
      </c>
      <c r="K21" s="11" t="s">
        <v>37</v>
      </c>
    </row>
    <row r="22" spans="1:11" x14ac:dyDescent="0.25">
      <c r="A22" s="13">
        <v>8.34851173849464E+16</v>
      </c>
      <c r="B22" s="20" t="s">
        <v>34</v>
      </c>
      <c r="C22" s="11" t="s">
        <v>9</v>
      </c>
      <c r="D22" s="13">
        <v>506002</v>
      </c>
      <c r="E22" s="13">
        <v>7117</v>
      </c>
      <c r="F22" s="11">
        <v>3</v>
      </c>
      <c r="G22" s="13">
        <v>156.31067961164999</v>
      </c>
      <c r="H22" s="13">
        <v>4.6893203883495103</v>
      </c>
      <c r="I22" s="13">
        <f t="shared" si="0"/>
        <v>160.99999999999949</v>
      </c>
      <c r="J22" s="14">
        <v>59.223300970873801</v>
      </c>
      <c r="K22" s="11" t="s">
        <v>39</v>
      </c>
    </row>
    <row r="23" spans="1:11" x14ac:dyDescent="0.25">
      <c r="A23" s="13">
        <v>7.9950710581670208E+16</v>
      </c>
      <c r="B23" s="20" t="s">
        <v>40</v>
      </c>
      <c r="C23" s="11" t="s">
        <v>25</v>
      </c>
      <c r="D23" s="13">
        <v>400101</v>
      </c>
      <c r="E23" s="13">
        <v>7117</v>
      </c>
      <c r="F23" s="11">
        <v>3</v>
      </c>
      <c r="G23" s="13">
        <v>158.252427184466</v>
      </c>
      <c r="H23" s="13">
        <v>5.0970873786407802</v>
      </c>
      <c r="I23" s="13">
        <f t="shared" si="0"/>
        <v>163.34951456310679</v>
      </c>
      <c r="J23" s="14">
        <v>63.106796116504903</v>
      </c>
      <c r="K23" s="11" t="s">
        <v>41</v>
      </c>
    </row>
    <row r="24" spans="1:11" x14ac:dyDescent="0.25">
      <c r="A24" s="13">
        <v>8.1011491404244608E+16</v>
      </c>
      <c r="B24" s="20" t="s">
        <v>31</v>
      </c>
      <c r="C24" s="11" t="s">
        <v>25</v>
      </c>
      <c r="D24" s="13">
        <v>144211</v>
      </c>
      <c r="E24" s="13">
        <v>7117</v>
      </c>
      <c r="F24" s="11">
        <v>3</v>
      </c>
      <c r="G24" s="13">
        <v>151.45631067961099</v>
      </c>
      <c r="H24" s="13">
        <v>4.7475728155339798</v>
      </c>
      <c r="I24" s="13">
        <f t="shared" si="0"/>
        <v>156.20388349514496</v>
      </c>
      <c r="J24" s="14">
        <v>51.456310679611697</v>
      </c>
      <c r="K24" s="11" t="s">
        <v>17</v>
      </c>
    </row>
    <row r="25" spans="1:11" x14ac:dyDescent="0.25">
      <c r="A25" s="13">
        <v>8.2688279422047504E+16</v>
      </c>
      <c r="B25" s="20" t="s">
        <v>42</v>
      </c>
      <c r="C25" s="11" t="s">
        <v>33</v>
      </c>
      <c r="D25" s="13">
        <v>843119</v>
      </c>
      <c r="E25" s="13">
        <v>7117</v>
      </c>
      <c r="F25" s="11">
        <v>3</v>
      </c>
      <c r="G25" s="13">
        <v>159.223300970873</v>
      </c>
      <c r="H25" s="13">
        <v>4.7766990291262097</v>
      </c>
      <c r="I25" s="13">
        <f t="shared" si="0"/>
        <v>163.9999999999992</v>
      </c>
      <c r="J25" s="14">
        <v>59.223300970873801</v>
      </c>
      <c r="K25" s="11" t="s">
        <v>22</v>
      </c>
    </row>
    <row r="26" spans="1:11" x14ac:dyDescent="0.25">
      <c r="A26" s="13">
        <v>7.7747994586917696E+16</v>
      </c>
      <c r="B26" s="20" t="s">
        <v>43</v>
      </c>
      <c r="C26" s="11" t="s">
        <v>16</v>
      </c>
      <c r="D26" s="13">
        <v>174001</v>
      </c>
      <c r="E26" s="13">
        <v>7117</v>
      </c>
      <c r="F26" s="11">
        <v>3</v>
      </c>
      <c r="G26" s="13">
        <v>199.02912621359201</v>
      </c>
      <c r="H26" s="13">
        <v>6.1747572815533998</v>
      </c>
      <c r="I26" s="13">
        <f t="shared" si="0"/>
        <v>205.20388349514542</v>
      </c>
      <c r="J26" s="14">
        <v>52.427184466019398</v>
      </c>
      <c r="K26" s="11" t="s">
        <v>44</v>
      </c>
    </row>
    <row r="27" spans="1:11" x14ac:dyDescent="0.25">
      <c r="A27" s="13">
        <v>7.9271913352581792E+16</v>
      </c>
      <c r="B27" s="20" t="s">
        <v>45</v>
      </c>
      <c r="C27" s="11" t="s">
        <v>25</v>
      </c>
      <c r="D27" s="13">
        <v>202002</v>
      </c>
      <c r="E27" s="13">
        <v>7117</v>
      </c>
      <c r="F27" s="11">
        <v>3</v>
      </c>
      <c r="G27" s="13">
        <v>140.77669902912601</v>
      </c>
      <c r="H27" s="13">
        <v>4.6310679611650496</v>
      </c>
      <c r="I27" s="13">
        <f t="shared" si="0"/>
        <v>145.40776699029107</v>
      </c>
      <c r="J27" s="14">
        <v>50.485436893203897</v>
      </c>
      <c r="K27" s="11" t="s">
        <v>10</v>
      </c>
    </row>
    <row r="28" spans="1:11" x14ac:dyDescent="0.25">
      <c r="A28" s="13">
        <v>8.36235633591256E+16</v>
      </c>
      <c r="B28" s="20" t="s">
        <v>34</v>
      </c>
      <c r="C28" s="11" t="s">
        <v>33</v>
      </c>
      <c r="D28" s="13">
        <v>151001</v>
      </c>
      <c r="E28" s="13">
        <v>7117</v>
      </c>
      <c r="F28" s="11">
        <v>3</v>
      </c>
      <c r="G28" s="13">
        <v>139.80582524271799</v>
      </c>
      <c r="H28" s="13">
        <v>4.86407766990291</v>
      </c>
      <c r="I28" s="13">
        <f t="shared" si="0"/>
        <v>144.6699029126209</v>
      </c>
      <c r="J28" s="14">
        <v>36.893203883495197</v>
      </c>
      <c r="K28" s="11" t="s">
        <v>17</v>
      </c>
    </row>
    <row r="29" spans="1:11" x14ac:dyDescent="0.25">
      <c r="A29" s="13">
        <v>8.3527982179673696E+16</v>
      </c>
      <c r="B29" s="20" t="s">
        <v>34</v>
      </c>
      <c r="C29" s="11" t="s">
        <v>9</v>
      </c>
      <c r="D29" s="13">
        <v>301701</v>
      </c>
      <c r="E29" s="13">
        <v>7117</v>
      </c>
      <c r="F29" s="11">
        <v>3</v>
      </c>
      <c r="G29" s="13">
        <v>153.39805825242701</v>
      </c>
      <c r="H29" s="13">
        <v>4.7766990291262097</v>
      </c>
      <c r="I29" s="13">
        <f t="shared" si="0"/>
        <v>158.17475728155321</v>
      </c>
      <c r="J29" s="14">
        <v>52.427184466019398</v>
      </c>
      <c r="K29" s="11" t="s">
        <v>46</v>
      </c>
    </row>
    <row r="30" spans="1:11" x14ac:dyDescent="0.25">
      <c r="A30" s="13">
        <v>8.3230092033660192E+16</v>
      </c>
      <c r="B30" s="20" t="s">
        <v>32</v>
      </c>
      <c r="C30" s="11" t="s">
        <v>9</v>
      </c>
      <c r="D30" s="13">
        <v>415604</v>
      </c>
      <c r="E30" s="13">
        <v>7117</v>
      </c>
      <c r="F30" s="11">
        <v>3</v>
      </c>
      <c r="G30" s="13">
        <v>159.223300970873</v>
      </c>
      <c r="H30" s="13">
        <v>4.7766990291262097</v>
      </c>
      <c r="I30" s="13">
        <f t="shared" si="0"/>
        <v>163.9999999999992</v>
      </c>
      <c r="J30" s="14">
        <v>58.252427184466001</v>
      </c>
      <c r="K30" s="11" t="s">
        <v>41</v>
      </c>
    </row>
    <row r="31" spans="1:11" x14ac:dyDescent="0.25">
      <c r="A31" s="13">
        <v>8.0929583877729104E+16</v>
      </c>
      <c r="B31" s="20" t="s">
        <v>31</v>
      </c>
      <c r="C31" s="11" t="s">
        <v>25</v>
      </c>
      <c r="D31" s="13">
        <v>221010</v>
      </c>
      <c r="E31" s="13">
        <v>7117</v>
      </c>
      <c r="F31" s="11">
        <v>3</v>
      </c>
      <c r="G31" s="13">
        <v>149.514563106796</v>
      </c>
      <c r="H31" s="13">
        <v>4.7766990291262097</v>
      </c>
      <c r="I31" s="13">
        <f t="shared" si="0"/>
        <v>154.29126213592221</v>
      </c>
      <c r="J31" s="14">
        <v>58.252427184466001</v>
      </c>
      <c r="K31" s="11" t="s">
        <v>10</v>
      </c>
    </row>
    <row r="32" spans="1:11" x14ac:dyDescent="0.25">
      <c r="A32" s="13">
        <v>8.2316177325617904E+16</v>
      </c>
      <c r="B32" s="20" t="s">
        <v>47</v>
      </c>
      <c r="C32" s="11" t="s">
        <v>9</v>
      </c>
      <c r="D32" s="13">
        <v>570031</v>
      </c>
      <c r="E32" s="13">
        <v>711790</v>
      </c>
      <c r="F32" s="11">
        <v>3</v>
      </c>
      <c r="G32" s="13">
        <v>145.631067961165</v>
      </c>
      <c r="H32" s="13">
        <v>4.3689320388349504</v>
      </c>
      <c r="I32" s="13">
        <f t="shared" si="0"/>
        <v>149.99999999999994</v>
      </c>
      <c r="J32" s="14">
        <v>59.223300970873801</v>
      </c>
      <c r="K32" s="11" t="s">
        <v>19</v>
      </c>
    </row>
    <row r="33" spans="1:11" x14ac:dyDescent="0.25">
      <c r="A33" s="13">
        <v>8.2004798899155696E+16</v>
      </c>
      <c r="B33" s="20" t="s">
        <v>48</v>
      </c>
      <c r="C33" s="11" t="s">
        <v>21</v>
      </c>
      <c r="D33" s="13">
        <v>140307</v>
      </c>
      <c r="E33" s="13">
        <v>7117</v>
      </c>
      <c r="F33" s="11">
        <v>3</v>
      </c>
      <c r="G33" s="13">
        <v>159.223300970873</v>
      </c>
      <c r="H33" s="13">
        <v>4.7766990291262097</v>
      </c>
      <c r="I33" s="13">
        <f t="shared" si="0"/>
        <v>163.9999999999992</v>
      </c>
      <c r="J33" s="14">
        <v>59.223300970873801</v>
      </c>
      <c r="K33" s="11" t="s">
        <v>17</v>
      </c>
    </row>
    <row r="34" spans="1:11" x14ac:dyDescent="0.25">
      <c r="A34" s="13">
        <v>8.2347505085977904E+16</v>
      </c>
      <c r="B34" s="20" t="s">
        <v>47</v>
      </c>
      <c r="C34" s="11" t="s">
        <v>9</v>
      </c>
      <c r="D34" s="13">
        <v>263153</v>
      </c>
      <c r="E34" s="13">
        <v>7117</v>
      </c>
      <c r="F34" s="11">
        <v>3</v>
      </c>
      <c r="G34" s="13">
        <v>129.126213592233</v>
      </c>
      <c r="H34" s="13">
        <v>4.1650485436893199</v>
      </c>
      <c r="I34" s="13">
        <f t="shared" si="0"/>
        <v>133.29126213592232</v>
      </c>
      <c r="J34" s="14">
        <v>49.514563106796103</v>
      </c>
      <c r="K34" s="11" t="s">
        <v>49</v>
      </c>
    </row>
    <row r="35" spans="1:11" x14ac:dyDescent="0.25">
      <c r="A35" s="13">
        <v>7.8607710778168608E+16</v>
      </c>
      <c r="B35" s="20" t="s">
        <v>50</v>
      </c>
      <c r="C35" s="11" t="s">
        <v>16</v>
      </c>
      <c r="D35" s="13">
        <v>700041</v>
      </c>
      <c r="E35" s="13">
        <v>7117</v>
      </c>
      <c r="F35" s="11">
        <v>3</v>
      </c>
      <c r="G35" s="13">
        <v>91.262135922330103</v>
      </c>
      <c r="H35" s="13">
        <v>2.7378640776698999</v>
      </c>
      <c r="I35" s="13">
        <f t="shared" si="0"/>
        <v>94</v>
      </c>
      <c r="J35" s="14">
        <v>60.194174757281601</v>
      </c>
      <c r="K35" s="11" t="s">
        <v>14</v>
      </c>
    </row>
    <row r="36" spans="1:11" x14ac:dyDescent="0.25">
      <c r="A36" s="13">
        <v>8.3261630063804608E+16</v>
      </c>
      <c r="B36" s="20" t="s">
        <v>32</v>
      </c>
      <c r="C36" s="11" t="s">
        <v>9</v>
      </c>
      <c r="D36" s="13">
        <v>515201</v>
      </c>
      <c r="E36" s="13">
        <v>7117</v>
      </c>
      <c r="F36" s="11">
        <v>3</v>
      </c>
      <c r="G36" s="13">
        <v>136.893203883495</v>
      </c>
      <c r="H36" s="13">
        <v>4.1067961165048503</v>
      </c>
      <c r="I36" s="13">
        <f t="shared" si="0"/>
        <v>140.99999999999986</v>
      </c>
      <c r="J36" s="14">
        <v>58.252427184466001</v>
      </c>
      <c r="K36" s="11" t="s">
        <v>39</v>
      </c>
    </row>
    <row r="37" spans="1:11" x14ac:dyDescent="0.25">
      <c r="A37" s="13">
        <v>8.3065320432136992E+16</v>
      </c>
      <c r="B37" s="20" t="s">
        <v>32</v>
      </c>
      <c r="C37" s="11" t="s">
        <v>9</v>
      </c>
      <c r="D37" s="13">
        <v>821301</v>
      </c>
      <c r="E37" s="13">
        <v>7117</v>
      </c>
      <c r="F37" s="11">
        <v>3</v>
      </c>
      <c r="G37" s="13">
        <v>144.66019417475701</v>
      </c>
      <c r="H37" s="13">
        <v>4.3980582524271803</v>
      </c>
      <c r="I37" s="13">
        <f t="shared" si="0"/>
        <v>149.05825242718419</v>
      </c>
      <c r="J37" s="14">
        <v>57.2815533980583</v>
      </c>
      <c r="K37" s="11" t="s">
        <v>22</v>
      </c>
    </row>
    <row r="38" spans="1:11" x14ac:dyDescent="0.25">
      <c r="A38" s="13">
        <v>8.06745028073024E+16</v>
      </c>
      <c r="B38" s="20" t="s">
        <v>51</v>
      </c>
      <c r="C38" s="11" t="s">
        <v>25</v>
      </c>
      <c r="D38" s="13">
        <v>140603</v>
      </c>
      <c r="E38" s="13">
        <v>7117</v>
      </c>
      <c r="F38" s="11">
        <v>3</v>
      </c>
      <c r="G38" s="13">
        <v>158.252427184466</v>
      </c>
      <c r="H38" s="13">
        <v>5.0970873786407802</v>
      </c>
      <c r="I38" s="13">
        <f t="shared" si="0"/>
        <v>163.34951456310679</v>
      </c>
      <c r="J38" s="14">
        <v>63.106796116504903</v>
      </c>
      <c r="K38" s="11" t="s">
        <v>17</v>
      </c>
    </row>
    <row r="39" spans="1:11" x14ac:dyDescent="0.25">
      <c r="A39" s="13">
        <v>8.26945943698768E+16</v>
      </c>
      <c r="B39" s="20" t="s">
        <v>42</v>
      </c>
      <c r="C39" s="11" t="s">
        <v>25</v>
      </c>
      <c r="D39" s="13">
        <v>283111</v>
      </c>
      <c r="E39" s="13">
        <v>7117</v>
      </c>
      <c r="F39" s="11">
        <v>3</v>
      </c>
      <c r="G39" s="13">
        <v>166.01941747572801</v>
      </c>
      <c r="H39" s="13">
        <v>5.15533980582524</v>
      </c>
      <c r="I39" s="13">
        <f t="shared" si="0"/>
        <v>171.17475728155324</v>
      </c>
      <c r="J39" s="14">
        <v>59.223300970873801</v>
      </c>
      <c r="K39" s="11" t="s">
        <v>10</v>
      </c>
    </row>
    <row r="40" spans="1:11" x14ac:dyDescent="0.25">
      <c r="A40" s="13">
        <v>7.96441696521304E+16</v>
      </c>
      <c r="B40" s="20" t="s">
        <v>40</v>
      </c>
      <c r="C40" s="11" t="s">
        <v>52</v>
      </c>
      <c r="D40" s="13">
        <v>110020</v>
      </c>
      <c r="E40" s="13">
        <v>7117</v>
      </c>
      <c r="F40" s="11">
        <v>3</v>
      </c>
      <c r="G40" s="13">
        <v>158.252427184466</v>
      </c>
      <c r="H40" s="13">
        <v>5.0970873786407802</v>
      </c>
      <c r="I40" s="13">
        <f t="shared" si="0"/>
        <v>163.34951456310679</v>
      </c>
      <c r="J40" s="14">
        <v>51.456310679611697</v>
      </c>
      <c r="K40" s="11" t="s">
        <v>28</v>
      </c>
    </row>
    <row r="41" spans="1:11" x14ac:dyDescent="0.25">
      <c r="A41" s="13">
        <v>8.2031569451864704E+16</v>
      </c>
      <c r="B41" s="20" t="s">
        <v>48</v>
      </c>
      <c r="C41" s="11" t="s">
        <v>25</v>
      </c>
      <c r="D41" s="13">
        <v>843146</v>
      </c>
      <c r="E41" s="13">
        <v>7117</v>
      </c>
      <c r="F41" s="11">
        <v>3</v>
      </c>
      <c r="G41" s="13">
        <v>140.77669902912601</v>
      </c>
      <c r="H41" s="13">
        <v>4.2233009708737903</v>
      </c>
      <c r="I41" s="13">
        <f t="shared" si="0"/>
        <v>144.9999999999998</v>
      </c>
      <c r="J41" s="14">
        <v>59.223300970873801</v>
      </c>
      <c r="K41" s="11" t="s">
        <v>22</v>
      </c>
    </row>
    <row r="42" spans="1:11" x14ac:dyDescent="0.25">
      <c r="A42" s="13">
        <v>8.2793384663574208E+16</v>
      </c>
      <c r="B42" s="20" t="s">
        <v>42</v>
      </c>
      <c r="C42" s="11" t="s">
        <v>9</v>
      </c>
      <c r="D42" s="13">
        <v>743355</v>
      </c>
      <c r="E42" s="13">
        <v>7117</v>
      </c>
      <c r="F42" s="11">
        <v>3</v>
      </c>
      <c r="G42" s="13">
        <v>162.135922330097</v>
      </c>
      <c r="H42" s="13">
        <v>4.86407766990291</v>
      </c>
      <c r="I42" s="13">
        <f t="shared" si="0"/>
        <v>166.99999999999991</v>
      </c>
      <c r="J42" s="14">
        <v>59.223300970873801</v>
      </c>
      <c r="K42" s="11" t="s">
        <v>14</v>
      </c>
    </row>
    <row r="43" spans="1:11" x14ac:dyDescent="0.25">
      <c r="A43" s="13">
        <v>7.9927044816941408E+16</v>
      </c>
      <c r="B43" s="20" t="s">
        <v>40</v>
      </c>
      <c r="C43" s="11" t="s">
        <v>25</v>
      </c>
      <c r="D43" s="13">
        <v>509376</v>
      </c>
      <c r="E43" s="13">
        <v>7117</v>
      </c>
      <c r="F43" s="11">
        <v>3</v>
      </c>
      <c r="G43" s="13">
        <v>147.57281553397999</v>
      </c>
      <c r="H43" s="13">
        <v>4.42718446601942</v>
      </c>
      <c r="I43" s="13">
        <f t="shared" si="0"/>
        <v>151.9999999999994</v>
      </c>
      <c r="J43" s="14">
        <v>63.106796116504903</v>
      </c>
      <c r="K43" s="11" t="s">
        <v>53</v>
      </c>
    </row>
    <row r="44" spans="1:11" x14ac:dyDescent="0.25">
      <c r="A44" s="13">
        <v>8.0898761234048704E+16</v>
      </c>
      <c r="B44" s="20" t="s">
        <v>31</v>
      </c>
      <c r="C44" s="11" t="s">
        <v>25</v>
      </c>
      <c r="D44" s="13">
        <v>110043</v>
      </c>
      <c r="E44" s="13">
        <v>7117</v>
      </c>
      <c r="F44" s="11">
        <v>3</v>
      </c>
      <c r="G44" s="13">
        <v>114.563106796116</v>
      </c>
      <c r="H44" s="13">
        <v>4.1067961165048503</v>
      </c>
      <c r="I44" s="13">
        <f t="shared" si="0"/>
        <v>118.66990291262086</v>
      </c>
      <c r="J44" s="14">
        <v>58.252427184466001</v>
      </c>
      <c r="K44" s="11" t="s">
        <v>28</v>
      </c>
    </row>
    <row r="45" spans="1:11" x14ac:dyDescent="0.25">
      <c r="A45" s="13">
        <v>8.0715750160608096E+16</v>
      </c>
      <c r="B45" s="20" t="s">
        <v>51</v>
      </c>
      <c r="C45" s="11" t="s">
        <v>25</v>
      </c>
      <c r="D45" s="13">
        <v>743165</v>
      </c>
      <c r="E45" s="13">
        <v>7117</v>
      </c>
      <c r="F45" s="11">
        <v>3</v>
      </c>
      <c r="G45" s="13">
        <v>139.80582524271799</v>
      </c>
      <c r="H45" s="13">
        <v>4.1941747572815498</v>
      </c>
      <c r="I45" s="13">
        <f t="shared" si="0"/>
        <v>143.99999999999955</v>
      </c>
      <c r="J45" s="14">
        <v>61.165048543689302</v>
      </c>
      <c r="K45" s="11" t="s">
        <v>14</v>
      </c>
    </row>
    <row r="46" spans="1:11" x14ac:dyDescent="0.25">
      <c r="A46" s="13">
        <v>7.90534890782032E+16</v>
      </c>
      <c r="B46" s="20" t="s">
        <v>45</v>
      </c>
      <c r="C46" s="11" t="s">
        <v>25</v>
      </c>
      <c r="D46" s="13">
        <v>852137</v>
      </c>
      <c r="E46" s="13">
        <v>7117</v>
      </c>
      <c r="F46" s="11">
        <v>3</v>
      </c>
      <c r="G46" s="13">
        <v>162.135922330097</v>
      </c>
      <c r="H46" s="13">
        <v>4.86407766990291</v>
      </c>
      <c r="I46" s="13">
        <f t="shared" si="0"/>
        <v>166.99999999999991</v>
      </c>
      <c r="J46" s="14">
        <v>61.165048543689302</v>
      </c>
      <c r="K46" s="11" t="s">
        <v>22</v>
      </c>
    </row>
    <row r="47" spans="1:11" x14ac:dyDescent="0.25">
      <c r="A47" s="13">
        <v>8.3124939892970096E+16</v>
      </c>
      <c r="B47" s="20" t="s">
        <v>32</v>
      </c>
      <c r="C47" s="11" t="s">
        <v>9</v>
      </c>
      <c r="D47" s="13">
        <v>762010</v>
      </c>
      <c r="E47" s="13">
        <v>7117</v>
      </c>
      <c r="F47" s="11">
        <v>3</v>
      </c>
      <c r="G47" s="13">
        <v>159.223300970873</v>
      </c>
      <c r="H47" s="13">
        <v>4.7766990291262097</v>
      </c>
      <c r="I47" s="13">
        <f t="shared" si="0"/>
        <v>163.9999999999992</v>
      </c>
      <c r="J47" s="14">
        <v>58.252427184466001</v>
      </c>
      <c r="K47" s="11" t="s">
        <v>54</v>
      </c>
    </row>
    <row r="48" spans="1:11" x14ac:dyDescent="0.25">
      <c r="A48" s="13">
        <v>8.34990318351484E+16</v>
      </c>
      <c r="B48" s="20" t="s">
        <v>34</v>
      </c>
      <c r="C48" s="11" t="s">
        <v>9</v>
      </c>
      <c r="D48" s="13">
        <v>276403</v>
      </c>
      <c r="E48" s="13">
        <v>7117</v>
      </c>
      <c r="F48" s="11">
        <v>3</v>
      </c>
      <c r="G48" s="13">
        <v>149.514563106796</v>
      </c>
      <c r="H48" s="13">
        <v>4.7766990291262097</v>
      </c>
      <c r="I48" s="13">
        <f t="shared" si="0"/>
        <v>154.29126213592221</v>
      </c>
      <c r="J48" s="14">
        <v>48.543689320388303</v>
      </c>
      <c r="K48" s="11" t="s">
        <v>10</v>
      </c>
    </row>
    <row r="49" spans="1:11" x14ac:dyDescent="0.25">
      <c r="A49" s="13">
        <v>8.0558104655942208E+16</v>
      </c>
      <c r="B49" s="20" t="s">
        <v>51</v>
      </c>
      <c r="C49" s="11" t="s">
        <v>25</v>
      </c>
      <c r="D49" s="13">
        <v>811302</v>
      </c>
      <c r="E49" s="13">
        <v>7117</v>
      </c>
      <c r="F49" s="11">
        <v>3</v>
      </c>
      <c r="G49" s="13">
        <v>139.80582524271799</v>
      </c>
      <c r="H49" s="13">
        <v>4.1941747572815498</v>
      </c>
      <c r="I49" s="13">
        <f t="shared" si="0"/>
        <v>143.99999999999955</v>
      </c>
      <c r="J49" s="14">
        <v>61.165048543689302</v>
      </c>
      <c r="K49" s="11" t="s">
        <v>22</v>
      </c>
    </row>
    <row r="50" spans="1:11" x14ac:dyDescent="0.25">
      <c r="A50" s="13">
        <v>8.3373227876804192E+16</v>
      </c>
      <c r="B50" s="20" t="s">
        <v>34</v>
      </c>
      <c r="C50" s="11" t="s">
        <v>33</v>
      </c>
      <c r="D50" s="13">
        <v>805131</v>
      </c>
      <c r="E50" s="13">
        <v>7117</v>
      </c>
      <c r="F50" s="11">
        <v>3</v>
      </c>
      <c r="G50" s="13">
        <v>159.223300970873</v>
      </c>
      <c r="H50" s="13">
        <v>4.7766990291262097</v>
      </c>
      <c r="I50" s="13">
        <f t="shared" si="0"/>
        <v>163.9999999999992</v>
      </c>
      <c r="J50" s="14">
        <v>58.252427184466001</v>
      </c>
      <c r="K50" s="11" t="s">
        <v>22</v>
      </c>
    </row>
    <row r="51" spans="1:11" x14ac:dyDescent="0.25">
      <c r="A51" s="13">
        <v>7.4558370767430304E+16</v>
      </c>
      <c r="B51" s="20" t="s">
        <v>55</v>
      </c>
      <c r="C51" s="11" t="s">
        <v>16</v>
      </c>
      <c r="D51" s="13">
        <v>190007</v>
      </c>
      <c r="E51" s="13">
        <v>711790</v>
      </c>
      <c r="F51" s="11">
        <v>18</v>
      </c>
      <c r="G51" s="13">
        <v>99.152542372881399</v>
      </c>
      <c r="H51" s="13">
        <v>21.966101694915199</v>
      </c>
      <c r="I51" s="13">
        <f t="shared" si="0"/>
        <v>121.11864406779659</v>
      </c>
      <c r="J51" s="14">
        <v>45.762711864406803</v>
      </c>
      <c r="K51" s="11" t="s">
        <v>56</v>
      </c>
    </row>
    <row r="52" spans="1:11" x14ac:dyDescent="0.25">
      <c r="A52" s="13">
        <v>8.0505500237179696E+16</v>
      </c>
      <c r="B52" s="20" t="s">
        <v>51</v>
      </c>
      <c r="C52" s="11" t="s">
        <v>16</v>
      </c>
      <c r="D52" s="13">
        <v>811213</v>
      </c>
      <c r="E52" s="13">
        <v>7117</v>
      </c>
      <c r="F52" s="11">
        <v>3</v>
      </c>
      <c r="G52" s="13">
        <v>139.80582524271799</v>
      </c>
      <c r="H52" s="13">
        <v>4.1941747572815498</v>
      </c>
      <c r="I52" s="13">
        <f t="shared" si="0"/>
        <v>143.99999999999955</v>
      </c>
      <c r="J52" s="14">
        <v>61.165048543689302</v>
      </c>
      <c r="K52" s="11" t="s">
        <v>22</v>
      </c>
    </row>
    <row r="53" spans="1:11" x14ac:dyDescent="0.25">
      <c r="A53" s="13">
        <v>7.4895810210378208E+16</v>
      </c>
      <c r="B53" s="20" t="s">
        <v>57</v>
      </c>
      <c r="C53" s="11" t="s">
        <v>16</v>
      </c>
      <c r="D53" s="13">
        <v>229301</v>
      </c>
      <c r="E53" s="13">
        <v>7117</v>
      </c>
      <c r="F53" s="11">
        <v>3</v>
      </c>
      <c r="G53" s="13">
        <v>125.242718446601</v>
      </c>
      <c r="H53" s="13">
        <v>4.5145631067961203</v>
      </c>
      <c r="I53" s="13">
        <f t="shared" si="0"/>
        <v>129.75728155339712</v>
      </c>
      <c r="J53" s="14">
        <v>34.951456310679603</v>
      </c>
      <c r="K53" s="11" t="s">
        <v>10</v>
      </c>
    </row>
    <row r="54" spans="1:11" x14ac:dyDescent="0.25">
      <c r="A54" s="13">
        <v>8.0198616500859696E+16</v>
      </c>
      <c r="B54" s="20" t="s">
        <v>36</v>
      </c>
      <c r="C54" s="11" t="s">
        <v>16</v>
      </c>
      <c r="D54" s="13">
        <v>143521</v>
      </c>
      <c r="E54" s="13">
        <v>7117</v>
      </c>
      <c r="F54" s="11">
        <v>3</v>
      </c>
      <c r="G54" s="13">
        <v>158.252427184466</v>
      </c>
      <c r="H54" s="13">
        <v>5.0970873786407802</v>
      </c>
      <c r="I54" s="13">
        <f t="shared" si="0"/>
        <v>163.34951456310679</v>
      </c>
      <c r="J54" s="14">
        <v>51.456310679611697</v>
      </c>
      <c r="K54" s="11" t="s">
        <v>17</v>
      </c>
    </row>
    <row r="55" spans="1:11" x14ac:dyDescent="0.25">
      <c r="A55" s="13">
        <v>7.9700916300670592E+16</v>
      </c>
      <c r="B55" s="20" t="s">
        <v>40</v>
      </c>
      <c r="C55" s="11" t="s">
        <v>25</v>
      </c>
      <c r="D55" s="13">
        <v>572137</v>
      </c>
      <c r="E55" s="13">
        <v>7117</v>
      </c>
      <c r="F55" s="11">
        <v>3</v>
      </c>
      <c r="G55" s="13">
        <v>164.07766990291199</v>
      </c>
      <c r="H55" s="13">
        <v>5.0970873786407802</v>
      </c>
      <c r="I55" s="13">
        <f t="shared" si="0"/>
        <v>169.17475728155279</v>
      </c>
      <c r="J55" s="14">
        <v>63.106796116504903</v>
      </c>
      <c r="K55" s="11" t="s">
        <v>19</v>
      </c>
    </row>
    <row r="56" spans="1:11" x14ac:dyDescent="0.25">
      <c r="A56" s="13">
        <v>8.20419730872784E+16</v>
      </c>
      <c r="B56" s="20" t="s">
        <v>48</v>
      </c>
      <c r="C56" s="11" t="s">
        <v>25</v>
      </c>
      <c r="D56" s="13">
        <v>175027</v>
      </c>
      <c r="E56" s="13">
        <v>7117</v>
      </c>
      <c r="F56" s="11">
        <v>3</v>
      </c>
      <c r="G56" s="13">
        <v>165.04854368932001</v>
      </c>
      <c r="H56" s="13">
        <v>5.15533980582524</v>
      </c>
      <c r="I56" s="13">
        <f t="shared" si="0"/>
        <v>170.20388349514525</v>
      </c>
      <c r="J56" s="14">
        <v>52.427184466019398</v>
      </c>
      <c r="K56" s="11" t="s">
        <v>44</v>
      </c>
    </row>
    <row r="57" spans="1:11" x14ac:dyDescent="0.25">
      <c r="A57" s="13">
        <v>8.3201548676115296E+16</v>
      </c>
      <c r="B57" s="20" t="s">
        <v>32</v>
      </c>
      <c r="C57" s="11" t="s">
        <v>9</v>
      </c>
      <c r="D57" s="13">
        <v>825325</v>
      </c>
      <c r="E57" s="13">
        <v>7117</v>
      </c>
      <c r="F57" s="11">
        <v>3</v>
      </c>
      <c r="G57" s="13">
        <v>136.893203883495</v>
      </c>
      <c r="H57" s="13">
        <v>4.1067961165048503</v>
      </c>
      <c r="I57" s="13">
        <f t="shared" si="0"/>
        <v>140.99999999999986</v>
      </c>
      <c r="J57" s="14">
        <v>58.252427184466001</v>
      </c>
      <c r="K57" s="11" t="s">
        <v>37</v>
      </c>
    </row>
    <row r="58" spans="1:11" x14ac:dyDescent="0.25">
      <c r="A58" s="13">
        <v>8.0985738364726096E+16</v>
      </c>
      <c r="B58" s="20" t="s">
        <v>31</v>
      </c>
      <c r="C58" s="11" t="s">
        <v>25</v>
      </c>
      <c r="D58" s="13">
        <v>301701</v>
      </c>
      <c r="E58" s="13">
        <v>7117</v>
      </c>
      <c r="F58" s="11">
        <v>3</v>
      </c>
      <c r="G58" s="13">
        <v>152.42718446601901</v>
      </c>
      <c r="H58" s="13">
        <v>4.7766990291262097</v>
      </c>
      <c r="I58" s="13">
        <f t="shared" si="0"/>
        <v>157.20388349514522</v>
      </c>
      <c r="J58" s="14">
        <v>58.252427184466001</v>
      </c>
      <c r="K58" s="11" t="s">
        <v>46</v>
      </c>
    </row>
    <row r="59" spans="1:11" x14ac:dyDescent="0.25">
      <c r="A59" s="13">
        <v>8.1671687061566208E+16</v>
      </c>
      <c r="B59" s="20" t="s">
        <v>58</v>
      </c>
      <c r="C59" s="11" t="s">
        <v>9</v>
      </c>
      <c r="D59" s="13">
        <v>853201</v>
      </c>
      <c r="E59" s="13">
        <v>7117</v>
      </c>
      <c r="F59" s="11">
        <v>3</v>
      </c>
      <c r="G59" s="13">
        <v>162.135922330097</v>
      </c>
      <c r="H59" s="13">
        <v>4.86407766990291</v>
      </c>
      <c r="I59" s="13">
        <f t="shared" si="0"/>
        <v>166.99999999999991</v>
      </c>
      <c r="J59" s="14">
        <v>59.223300970873801</v>
      </c>
      <c r="K59" s="11" t="s">
        <v>22</v>
      </c>
    </row>
    <row r="60" spans="1:11" x14ac:dyDescent="0.25">
      <c r="A60" s="13">
        <v>8.0630115704435504E+16</v>
      </c>
      <c r="B60" s="20" t="s">
        <v>51</v>
      </c>
      <c r="C60" s="11" t="s">
        <v>25</v>
      </c>
      <c r="D60" s="13">
        <v>843129</v>
      </c>
      <c r="E60" s="13">
        <v>7117</v>
      </c>
      <c r="F60" s="11">
        <v>3</v>
      </c>
      <c r="G60" s="13">
        <v>169.90291262135901</v>
      </c>
      <c r="H60" s="13">
        <v>5.0970873786407802</v>
      </c>
      <c r="I60" s="13">
        <f t="shared" si="0"/>
        <v>174.9999999999998</v>
      </c>
      <c r="J60" s="14">
        <v>63.106796116504903</v>
      </c>
      <c r="K60" s="11" t="s">
        <v>22</v>
      </c>
    </row>
    <row r="61" spans="1:11" x14ac:dyDescent="0.25">
      <c r="A61" s="13">
        <v>8.3364015876597408E+16</v>
      </c>
      <c r="B61" s="20" t="s">
        <v>34</v>
      </c>
      <c r="C61" s="11" t="s">
        <v>9</v>
      </c>
      <c r="D61" s="13">
        <v>534450</v>
      </c>
      <c r="E61" s="13">
        <v>7117</v>
      </c>
      <c r="F61" s="11">
        <v>3</v>
      </c>
      <c r="G61" s="13">
        <v>156.31067961164999</v>
      </c>
      <c r="H61" s="13">
        <v>4.6893203883495103</v>
      </c>
      <c r="I61" s="13">
        <f t="shared" si="0"/>
        <v>160.99999999999949</v>
      </c>
      <c r="J61" s="14">
        <v>59.223300970873801</v>
      </c>
      <c r="K61" s="11" t="s">
        <v>39</v>
      </c>
    </row>
    <row r="62" spans="1:11" x14ac:dyDescent="0.25">
      <c r="A62" s="13">
        <v>8.3181468154786592E+16</v>
      </c>
      <c r="B62" s="20" t="s">
        <v>32</v>
      </c>
      <c r="C62" s="11" t="s">
        <v>25</v>
      </c>
      <c r="D62" s="13">
        <v>721101</v>
      </c>
      <c r="E62" s="13">
        <v>7117</v>
      </c>
      <c r="F62" s="11">
        <v>3</v>
      </c>
      <c r="G62" s="13">
        <v>159.223300970873</v>
      </c>
      <c r="H62" s="13">
        <v>4.7766990291262097</v>
      </c>
      <c r="I62" s="13">
        <f t="shared" si="0"/>
        <v>163.9999999999992</v>
      </c>
      <c r="J62" s="14">
        <v>58.252427184466001</v>
      </c>
      <c r="K62" s="11" t="s">
        <v>14</v>
      </c>
    </row>
    <row r="63" spans="1:11" x14ac:dyDescent="0.25">
      <c r="A63" s="13">
        <v>8.3143725894792E+16</v>
      </c>
      <c r="B63" s="20" t="s">
        <v>32</v>
      </c>
      <c r="C63" s="11" t="s">
        <v>9</v>
      </c>
      <c r="D63" s="13">
        <v>813205</v>
      </c>
      <c r="E63" s="13">
        <v>7117</v>
      </c>
      <c r="F63" s="11">
        <v>3</v>
      </c>
      <c r="G63" s="13">
        <v>136.893203883495</v>
      </c>
      <c r="H63" s="13">
        <v>4.1067961165048503</v>
      </c>
      <c r="I63" s="13">
        <f t="shared" si="0"/>
        <v>140.99999999999986</v>
      </c>
      <c r="J63" s="14">
        <v>58.252427184466001</v>
      </c>
      <c r="K63" s="11" t="s">
        <v>22</v>
      </c>
    </row>
    <row r="64" spans="1:11" x14ac:dyDescent="0.25">
      <c r="A64" s="13">
        <v>8.3150178651722304E+16</v>
      </c>
      <c r="B64" s="20" t="s">
        <v>32</v>
      </c>
      <c r="C64" s="11" t="s">
        <v>9</v>
      </c>
      <c r="D64" s="13">
        <v>228159</v>
      </c>
      <c r="E64" s="13">
        <v>7117</v>
      </c>
      <c r="F64" s="11">
        <v>3</v>
      </c>
      <c r="G64" s="13">
        <v>149.514563106796</v>
      </c>
      <c r="H64" s="13">
        <v>4.7766990291262097</v>
      </c>
      <c r="I64" s="13">
        <f t="shared" si="0"/>
        <v>154.29126213592221</v>
      </c>
      <c r="J64" s="14">
        <v>48.543689320388303</v>
      </c>
      <c r="K64" s="11" t="s">
        <v>10</v>
      </c>
    </row>
    <row r="65" spans="1:11" x14ac:dyDescent="0.25">
      <c r="A65" s="13">
        <v>8.3181789587171008E+16</v>
      </c>
      <c r="B65" s="20" t="s">
        <v>32</v>
      </c>
      <c r="C65" s="11" t="s">
        <v>9</v>
      </c>
      <c r="D65" s="13">
        <v>486340</v>
      </c>
      <c r="E65" s="13">
        <v>7117</v>
      </c>
      <c r="F65" s="11">
        <v>3</v>
      </c>
      <c r="G65" s="13">
        <v>159.223300970873</v>
      </c>
      <c r="H65" s="13">
        <v>4.7766990291262097</v>
      </c>
      <c r="I65" s="13">
        <f t="shared" si="0"/>
        <v>163.9999999999992</v>
      </c>
      <c r="J65" s="14">
        <v>58.252427184466001</v>
      </c>
      <c r="K65" s="11" t="s">
        <v>26</v>
      </c>
    </row>
    <row r="66" spans="1:11" x14ac:dyDescent="0.25">
      <c r="A66" s="13">
        <v>7.4518371911152096E+16</v>
      </c>
      <c r="B66" s="20" t="s">
        <v>55</v>
      </c>
      <c r="C66" s="11" t="s">
        <v>16</v>
      </c>
      <c r="D66" s="13">
        <v>201304</v>
      </c>
      <c r="E66" s="13">
        <v>7117</v>
      </c>
      <c r="F66" s="11">
        <v>3</v>
      </c>
      <c r="G66" s="13">
        <v>106.796116504854</v>
      </c>
      <c r="H66" s="13">
        <v>3.9029126213592198</v>
      </c>
      <c r="I66" s="13">
        <f t="shared" si="0"/>
        <v>110.69902912621322</v>
      </c>
      <c r="J66" s="14">
        <v>35.922330097087404</v>
      </c>
      <c r="K66" s="11" t="s">
        <v>10</v>
      </c>
    </row>
    <row r="67" spans="1:11" x14ac:dyDescent="0.25">
      <c r="A67" s="13">
        <v>8.0985967641105696E+16</v>
      </c>
      <c r="B67" s="20" t="s">
        <v>31</v>
      </c>
      <c r="C67" s="11" t="s">
        <v>25</v>
      </c>
      <c r="D67" s="13">
        <v>301701</v>
      </c>
      <c r="E67" s="13">
        <v>7117</v>
      </c>
      <c r="F67" s="11">
        <v>3</v>
      </c>
      <c r="G67" s="13">
        <v>152.42718446601901</v>
      </c>
      <c r="H67" s="13">
        <v>4.7766990291262097</v>
      </c>
      <c r="I67" s="13">
        <f t="shared" ref="I67:I130" si="1">G67+H67</f>
        <v>157.20388349514522</v>
      </c>
      <c r="J67" s="14">
        <v>58.252427184466001</v>
      </c>
      <c r="K67" s="11" t="s">
        <v>46</v>
      </c>
    </row>
    <row r="68" spans="1:11" x14ac:dyDescent="0.25">
      <c r="A68" s="13">
        <v>8.13006858964284E+16</v>
      </c>
      <c r="B68" s="20" t="s">
        <v>59</v>
      </c>
      <c r="C68" s="11" t="s">
        <v>9</v>
      </c>
      <c r="D68" s="13">
        <v>344001</v>
      </c>
      <c r="E68" s="13">
        <v>7117</v>
      </c>
      <c r="F68" s="11">
        <v>3</v>
      </c>
      <c r="G68" s="13">
        <v>152.42718446601901</v>
      </c>
      <c r="H68" s="13">
        <v>4.7766990291262097</v>
      </c>
      <c r="I68" s="13">
        <f t="shared" si="1"/>
        <v>157.20388349514522</v>
      </c>
      <c r="J68" s="14">
        <v>52.427184466019398</v>
      </c>
      <c r="K68" s="11" t="s">
        <v>46</v>
      </c>
    </row>
    <row r="69" spans="1:11" x14ac:dyDescent="0.25">
      <c r="A69" s="13">
        <v>8.3520462140728992E+16</v>
      </c>
      <c r="B69" s="20" t="s">
        <v>34</v>
      </c>
      <c r="C69" s="11" t="s">
        <v>25</v>
      </c>
      <c r="D69" s="13">
        <v>110053</v>
      </c>
      <c r="E69" s="13">
        <v>7117</v>
      </c>
      <c r="F69" s="11">
        <v>3</v>
      </c>
      <c r="G69" s="13">
        <v>149.514563106796</v>
      </c>
      <c r="H69" s="13">
        <v>4.7766990291262097</v>
      </c>
      <c r="I69" s="13">
        <f t="shared" si="1"/>
        <v>154.29126213592221</v>
      </c>
      <c r="J69" s="14">
        <v>58.252427184466001</v>
      </c>
      <c r="K69" s="11" t="s">
        <v>28</v>
      </c>
    </row>
    <row r="70" spans="1:11" x14ac:dyDescent="0.25">
      <c r="A70" s="13">
        <v>8.3422830386996896E+16</v>
      </c>
      <c r="B70" s="20" t="s">
        <v>34</v>
      </c>
      <c r="C70" s="11" t="s">
        <v>33</v>
      </c>
      <c r="D70" s="13">
        <v>522001</v>
      </c>
      <c r="E70" s="13">
        <v>7117</v>
      </c>
      <c r="F70" s="11">
        <v>3</v>
      </c>
      <c r="G70" s="13">
        <v>159.223300970873</v>
      </c>
      <c r="H70" s="13">
        <v>4.7766990291262097</v>
      </c>
      <c r="I70" s="13">
        <f t="shared" si="1"/>
        <v>163.9999999999992</v>
      </c>
      <c r="J70" s="14">
        <v>58.252427184466001</v>
      </c>
      <c r="K70" s="11" t="s">
        <v>39</v>
      </c>
    </row>
    <row r="71" spans="1:11" x14ac:dyDescent="0.25">
      <c r="A71" s="13">
        <v>8.3483804255119008E+16</v>
      </c>
      <c r="B71" s="20" t="s">
        <v>34</v>
      </c>
      <c r="C71" s="11" t="s">
        <v>33</v>
      </c>
      <c r="D71" s="13">
        <v>600012</v>
      </c>
      <c r="E71" s="13">
        <v>7117</v>
      </c>
      <c r="F71" s="11">
        <v>3</v>
      </c>
      <c r="G71" s="13">
        <v>159.223300970873</v>
      </c>
      <c r="H71" s="13">
        <v>4.7766990291262097</v>
      </c>
      <c r="I71" s="13">
        <f t="shared" si="1"/>
        <v>163.9999999999992</v>
      </c>
      <c r="J71" s="14">
        <v>58.252427184466001</v>
      </c>
      <c r="K71" s="11" t="s">
        <v>27</v>
      </c>
    </row>
    <row r="72" spans="1:11" x14ac:dyDescent="0.25">
      <c r="A72" s="13">
        <v>7.5878708346383008E+16</v>
      </c>
      <c r="B72" s="20" t="s">
        <v>60</v>
      </c>
      <c r="C72" s="11" t="s">
        <v>52</v>
      </c>
      <c r="D72" s="13">
        <v>600057</v>
      </c>
      <c r="E72" s="13">
        <v>7117</v>
      </c>
      <c r="F72" s="11">
        <v>3</v>
      </c>
      <c r="G72" s="13">
        <v>132.03883495145601</v>
      </c>
      <c r="H72" s="13">
        <v>3.9611650485436898</v>
      </c>
      <c r="I72" s="13">
        <f t="shared" si="1"/>
        <v>135.99999999999969</v>
      </c>
      <c r="J72" s="14">
        <v>63.106796116504903</v>
      </c>
      <c r="K72" s="11" t="s">
        <v>27</v>
      </c>
    </row>
    <row r="73" spans="1:11" x14ac:dyDescent="0.25">
      <c r="A73" s="13">
        <v>8.3552913922331904E+16</v>
      </c>
      <c r="B73" s="20" t="s">
        <v>34</v>
      </c>
      <c r="C73" s="11" t="s">
        <v>33</v>
      </c>
      <c r="D73" s="13">
        <v>277501</v>
      </c>
      <c r="E73" s="13">
        <v>7117</v>
      </c>
      <c r="F73" s="11">
        <v>3</v>
      </c>
      <c r="G73" s="13">
        <v>127.184466019417</v>
      </c>
      <c r="H73" s="13">
        <v>4.1067961165048503</v>
      </c>
      <c r="I73" s="13">
        <f t="shared" si="1"/>
        <v>131.29126213592184</v>
      </c>
      <c r="J73" s="14">
        <v>48.543689320388303</v>
      </c>
      <c r="K73" s="11" t="s">
        <v>10</v>
      </c>
    </row>
    <row r="74" spans="1:11" x14ac:dyDescent="0.25">
      <c r="A74" s="13">
        <v>8.09856034618048E+16</v>
      </c>
      <c r="B74" s="20" t="s">
        <v>31</v>
      </c>
      <c r="C74" s="11" t="s">
        <v>25</v>
      </c>
      <c r="D74" s="13">
        <v>301701</v>
      </c>
      <c r="E74" s="13">
        <v>7117</v>
      </c>
      <c r="F74" s="11">
        <v>3</v>
      </c>
      <c r="G74" s="13">
        <v>152.42718446601901</v>
      </c>
      <c r="H74" s="13">
        <v>4.7766990291262097</v>
      </c>
      <c r="I74" s="13">
        <f t="shared" si="1"/>
        <v>157.20388349514522</v>
      </c>
      <c r="J74" s="14">
        <v>58.252427184466001</v>
      </c>
      <c r="K74" s="11" t="s">
        <v>46</v>
      </c>
    </row>
    <row r="75" spans="1:11" x14ac:dyDescent="0.25">
      <c r="A75" s="13">
        <v>7.7714882335222592E+16</v>
      </c>
      <c r="B75" s="20" t="s">
        <v>43</v>
      </c>
      <c r="C75" s="11" t="s">
        <v>25</v>
      </c>
      <c r="D75" s="13">
        <v>491995</v>
      </c>
      <c r="E75" s="13">
        <v>7117</v>
      </c>
      <c r="F75" s="11">
        <v>18</v>
      </c>
      <c r="G75" s="13">
        <v>96.610169491525397</v>
      </c>
      <c r="H75" s="13">
        <v>17.3898305084745</v>
      </c>
      <c r="I75" s="13">
        <f t="shared" si="1"/>
        <v>113.9999999999999</v>
      </c>
      <c r="J75" s="14">
        <v>55.932203389830498</v>
      </c>
      <c r="K75" s="11" t="s">
        <v>23</v>
      </c>
    </row>
    <row r="76" spans="1:11" x14ac:dyDescent="0.25">
      <c r="A76" s="13">
        <v>7.3343276360393408E+16</v>
      </c>
      <c r="B76" s="20" t="s">
        <v>61</v>
      </c>
      <c r="C76" s="11" t="s">
        <v>16</v>
      </c>
      <c r="D76" s="13">
        <v>735214</v>
      </c>
      <c r="E76" s="13">
        <v>711790</v>
      </c>
      <c r="F76" s="11">
        <v>18</v>
      </c>
      <c r="G76" s="13">
        <v>97.457627118644098</v>
      </c>
      <c r="H76" s="13">
        <v>19.677966101694899</v>
      </c>
      <c r="I76" s="13">
        <f t="shared" si="1"/>
        <v>117.13559322033899</v>
      </c>
      <c r="J76" s="14">
        <v>44.067796610169502</v>
      </c>
      <c r="K76" s="11" t="s">
        <v>14</v>
      </c>
    </row>
    <row r="77" spans="1:11" x14ac:dyDescent="0.25">
      <c r="A77" s="13">
        <v>8.1008921508046496E+16</v>
      </c>
      <c r="B77" s="20" t="s">
        <v>31</v>
      </c>
      <c r="C77" s="11" t="s">
        <v>9</v>
      </c>
      <c r="D77" s="13">
        <v>534324</v>
      </c>
      <c r="E77" s="13">
        <v>7117</v>
      </c>
      <c r="F77" s="11">
        <v>3</v>
      </c>
      <c r="G77" s="13">
        <v>159.223300970873</v>
      </c>
      <c r="H77" s="13">
        <v>4.7766990291262097</v>
      </c>
      <c r="I77" s="13">
        <f t="shared" si="1"/>
        <v>163.9999999999992</v>
      </c>
      <c r="J77" s="14">
        <v>58.252427184466001</v>
      </c>
      <c r="K77" s="11" t="s">
        <v>39</v>
      </c>
    </row>
    <row r="78" spans="1:11" x14ac:dyDescent="0.25">
      <c r="A78" s="13">
        <v>7.9450479394542208E+16</v>
      </c>
      <c r="B78" s="20" t="s">
        <v>62</v>
      </c>
      <c r="C78" s="11" t="s">
        <v>9</v>
      </c>
      <c r="D78" s="13">
        <v>813203</v>
      </c>
      <c r="E78" s="13">
        <v>7117</v>
      </c>
      <c r="F78" s="11">
        <v>3</v>
      </c>
      <c r="G78" s="13">
        <v>162.135922330097</v>
      </c>
      <c r="H78" s="13">
        <v>4.86407766990291</v>
      </c>
      <c r="I78" s="13">
        <f t="shared" si="1"/>
        <v>166.99999999999991</v>
      </c>
      <c r="J78" s="14">
        <v>61.165048543689302</v>
      </c>
      <c r="K78" s="11" t="s">
        <v>22</v>
      </c>
    </row>
    <row r="79" spans="1:11" x14ac:dyDescent="0.25">
      <c r="A79" s="13">
        <v>8.0205485680874096E+16</v>
      </c>
      <c r="B79" s="20" t="s">
        <v>36</v>
      </c>
      <c r="C79" s="11" t="s">
        <v>9</v>
      </c>
      <c r="D79" s="13">
        <v>121003</v>
      </c>
      <c r="E79" s="13">
        <v>7117</v>
      </c>
      <c r="F79" s="11">
        <v>3</v>
      </c>
      <c r="G79" s="13">
        <v>152.42718446601901</v>
      </c>
      <c r="H79" s="13">
        <v>4.86407766990291</v>
      </c>
      <c r="I79" s="13">
        <f t="shared" si="1"/>
        <v>157.29126213592193</v>
      </c>
      <c r="J79" s="14">
        <v>51.456310679611697</v>
      </c>
      <c r="K79" s="11" t="s">
        <v>63</v>
      </c>
    </row>
    <row r="80" spans="1:11" x14ac:dyDescent="0.25">
      <c r="A80" s="13">
        <v>7.4129931055067296E+16</v>
      </c>
      <c r="B80" s="20" t="s">
        <v>64</v>
      </c>
      <c r="C80" s="11" t="s">
        <v>21</v>
      </c>
      <c r="D80" s="13">
        <v>422001</v>
      </c>
      <c r="E80" s="13">
        <v>711790</v>
      </c>
      <c r="F80" s="11">
        <v>18</v>
      </c>
      <c r="G80" s="13">
        <v>120.33898305084701</v>
      </c>
      <c r="H80" s="13">
        <v>21.661016949152501</v>
      </c>
      <c r="I80" s="13">
        <f t="shared" si="1"/>
        <v>141.99999999999952</v>
      </c>
      <c r="J80" s="14">
        <v>55.932203389830498</v>
      </c>
      <c r="K80" s="11" t="s">
        <v>41</v>
      </c>
    </row>
    <row r="81" spans="1:11" x14ac:dyDescent="0.25">
      <c r="A81" s="13">
        <v>8.1986012343104304E+16</v>
      </c>
      <c r="B81" s="20" t="s">
        <v>48</v>
      </c>
      <c r="C81" s="11" t="s">
        <v>25</v>
      </c>
      <c r="D81" s="13">
        <v>221010</v>
      </c>
      <c r="E81" s="13">
        <v>7117</v>
      </c>
      <c r="F81" s="11">
        <v>3</v>
      </c>
      <c r="G81" s="13">
        <v>135.92233009708701</v>
      </c>
      <c r="H81" s="13">
        <v>4.8058252427184502</v>
      </c>
      <c r="I81" s="13">
        <f t="shared" si="1"/>
        <v>140.72815533980545</v>
      </c>
      <c r="J81" s="14">
        <v>34.951456310679603</v>
      </c>
      <c r="K81" s="11" t="s">
        <v>10</v>
      </c>
    </row>
    <row r="82" spans="1:11" x14ac:dyDescent="0.25">
      <c r="A82" s="13">
        <v>8.0918988634187392E+16</v>
      </c>
      <c r="B82" s="20" t="s">
        <v>31</v>
      </c>
      <c r="C82" s="11" t="s">
        <v>25</v>
      </c>
      <c r="D82" s="13">
        <v>841287</v>
      </c>
      <c r="E82" s="13">
        <v>7117</v>
      </c>
      <c r="F82" s="11">
        <v>3</v>
      </c>
      <c r="G82" s="13">
        <v>158.252427184466</v>
      </c>
      <c r="H82" s="13">
        <v>4.7475728155339798</v>
      </c>
      <c r="I82" s="13">
        <f t="shared" si="1"/>
        <v>162.99999999999997</v>
      </c>
      <c r="J82" s="14">
        <v>58.252427184466001</v>
      </c>
      <c r="K82" s="11" t="s">
        <v>22</v>
      </c>
    </row>
    <row r="83" spans="1:11" x14ac:dyDescent="0.25">
      <c r="A83" s="13">
        <v>8.3267711284510896E+16</v>
      </c>
      <c r="B83" s="20" t="s">
        <v>34</v>
      </c>
      <c r="C83" s="11" t="s">
        <v>25</v>
      </c>
      <c r="D83" s="13">
        <v>110043</v>
      </c>
      <c r="E83" s="13">
        <v>7117</v>
      </c>
      <c r="F83" s="11">
        <v>3</v>
      </c>
      <c r="G83" s="13">
        <v>127.184466019417</v>
      </c>
      <c r="H83" s="13">
        <v>4.1067961165048503</v>
      </c>
      <c r="I83" s="13">
        <f t="shared" si="1"/>
        <v>131.29126213592184</v>
      </c>
      <c r="J83" s="14">
        <v>58.252427184466001</v>
      </c>
      <c r="K83" s="11" t="s">
        <v>28</v>
      </c>
    </row>
    <row r="84" spans="1:11" x14ac:dyDescent="0.25">
      <c r="A84" s="13">
        <v>8.1015426120855808E+16</v>
      </c>
      <c r="B84" s="20" t="s">
        <v>31</v>
      </c>
      <c r="C84" s="11" t="s">
        <v>16</v>
      </c>
      <c r="D84" s="13">
        <v>500007</v>
      </c>
      <c r="E84" s="13">
        <v>7117</v>
      </c>
      <c r="F84" s="11">
        <v>3</v>
      </c>
      <c r="G84" s="13">
        <v>124.27184466019401</v>
      </c>
      <c r="H84" s="13">
        <v>4.2233009708737903</v>
      </c>
      <c r="I84" s="13">
        <f t="shared" si="1"/>
        <v>128.4951456310678</v>
      </c>
      <c r="J84" s="14">
        <v>42.7184466019418</v>
      </c>
      <c r="K84" s="11" t="s">
        <v>53</v>
      </c>
    </row>
    <row r="85" spans="1:11" x14ac:dyDescent="0.25">
      <c r="A85" s="13">
        <v>8.3250618412176704E+16</v>
      </c>
      <c r="B85" s="20" t="s">
        <v>32</v>
      </c>
      <c r="C85" s="11" t="s">
        <v>9</v>
      </c>
      <c r="D85" s="13">
        <v>277001</v>
      </c>
      <c r="E85" s="13">
        <v>7117</v>
      </c>
      <c r="F85" s="11">
        <v>3</v>
      </c>
      <c r="G85" s="13">
        <v>149.514563106796</v>
      </c>
      <c r="H85" s="13">
        <v>4.7766990291262097</v>
      </c>
      <c r="I85" s="13">
        <f t="shared" si="1"/>
        <v>154.29126213592221</v>
      </c>
      <c r="J85" s="14">
        <v>48.543689320388303</v>
      </c>
      <c r="K85" s="11" t="s">
        <v>10</v>
      </c>
    </row>
    <row r="86" spans="1:11" x14ac:dyDescent="0.25">
      <c r="A86" s="13">
        <v>8.3267068167334704E+16</v>
      </c>
      <c r="B86" s="20" t="s">
        <v>34</v>
      </c>
      <c r="C86" s="11" t="s">
        <v>33</v>
      </c>
      <c r="D86" s="13">
        <v>110043</v>
      </c>
      <c r="E86" s="13">
        <v>7117</v>
      </c>
      <c r="F86" s="11">
        <v>3</v>
      </c>
      <c r="G86" s="13">
        <v>254.368932038834</v>
      </c>
      <c r="H86" s="13">
        <v>8.2135922330097095</v>
      </c>
      <c r="I86" s="13">
        <f t="shared" si="1"/>
        <v>262.58252427184374</v>
      </c>
      <c r="J86" s="14">
        <v>97.087378640776706</v>
      </c>
      <c r="K86" s="11" t="s">
        <v>28</v>
      </c>
    </row>
    <row r="87" spans="1:11" x14ac:dyDescent="0.25">
      <c r="A87" s="13">
        <v>8.1013765383531296E+16</v>
      </c>
      <c r="B87" s="20" t="s">
        <v>31</v>
      </c>
      <c r="C87" s="11" t="s">
        <v>16</v>
      </c>
      <c r="D87" s="13">
        <v>497333</v>
      </c>
      <c r="E87" s="13">
        <v>7117</v>
      </c>
      <c r="F87" s="11">
        <v>3</v>
      </c>
      <c r="G87" s="13">
        <v>128.15533980582501</v>
      </c>
      <c r="H87" s="13">
        <v>4.13592233009709</v>
      </c>
      <c r="I87" s="13">
        <f t="shared" si="1"/>
        <v>132.2912621359221</v>
      </c>
      <c r="J87" s="14">
        <v>48.543689320388303</v>
      </c>
      <c r="K87" s="11" t="s">
        <v>23</v>
      </c>
    </row>
    <row r="88" spans="1:11" x14ac:dyDescent="0.25">
      <c r="A88" s="13">
        <v>7.9955210979126096E+16</v>
      </c>
      <c r="B88" s="20" t="s">
        <v>40</v>
      </c>
      <c r="C88" s="11" t="s">
        <v>21</v>
      </c>
      <c r="D88" s="13">
        <v>455111</v>
      </c>
      <c r="E88" s="13">
        <v>7117</v>
      </c>
      <c r="F88" s="11">
        <v>3</v>
      </c>
      <c r="G88" s="13">
        <v>162.135922330097</v>
      </c>
      <c r="H88" s="13">
        <v>4.86407766990291</v>
      </c>
      <c r="I88" s="13">
        <f t="shared" si="1"/>
        <v>166.99999999999991</v>
      </c>
      <c r="J88" s="14">
        <v>61.165048543689302</v>
      </c>
      <c r="K88" s="11" t="s">
        <v>26</v>
      </c>
    </row>
    <row r="89" spans="1:11" x14ac:dyDescent="0.25">
      <c r="A89" s="13">
        <v>7.4734314328826496E+16</v>
      </c>
      <c r="B89" s="20" t="s">
        <v>57</v>
      </c>
      <c r="C89" s="11" t="s">
        <v>16</v>
      </c>
      <c r="D89" s="13">
        <v>201013</v>
      </c>
      <c r="E89" s="13">
        <v>7117</v>
      </c>
      <c r="F89" s="11">
        <v>18</v>
      </c>
      <c r="G89" s="13">
        <v>110.169491525423</v>
      </c>
      <c r="H89" s="13">
        <v>21.355932203389798</v>
      </c>
      <c r="I89" s="13">
        <f t="shared" si="1"/>
        <v>131.5254237288128</v>
      </c>
      <c r="J89" s="14">
        <v>43.220338983050901</v>
      </c>
      <c r="K89" s="11" t="s">
        <v>10</v>
      </c>
    </row>
    <row r="90" spans="1:11" x14ac:dyDescent="0.25">
      <c r="A90" s="13">
        <v>8.0865079555253904E+16</v>
      </c>
      <c r="B90" s="20" t="s">
        <v>31</v>
      </c>
      <c r="C90" s="11" t="s">
        <v>25</v>
      </c>
      <c r="D90" s="13">
        <v>144211</v>
      </c>
      <c r="E90" s="13">
        <v>7117</v>
      </c>
      <c r="F90" s="11">
        <v>3</v>
      </c>
      <c r="G90" s="13">
        <v>151.45631067961099</v>
      </c>
      <c r="H90" s="13">
        <v>4.7475728155339798</v>
      </c>
      <c r="I90" s="13">
        <f t="shared" si="1"/>
        <v>156.20388349514496</v>
      </c>
      <c r="J90" s="14">
        <v>58.252427184466001</v>
      </c>
      <c r="K90" s="11" t="s">
        <v>17</v>
      </c>
    </row>
    <row r="91" spans="1:11" x14ac:dyDescent="0.25">
      <c r="A91" s="13">
        <v>8.3064502379279104E+16</v>
      </c>
      <c r="B91" s="20" t="s">
        <v>32</v>
      </c>
      <c r="C91" s="11" t="s">
        <v>9</v>
      </c>
      <c r="D91" s="13">
        <v>742213</v>
      </c>
      <c r="E91" s="13">
        <v>7117</v>
      </c>
      <c r="F91" s="11">
        <v>3</v>
      </c>
      <c r="G91" s="13">
        <v>159.223300970873</v>
      </c>
      <c r="H91" s="13">
        <v>4.7766990291262097</v>
      </c>
      <c r="I91" s="13">
        <f t="shared" si="1"/>
        <v>163.9999999999992</v>
      </c>
      <c r="J91" s="14">
        <v>58.252427184466001</v>
      </c>
      <c r="K91" s="11" t="s">
        <v>14</v>
      </c>
    </row>
    <row r="92" spans="1:11" x14ac:dyDescent="0.25">
      <c r="A92" s="13">
        <v>8.1005735298904304E+16</v>
      </c>
      <c r="B92" s="20" t="s">
        <v>31</v>
      </c>
      <c r="C92" s="11" t="s">
        <v>25</v>
      </c>
      <c r="D92" s="13">
        <v>816115</v>
      </c>
      <c r="E92" s="13">
        <v>7117</v>
      </c>
      <c r="F92" s="11">
        <v>3</v>
      </c>
      <c r="G92" s="13">
        <v>119.417475728155</v>
      </c>
      <c r="H92" s="13">
        <v>4.1067961165048503</v>
      </c>
      <c r="I92" s="13">
        <f t="shared" si="1"/>
        <v>123.52427184465985</v>
      </c>
      <c r="J92" s="14">
        <v>40.776699029126199</v>
      </c>
      <c r="K92" s="11" t="s">
        <v>37</v>
      </c>
    </row>
    <row r="93" spans="1:11" x14ac:dyDescent="0.25">
      <c r="A93" s="13">
        <v>7.8403219500028608E+16</v>
      </c>
      <c r="B93" s="20" t="s">
        <v>65</v>
      </c>
      <c r="C93" s="11" t="s">
        <v>21</v>
      </c>
      <c r="D93" s="13">
        <v>302025</v>
      </c>
      <c r="E93" s="13">
        <v>711790</v>
      </c>
      <c r="F93" s="11">
        <v>18</v>
      </c>
      <c r="G93" s="13">
        <v>95.762711864406796</v>
      </c>
      <c r="H93" s="13">
        <v>20.898305084745701</v>
      </c>
      <c r="I93" s="13">
        <f t="shared" si="1"/>
        <v>116.6610169491525</v>
      </c>
      <c r="J93" s="14">
        <v>31.355932203389798</v>
      </c>
      <c r="K93" s="11" t="s">
        <v>46</v>
      </c>
    </row>
    <row r="94" spans="1:11" x14ac:dyDescent="0.25">
      <c r="A94" s="13">
        <v>7.5642649528265408E+16</v>
      </c>
      <c r="B94" s="20" t="s">
        <v>66</v>
      </c>
      <c r="C94" s="11" t="s">
        <v>52</v>
      </c>
      <c r="D94" s="13">
        <v>462003</v>
      </c>
      <c r="E94" s="13">
        <v>7117</v>
      </c>
      <c r="F94" s="11">
        <v>3</v>
      </c>
      <c r="G94" s="13">
        <v>200</v>
      </c>
      <c r="H94" s="13">
        <v>6.55339805825243</v>
      </c>
      <c r="I94" s="13">
        <f t="shared" si="1"/>
        <v>206.55339805825244</v>
      </c>
      <c r="J94" s="14">
        <v>41.747572815533999</v>
      </c>
      <c r="K94" s="11" t="s">
        <v>26</v>
      </c>
    </row>
    <row r="95" spans="1:11" x14ac:dyDescent="0.25">
      <c r="A95" s="13">
        <v>8.1097204928598592E+16</v>
      </c>
      <c r="B95" s="20" t="s">
        <v>59</v>
      </c>
      <c r="C95" s="11" t="s">
        <v>9</v>
      </c>
      <c r="D95" s="13">
        <v>224190</v>
      </c>
      <c r="E95" s="13">
        <v>7117</v>
      </c>
      <c r="F95" s="11">
        <v>3</v>
      </c>
      <c r="G95" s="13">
        <v>148.54368932038801</v>
      </c>
      <c r="H95" s="13">
        <v>4.7475728155339798</v>
      </c>
      <c r="I95" s="13">
        <f t="shared" si="1"/>
        <v>153.29126213592198</v>
      </c>
      <c r="J95" s="14">
        <v>48.543689320388303</v>
      </c>
      <c r="K95" s="11" t="s">
        <v>10</v>
      </c>
    </row>
    <row r="96" spans="1:11" x14ac:dyDescent="0.25">
      <c r="A96" s="13">
        <v>8.3222047375365408E+16</v>
      </c>
      <c r="B96" s="20" t="s">
        <v>32</v>
      </c>
      <c r="C96" s="11" t="s">
        <v>9</v>
      </c>
      <c r="D96" s="13">
        <v>303007</v>
      </c>
      <c r="E96" s="13">
        <v>7117</v>
      </c>
      <c r="F96" s="11">
        <v>3</v>
      </c>
      <c r="G96" s="13">
        <v>149.514563106796</v>
      </c>
      <c r="H96" s="13">
        <v>4.7766990291262097</v>
      </c>
      <c r="I96" s="13">
        <f t="shared" si="1"/>
        <v>154.29126213592221</v>
      </c>
      <c r="J96" s="14">
        <v>48.543689320388303</v>
      </c>
      <c r="K96" s="11" t="s">
        <v>46</v>
      </c>
    </row>
    <row r="97" spans="1:11" x14ac:dyDescent="0.25">
      <c r="A97" s="13">
        <v>8.0955913019764992E+16</v>
      </c>
      <c r="B97" s="20" t="s">
        <v>31</v>
      </c>
      <c r="C97" s="11" t="s">
        <v>25</v>
      </c>
      <c r="D97" s="13">
        <v>491222</v>
      </c>
      <c r="E97" s="13">
        <v>7117</v>
      </c>
      <c r="F97" s="11">
        <v>3</v>
      </c>
      <c r="G97" s="13">
        <v>159.223300970873</v>
      </c>
      <c r="H97" s="13">
        <v>4.7766990291262097</v>
      </c>
      <c r="I97" s="13">
        <f t="shared" si="1"/>
        <v>163.9999999999992</v>
      </c>
      <c r="J97" s="14">
        <v>58.252427184466001</v>
      </c>
      <c r="K97" s="11" t="s">
        <v>23</v>
      </c>
    </row>
    <row r="98" spans="1:11" x14ac:dyDescent="0.25">
      <c r="A98" s="13">
        <v>7.84735293058464E+16</v>
      </c>
      <c r="B98" s="20" t="s">
        <v>65</v>
      </c>
      <c r="C98" s="11" t="s">
        <v>16</v>
      </c>
      <c r="D98" s="13">
        <v>412207</v>
      </c>
      <c r="E98" s="13">
        <v>711790</v>
      </c>
      <c r="F98" s="11">
        <v>18</v>
      </c>
      <c r="G98" s="13">
        <v>88.983050847457605</v>
      </c>
      <c r="H98" s="13">
        <v>18.915254237288099</v>
      </c>
      <c r="I98" s="13">
        <f t="shared" si="1"/>
        <v>107.8983050847457</v>
      </c>
      <c r="J98" s="14">
        <v>35.593220338983102</v>
      </c>
      <c r="K98" s="11" t="s">
        <v>41</v>
      </c>
    </row>
    <row r="99" spans="1:11" x14ac:dyDescent="0.25">
      <c r="A99" s="13">
        <v>8.3104340047024704E+16</v>
      </c>
      <c r="B99" s="20" t="s">
        <v>32</v>
      </c>
      <c r="C99" s="11" t="s">
        <v>33</v>
      </c>
      <c r="D99" s="13">
        <v>224208</v>
      </c>
      <c r="E99" s="13">
        <v>7117</v>
      </c>
      <c r="F99" s="11">
        <v>3</v>
      </c>
      <c r="G99" s="13">
        <v>149.514563106796</v>
      </c>
      <c r="H99" s="13">
        <v>4.7766990291262097</v>
      </c>
      <c r="I99" s="13">
        <f t="shared" si="1"/>
        <v>154.29126213592221</v>
      </c>
      <c r="J99" s="14">
        <v>48.543689320388303</v>
      </c>
      <c r="K99" s="11" t="s">
        <v>10</v>
      </c>
    </row>
    <row r="100" spans="1:11" x14ac:dyDescent="0.25">
      <c r="A100" s="13">
        <v>8.31065980877504E+16</v>
      </c>
      <c r="B100" s="20" t="s">
        <v>32</v>
      </c>
      <c r="C100" s="11" t="s">
        <v>9</v>
      </c>
      <c r="D100" s="13">
        <v>281004</v>
      </c>
      <c r="E100" s="13">
        <v>7117</v>
      </c>
      <c r="F100" s="11">
        <v>3</v>
      </c>
      <c r="G100" s="13">
        <v>149.514563106796</v>
      </c>
      <c r="H100" s="13">
        <v>4.7766990291262097</v>
      </c>
      <c r="I100" s="13">
        <f t="shared" si="1"/>
        <v>154.29126213592221</v>
      </c>
      <c r="J100" s="14">
        <v>48.543689320388303</v>
      </c>
      <c r="K100" s="11" t="s">
        <v>10</v>
      </c>
    </row>
    <row r="101" spans="1:11" x14ac:dyDescent="0.25">
      <c r="A101" s="13">
        <v>8.3418324609411904E+16</v>
      </c>
      <c r="B101" s="20" t="s">
        <v>34</v>
      </c>
      <c r="C101" s="11" t="s">
        <v>9</v>
      </c>
      <c r="D101" s="13">
        <v>272175</v>
      </c>
      <c r="E101" s="13">
        <v>7117</v>
      </c>
      <c r="F101" s="11">
        <v>3</v>
      </c>
      <c r="G101" s="13">
        <v>149.514563106796</v>
      </c>
      <c r="H101" s="13">
        <v>4.7766990291262097</v>
      </c>
      <c r="I101" s="13">
        <f t="shared" si="1"/>
        <v>154.29126213592221</v>
      </c>
      <c r="J101" s="14">
        <v>48.543689320388303</v>
      </c>
      <c r="K101" s="11" t="s">
        <v>10</v>
      </c>
    </row>
    <row r="102" spans="1:11" x14ac:dyDescent="0.25">
      <c r="A102" s="13">
        <v>7.9844555499492E+16</v>
      </c>
      <c r="B102" s="20" t="s">
        <v>40</v>
      </c>
      <c r="C102" s="11" t="s">
        <v>16</v>
      </c>
      <c r="D102" s="13">
        <v>813203</v>
      </c>
      <c r="E102" s="13">
        <v>7117</v>
      </c>
      <c r="F102" s="11">
        <v>3</v>
      </c>
      <c r="G102" s="13">
        <v>162.135922330097</v>
      </c>
      <c r="H102" s="13">
        <v>4.86407766990291</v>
      </c>
      <c r="I102" s="13">
        <f t="shared" si="1"/>
        <v>166.99999999999991</v>
      </c>
      <c r="J102" s="14">
        <v>61.165048543689302</v>
      </c>
      <c r="K102" s="11" t="s">
        <v>22</v>
      </c>
    </row>
    <row r="103" spans="1:11" x14ac:dyDescent="0.25">
      <c r="A103" s="13">
        <v>8.0150945511499392E+16</v>
      </c>
      <c r="B103" s="20" t="s">
        <v>36</v>
      </c>
      <c r="C103" s="11" t="s">
        <v>9</v>
      </c>
      <c r="D103" s="13">
        <v>272190</v>
      </c>
      <c r="E103" s="13">
        <v>7117</v>
      </c>
      <c r="F103" s="11">
        <v>3</v>
      </c>
      <c r="G103" s="13">
        <v>152.42718446601901</v>
      </c>
      <c r="H103" s="13">
        <v>4.86407766990291</v>
      </c>
      <c r="I103" s="13">
        <f t="shared" si="1"/>
        <v>157.29126213592193</v>
      </c>
      <c r="J103" s="14">
        <v>51.456310679611697</v>
      </c>
      <c r="K103" s="11" t="s">
        <v>10</v>
      </c>
    </row>
    <row r="104" spans="1:11" x14ac:dyDescent="0.25">
      <c r="A104" s="13">
        <v>8.0361108951257696E+16</v>
      </c>
      <c r="B104" s="20" t="s">
        <v>36</v>
      </c>
      <c r="C104" s="11" t="s">
        <v>16</v>
      </c>
      <c r="D104" s="13">
        <v>143103</v>
      </c>
      <c r="E104" s="13">
        <v>7117</v>
      </c>
      <c r="F104" s="11">
        <v>3</v>
      </c>
      <c r="G104" s="13">
        <v>148.54368932038801</v>
      </c>
      <c r="H104" s="13">
        <v>4.6601941747572804</v>
      </c>
      <c r="I104" s="13">
        <f t="shared" si="1"/>
        <v>153.20388349514531</v>
      </c>
      <c r="J104" s="14">
        <v>51.456310679611697</v>
      </c>
      <c r="K104" s="11" t="s">
        <v>17</v>
      </c>
    </row>
    <row r="105" spans="1:11" x14ac:dyDescent="0.25">
      <c r="A105" s="13">
        <v>8.3163687549545296E+16</v>
      </c>
      <c r="B105" s="20" t="s">
        <v>32</v>
      </c>
      <c r="C105" s="11" t="s">
        <v>9</v>
      </c>
      <c r="D105" s="13">
        <v>277401</v>
      </c>
      <c r="E105" s="13">
        <v>7117</v>
      </c>
      <c r="F105" s="11">
        <v>3</v>
      </c>
      <c r="G105" s="13">
        <v>112.621359223301</v>
      </c>
      <c r="H105" s="13">
        <v>4.1067961165048503</v>
      </c>
      <c r="I105" s="13">
        <f t="shared" si="1"/>
        <v>116.72815533980585</v>
      </c>
      <c r="J105" s="14">
        <v>33.980582524271803</v>
      </c>
      <c r="K105" s="11" t="s">
        <v>10</v>
      </c>
    </row>
    <row r="106" spans="1:11" x14ac:dyDescent="0.25">
      <c r="A106" s="13">
        <v>8.3356460777439392E+16</v>
      </c>
      <c r="B106" s="20" t="s">
        <v>34</v>
      </c>
      <c r="C106" s="11" t="s">
        <v>9</v>
      </c>
      <c r="D106" s="13">
        <v>560035</v>
      </c>
      <c r="E106" s="13">
        <v>7117</v>
      </c>
      <c r="F106" s="11">
        <v>3</v>
      </c>
      <c r="G106" s="13">
        <v>159.223300970873</v>
      </c>
      <c r="H106" s="13">
        <v>4.7766990291262097</v>
      </c>
      <c r="I106" s="13">
        <f t="shared" si="1"/>
        <v>163.9999999999992</v>
      </c>
      <c r="J106" s="14">
        <v>58.252427184466001</v>
      </c>
      <c r="K106" s="11" t="s">
        <v>19</v>
      </c>
    </row>
    <row r="107" spans="1:11" x14ac:dyDescent="0.25">
      <c r="A107" s="13">
        <v>7.8522787807015296E+16</v>
      </c>
      <c r="B107" s="20" t="s">
        <v>65</v>
      </c>
      <c r="C107" s="11" t="s">
        <v>16</v>
      </c>
      <c r="D107" s="13">
        <v>110047</v>
      </c>
      <c r="E107" s="13">
        <v>711790</v>
      </c>
      <c r="F107" s="11">
        <v>18</v>
      </c>
      <c r="G107" s="13">
        <v>107.627118644067</v>
      </c>
      <c r="H107" s="13">
        <v>20.898305084745701</v>
      </c>
      <c r="I107" s="13">
        <f t="shared" si="1"/>
        <v>128.52542372881271</v>
      </c>
      <c r="J107" s="14">
        <v>43.220338983050901</v>
      </c>
      <c r="K107" s="11" t="s">
        <v>28</v>
      </c>
    </row>
    <row r="108" spans="1:11" x14ac:dyDescent="0.25">
      <c r="A108" s="13">
        <v>8.07290256140588E+16</v>
      </c>
      <c r="B108" s="20" t="s">
        <v>51</v>
      </c>
      <c r="C108" s="11" t="s">
        <v>25</v>
      </c>
      <c r="D108" s="13">
        <v>753001</v>
      </c>
      <c r="E108" s="13">
        <v>7117</v>
      </c>
      <c r="F108" s="11">
        <v>3</v>
      </c>
      <c r="G108" s="13">
        <v>139.80582524271799</v>
      </c>
      <c r="H108" s="13">
        <v>4.1941747572815498</v>
      </c>
      <c r="I108" s="13">
        <f t="shared" si="1"/>
        <v>143.99999999999955</v>
      </c>
      <c r="J108" s="14">
        <v>61.165048543689302</v>
      </c>
      <c r="K108" s="11" t="s">
        <v>54</v>
      </c>
    </row>
    <row r="109" spans="1:11" x14ac:dyDescent="0.25">
      <c r="A109" s="13">
        <v>8.34178239315248E+16</v>
      </c>
      <c r="B109" s="20" t="s">
        <v>34</v>
      </c>
      <c r="C109" s="11" t="s">
        <v>33</v>
      </c>
      <c r="D109" s="13">
        <v>816115</v>
      </c>
      <c r="E109" s="13">
        <v>7117</v>
      </c>
      <c r="F109" s="11">
        <v>3</v>
      </c>
      <c r="G109" s="13">
        <v>119.417475728155</v>
      </c>
      <c r="H109" s="13">
        <v>4.1067961165048503</v>
      </c>
      <c r="I109" s="13">
        <f t="shared" si="1"/>
        <v>123.52427184465985</v>
      </c>
      <c r="J109" s="14">
        <v>40.776699029126199</v>
      </c>
      <c r="K109" s="11" t="s">
        <v>37</v>
      </c>
    </row>
    <row r="110" spans="1:11" x14ac:dyDescent="0.25">
      <c r="A110" s="13">
        <v>8.0281864422281792E+16</v>
      </c>
      <c r="B110" s="20" t="s">
        <v>36</v>
      </c>
      <c r="C110" s="11" t="s">
        <v>16</v>
      </c>
      <c r="D110" s="13">
        <v>228171</v>
      </c>
      <c r="E110" s="13">
        <v>7117</v>
      </c>
      <c r="F110" s="11">
        <v>3</v>
      </c>
      <c r="G110" s="13">
        <v>156.31067961164999</v>
      </c>
      <c r="H110" s="13">
        <v>5.0970873786407802</v>
      </c>
      <c r="I110" s="13">
        <f t="shared" si="1"/>
        <v>161.40776699029078</v>
      </c>
      <c r="J110" s="14">
        <v>49.514563106796103</v>
      </c>
      <c r="K110" s="11" t="s">
        <v>10</v>
      </c>
    </row>
    <row r="111" spans="1:11" x14ac:dyDescent="0.25">
      <c r="A111" s="13">
        <v>8.05450147526536E+16</v>
      </c>
      <c r="B111" s="20" t="s">
        <v>51</v>
      </c>
      <c r="C111" s="11" t="s">
        <v>25</v>
      </c>
      <c r="D111" s="13">
        <v>141016</v>
      </c>
      <c r="E111" s="13">
        <v>7117</v>
      </c>
      <c r="F111" s="11">
        <v>3</v>
      </c>
      <c r="G111" s="13">
        <v>152.42718446601901</v>
      </c>
      <c r="H111" s="13">
        <v>4.86407766990291</v>
      </c>
      <c r="I111" s="13">
        <f t="shared" si="1"/>
        <v>157.29126213592193</v>
      </c>
      <c r="J111" s="14">
        <v>61.165048543689302</v>
      </c>
      <c r="K111" s="11" t="s">
        <v>17</v>
      </c>
    </row>
    <row r="112" spans="1:11" x14ac:dyDescent="0.25">
      <c r="A112" s="13">
        <v>7.9089400545473296E+16</v>
      </c>
      <c r="B112" s="20" t="s">
        <v>45</v>
      </c>
      <c r="C112" s="11" t="s">
        <v>16</v>
      </c>
      <c r="D112" s="13">
        <v>276137</v>
      </c>
      <c r="E112" s="13">
        <v>7117</v>
      </c>
      <c r="F112" s="11">
        <v>3</v>
      </c>
      <c r="G112" s="13">
        <v>156.31067961164999</v>
      </c>
      <c r="H112" s="13">
        <v>5.0970873786407802</v>
      </c>
      <c r="I112" s="13">
        <f t="shared" si="1"/>
        <v>161.40776699029078</v>
      </c>
      <c r="J112" s="14">
        <v>49.514563106796103</v>
      </c>
      <c r="K112" s="11" t="s">
        <v>10</v>
      </c>
    </row>
    <row r="113" spans="1:11" x14ac:dyDescent="0.25">
      <c r="A113" s="13">
        <v>8.3233691985241696E+16</v>
      </c>
      <c r="B113" s="20" t="s">
        <v>32</v>
      </c>
      <c r="C113" s="11" t="s">
        <v>9</v>
      </c>
      <c r="D113" s="13">
        <v>493228</v>
      </c>
      <c r="E113" s="13">
        <v>7117</v>
      </c>
      <c r="F113" s="11">
        <v>3</v>
      </c>
      <c r="G113" s="13">
        <v>136.893203883495</v>
      </c>
      <c r="H113" s="13">
        <v>4.1067961165048503</v>
      </c>
      <c r="I113" s="13">
        <f t="shared" si="1"/>
        <v>140.99999999999986</v>
      </c>
      <c r="J113" s="14">
        <v>58.252427184466001</v>
      </c>
      <c r="K113" s="11" t="s">
        <v>23</v>
      </c>
    </row>
    <row r="114" spans="1:11" x14ac:dyDescent="0.25">
      <c r="A114" s="13">
        <v>8.1006221801958208E+16</v>
      </c>
      <c r="B114" s="20" t="s">
        <v>31</v>
      </c>
      <c r="C114" s="11" t="s">
        <v>21</v>
      </c>
      <c r="D114" s="13">
        <v>333001</v>
      </c>
      <c r="E114" s="13">
        <v>7117</v>
      </c>
      <c r="F114" s="11">
        <v>3</v>
      </c>
      <c r="G114" s="13">
        <v>152.42718446601901</v>
      </c>
      <c r="H114" s="13">
        <v>4.7766990291262097</v>
      </c>
      <c r="I114" s="13">
        <f t="shared" si="1"/>
        <v>157.20388349514522</v>
      </c>
      <c r="J114" s="14">
        <v>51.456310679611697</v>
      </c>
      <c r="K114" s="11" t="s">
        <v>46</v>
      </c>
    </row>
    <row r="115" spans="1:11" x14ac:dyDescent="0.25">
      <c r="A115" s="13">
        <v>8.2650724307816992E+16</v>
      </c>
      <c r="B115" s="20" t="s">
        <v>42</v>
      </c>
      <c r="C115" s="11" t="s">
        <v>9</v>
      </c>
      <c r="D115" s="13">
        <v>843146</v>
      </c>
      <c r="E115" s="13">
        <v>7117</v>
      </c>
      <c r="F115" s="11">
        <v>3</v>
      </c>
      <c r="G115" s="13">
        <v>140.77669902912601</v>
      </c>
      <c r="H115" s="13">
        <v>4.2233009708737903</v>
      </c>
      <c r="I115" s="13">
        <f t="shared" si="1"/>
        <v>144.9999999999998</v>
      </c>
      <c r="J115" s="14">
        <v>59.223300970873801</v>
      </c>
      <c r="K115" s="11" t="s">
        <v>22</v>
      </c>
    </row>
    <row r="116" spans="1:11" x14ac:dyDescent="0.25">
      <c r="A116" s="13">
        <v>7.9900868325659296E+16</v>
      </c>
      <c r="B116" s="20" t="s">
        <v>40</v>
      </c>
      <c r="C116" s="11" t="s">
        <v>25</v>
      </c>
      <c r="D116" s="13">
        <v>846009</v>
      </c>
      <c r="E116" s="13">
        <v>7117</v>
      </c>
      <c r="F116" s="11">
        <v>3</v>
      </c>
      <c r="G116" s="13">
        <v>162.135922330097</v>
      </c>
      <c r="H116" s="13">
        <v>4.86407766990291</v>
      </c>
      <c r="I116" s="13">
        <f t="shared" si="1"/>
        <v>166.99999999999991</v>
      </c>
      <c r="J116" s="14">
        <v>61.165048543689302</v>
      </c>
      <c r="K116" s="11" t="s">
        <v>22</v>
      </c>
    </row>
    <row r="117" spans="1:11" x14ac:dyDescent="0.25">
      <c r="A117" s="13">
        <v>8.3025933582871392E+16</v>
      </c>
      <c r="B117" s="20" t="s">
        <v>32</v>
      </c>
      <c r="C117" s="11" t="s">
        <v>9</v>
      </c>
      <c r="D117" s="13">
        <v>243632</v>
      </c>
      <c r="E117" s="13">
        <v>7117</v>
      </c>
      <c r="F117" s="11">
        <v>3</v>
      </c>
      <c r="G117" s="13">
        <v>127.184466019417</v>
      </c>
      <c r="H117" s="13">
        <v>4.1067961165048503</v>
      </c>
      <c r="I117" s="13">
        <f t="shared" si="1"/>
        <v>131.29126213592184</v>
      </c>
      <c r="J117" s="14">
        <v>48.543689320388303</v>
      </c>
      <c r="K117" s="11" t="s">
        <v>10</v>
      </c>
    </row>
    <row r="118" spans="1:11" x14ac:dyDescent="0.25">
      <c r="A118" s="13">
        <v>8.0315206605722208E+16</v>
      </c>
      <c r="B118" s="20" t="s">
        <v>36</v>
      </c>
      <c r="C118" s="11" t="s">
        <v>16</v>
      </c>
      <c r="D118" s="13">
        <v>144514</v>
      </c>
      <c r="E118" s="13">
        <v>7117</v>
      </c>
      <c r="F118" s="11">
        <v>3</v>
      </c>
      <c r="G118" s="13">
        <v>162.135922330097</v>
      </c>
      <c r="H118" s="13">
        <v>5.0970873786407802</v>
      </c>
      <c r="I118" s="13">
        <f t="shared" si="1"/>
        <v>167.2330097087378</v>
      </c>
      <c r="J118" s="14">
        <v>55.339805825242699</v>
      </c>
      <c r="K118" s="11" t="s">
        <v>17</v>
      </c>
    </row>
    <row r="119" spans="1:11" x14ac:dyDescent="0.25">
      <c r="A119" s="13">
        <v>8.32208986072352E+16</v>
      </c>
      <c r="B119" s="20" t="s">
        <v>32</v>
      </c>
      <c r="C119" s="11" t="s">
        <v>25</v>
      </c>
      <c r="D119" s="13">
        <v>151001</v>
      </c>
      <c r="E119" s="13">
        <v>7117</v>
      </c>
      <c r="F119" s="11">
        <v>3</v>
      </c>
      <c r="G119" s="13">
        <v>152.42718446601901</v>
      </c>
      <c r="H119" s="13">
        <v>4.86407766990291</v>
      </c>
      <c r="I119" s="13">
        <f t="shared" si="1"/>
        <v>157.29126213592193</v>
      </c>
      <c r="J119" s="14">
        <v>49.514563106796103</v>
      </c>
      <c r="K119" s="11" t="s">
        <v>17</v>
      </c>
    </row>
    <row r="120" spans="1:11" x14ac:dyDescent="0.25">
      <c r="A120" s="13">
        <v>8.0755929055749792E+16</v>
      </c>
      <c r="B120" s="20" t="s">
        <v>31</v>
      </c>
      <c r="C120" s="11" t="s">
        <v>25</v>
      </c>
      <c r="D120" s="13">
        <v>175012</v>
      </c>
      <c r="E120" s="13">
        <v>7117</v>
      </c>
      <c r="F120" s="11">
        <v>3</v>
      </c>
      <c r="G120" s="13">
        <v>149.514563106796</v>
      </c>
      <c r="H120" s="13">
        <v>4.7766990291262097</v>
      </c>
      <c r="I120" s="13">
        <f t="shared" si="1"/>
        <v>154.29126213592221</v>
      </c>
      <c r="J120" s="14">
        <v>48.543689320388303</v>
      </c>
      <c r="K120" s="11" t="s">
        <v>44</v>
      </c>
    </row>
    <row r="121" spans="1:11" x14ac:dyDescent="0.25">
      <c r="A121" s="13">
        <v>8.1770256284185408E+16</v>
      </c>
      <c r="B121" s="20" t="s">
        <v>58</v>
      </c>
      <c r="C121" s="11" t="s">
        <v>16</v>
      </c>
      <c r="D121" s="13">
        <v>285203</v>
      </c>
      <c r="E121" s="13">
        <v>7117</v>
      </c>
      <c r="F121" s="11">
        <v>3</v>
      </c>
      <c r="G121" s="13">
        <v>152.42718446601901</v>
      </c>
      <c r="H121" s="13">
        <v>4.86407766990291</v>
      </c>
      <c r="I121" s="13">
        <f t="shared" si="1"/>
        <v>157.29126213592193</v>
      </c>
      <c r="J121" s="14">
        <v>49.514563106796103</v>
      </c>
      <c r="K121" s="11" t="s">
        <v>10</v>
      </c>
    </row>
    <row r="122" spans="1:11" x14ac:dyDescent="0.25">
      <c r="A122" s="13">
        <v>8.3238848961325904E+16</v>
      </c>
      <c r="B122" s="20" t="s">
        <v>32</v>
      </c>
      <c r="C122" s="11" t="s">
        <v>25</v>
      </c>
      <c r="D122" s="13">
        <v>271855</v>
      </c>
      <c r="E122" s="13">
        <v>7117</v>
      </c>
      <c r="F122" s="11">
        <v>3</v>
      </c>
      <c r="G122" s="13">
        <v>149.514563106796</v>
      </c>
      <c r="H122" s="13">
        <v>4.7766990291262097</v>
      </c>
      <c r="I122" s="13">
        <f t="shared" si="1"/>
        <v>154.29126213592221</v>
      </c>
      <c r="J122" s="14">
        <v>58.252427184466001</v>
      </c>
      <c r="K122" s="11" t="s">
        <v>10</v>
      </c>
    </row>
    <row r="123" spans="1:11" x14ac:dyDescent="0.25">
      <c r="A123" s="13">
        <v>8.3203318999908496E+16</v>
      </c>
      <c r="B123" s="20" t="s">
        <v>32</v>
      </c>
      <c r="C123" s="11" t="s">
        <v>9</v>
      </c>
      <c r="D123" s="13">
        <v>413503</v>
      </c>
      <c r="E123" s="13">
        <v>7117</v>
      </c>
      <c r="F123" s="11">
        <v>3</v>
      </c>
      <c r="G123" s="13">
        <v>273.78640776699001</v>
      </c>
      <c r="H123" s="13">
        <v>8.2135922330097095</v>
      </c>
      <c r="I123" s="13">
        <f t="shared" si="1"/>
        <v>281.99999999999972</v>
      </c>
      <c r="J123" s="14">
        <v>116.504854368932</v>
      </c>
      <c r="K123" s="11" t="s">
        <v>41</v>
      </c>
    </row>
    <row r="124" spans="1:11" x14ac:dyDescent="0.25">
      <c r="A124" s="13">
        <v>8.0578271516437296E+16</v>
      </c>
      <c r="B124" s="20" t="s">
        <v>51</v>
      </c>
      <c r="C124" s="11" t="s">
        <v>25</v>
      </c>
      <c r="D124" s="13">
        <v>444704</v>
      </c>
      <c r="E124" s="13">
        <v>7117</v>
      </c>
      <c r="F124" s="11">
        <v>3</v>
      </c>
      <c r="G124" s="13">
        <v>119.417475728155</v>
      </c>
      <c r="H124" s="13">
        <v>4.1941747572815498</v>
      </c>
      <c r="I124" s="13">
        <f t="shared" si="1"/>
        <v>123.61165048543654</v>
      </c>
      <c r="J124" s="14">
        <v>61.165048543689302</v>
      </c>
      <c r="K124" s="11" t="s">
        <v>41</v>
      </c>
    </row>
    <row r="125" spans="1:11" x14ac:dyDescent="0.25">
      <c r="A125" s="13">
        <v>8.3029429693698592E+16</v>
      </c>
      <c r="B125" s="20" t="s">
        <v>32</v>
      </c>
      <c r="C125" s="11" t="s">
        <v>33</v>
      </c>
      <c r="D125" s="13">
        <v>825324</v>
      </c>
      <c r="E125" s="13">
        <v>7117</v>
      </c>
      <c r="F125" s="11">
        <v>3</v>
      </c>
      <c r="G125" s="13">
        <v>136.893203883495</v>
      </c>
      <c r="H125" s="13">
        <v>4.1067961165048503</v>
      </c>
      <c r="I125" s="13">
        <f t="shared" si="1"/>
        <v>140.99999999999986</v>
      </c>
      <c r="J125" s="14">
        <v>58.252427184466001</v>
      </c>
      <c r="K125" s="11" t="s">
        <v>37</v>
      </c>
    </row>
    <row r="126" spans="1:11" x14ac:dyDescent="0.25">
      <c r="A126" s="13">
        <v>7.947621713418E+16</v>
      </c>
      <c r="B126" s="20" t="s">
        <v>62</v>
      </c>
      <c r="C126" s="11" t="s">
        <v>9</v>
      </c>
      <c r="D126" s="13">
        <v>185121</v>
      </c>
      <c r="E126" s="13">
        <v>7117</v>
      </c>
      <c r="F126" s="11">
        <v>3</v>
      </c>
      <c r="G126" s="13">
        <v>169.90291262135901</v>
      </c>
      <c r="H126" s="13">
        <v>5.0970873786407802</v>
      </c>
      <c r="I126" s="13">
        <f t="shared" si="1"/>
        <v>174.9999999999998</v>
      </c>
      <c r="J126" s="14">
        <v>63.106796116504903</v>
      </c>
      <c r="K126" s="11" t="s">
        <v>56</v>
      </c>
    </row>
    <row r="127" spans="1:11" x14ac:dyDescent="0.25">
      <c r="A127" s="13">
        <v>8.1426722788611296E+16</v>
      </c>
      <c r="B127" s="20" t="s">
        <v>59</v>
      </c>
      <c r="C127" s="11" t="s">
        <v>25</v>
      </c>
      <c r="D127" s="13">
        <v>626117</v>
      </c>
      <c r="E127" s="13">
        <v>7117</v>
      </c>
      <c r="F127" s="11">
        <v>3</v>
      </c>
      <c r="G127" s="13">
        <v>133.009708737864</v>
      </c>
      <c r="H127" s="13">
        <v>3.9902912621359201</v>
      </c>
      <c r="I127" s="13">
        <f t="shared" si="1"/>
        <v>136.99999999999991</v>
      </c>
      <c r="J127" s="14">
        <v>59.223300970873801</v>
      </c>
      <c r="K127" s="11" t="s">
        <v>67</v>
      </c>
    </row>
    <row r="128" spans="1:11" x14ac:dyDescent="0.25">
      <c r="A128" s="13">
        <v>8.1369452646224496E+16</v>
      </c>
      <c r="B128" s="20" t="s">
        <v>59</v>
      </c>
      <c r="C128" s="11" t="s">
        <v>9</v>
      </c>
      <c r="D128" s="13">
        <v>848114</v>
      </c>
      <c r="E128" s="13">
        <v>7117</v>
      </c>
      <c r="F128" s="11">
        <v>3</v>
      </c>
      <c r="G128" s="13">
        <v>159.223300970873</v>
      </c>
      <c r="H128" s="13">
        <v>4.7766990291262097</v>
      </c>
      <c r="I128" s="13">
        <f t="shared" si="1"/>
        <v>163.9999999999992</v>
      </c>
      <c r="J128" s="14">
        <v>59.223300970873801</v>
      </c>
      <c r="K128" s="11" t="s">
        <v>22</v>
      </c>
    </row>
    <row r="129" spans="1:11" x14ac:dyDescent="0.25">
      <c r="A129" s="13">
        <v>8.3396463329678592E+16</v>
      </c>
      <c r="B129" s="20" t="s">
        <v>34</v>
      </c>
      <c r="C129" s="11" t="s">
        <v>25</v>
      </c>
      <c r="D129" s="13">
        <v>845106</v>
      </c>
      <c r="E129" s="13">
        <v>7117</v>
      </c>
      <c r="F129" s="11">
        <v>3</v>
      </c>
      <c r="G129" s="13">
        <v>136.893203883495</v>
      </c>
      <c r="H129" s="13">
        <v>4.1067961165048503</v>
      </c>
      <c r="I129" s="13">
        <f t="shared" si="1"/>
        <v>140.99999999999986</v>
      </c>
      <c r="J129" s="14">
        <v>58.252427184466001</v>
      </c>
      <c r="K129" s="11" t="s">
        <v>22</v>
      </c>
    </row>
    <row r="130" spans="1:11" x14ac:dyDescent="0.25">
      <c r="A130" s="13">
        <v>7.90666520349836E+16</v>
      </c>
      <c r="B130" s="20" t="s">
        <v>45</v>
      </c>
      <c r="C130" s="11" t="s">
        <v>25</v>
      </c>
      <c r="D130" s="13">
        <v>221404</v>
      </c>
      <c r="E130" s="13">
        <v>7117</v>
      </c>
      <c r="F130" s="11">
        <v>3</v>
      </c>
      <c r="G130" s="13">
        <v>156.31067961164999</v>
      </c>
      <c r="H130" s="13">
        <v>5.0970873786407802</v>
      </c>
      <c r="I130" s="13">
        <f t="shared" si="1"/>
        <v>161.40776699029078</v>
      </c>
      <c r="J130" s="14">
        <v>49.514563106796103</v>
      </c>
      <c r="K130" s="11" t="s">
        <v>10</v>
      </c>
    </row>
    <row r="131" spans="1:11" x14ac:dyDescent="0.25">
      <c r="A131" s="13">
        <v>8.10495643035036E+16</v>
      </c>
      <c r="B131" s="20" t="s">
        <v>31</v>
      </c>
      <c r="C131" s="11" t="s">
        <v>25</v>
      </c>
      <c r="D131" s="13">
        <v>226016</v>
      </c>
      <c r="E131" s="13">
        <v>7117</v>
      </c>
      <c r="F131" s="11">
        <v>3</v>
      </c>
      <c r="G131" s="13">
        <v>141.747572815534</v>
      </c>
      <c r="H131" s="13">
        <v>4.7766990291262097</v>
      </c>
      <c r="I131" s="13">
        <f t="shared" ref="I131:I194" si="2">G131+H131</f>
        <v>146.52427184466021</v>
      </c>
      <c r="J131" s="14">
        <v>40.776699029126199</v>
      </c>
      <c r="K131" s="11" t="s">
        <v>10</v>
      </c>
    </row>
    <row r="132" spans="1:11" x14ac:dyDescent="0.25">
      <c r="A132" s="13">
        <v>8.3145175903433504E+16</v>
      </c>
      <c r="B132" s="20" t="s">
        <v>32</v>
      </c>
      <c r="C132" s="11" t="s">
        <v>9</v>
      </c>
      <c r="D132" s="13">
        <v>276123</v>
      </c>
      <c r="E132" s="13">
        <v>7117</v>
      </c>
      <c r="F132" s="11">
        <v>3</v>
      </c>
      <c r="G132" s="13">
        <v>146.601941747572</v>
      </c>
      <c r="H132" s="13">
        <v>4.6893203883495103</v>
      </c>
      <c r="I132" s="13">
        <f t="shared" si="2"/>
        <v>151.2912621359215</v>
      </c>
      <c r="J132" s="14">
        <v>49.514563106796103</v>
      </c>
      <c r="K132" s="11" t="s">
        <v>10</v>
      </c>
    </row>
    <row r="133" spans="1:11" x14ac:dyDescent="0.25">
      <c r="A133" s="13">
        <v>8.3133066440742208E+16</v>
      </c>
      <c r="B133" s="20" t="s">
        <v>32</v>
      </c>
      <c r="C133" s="11" t="s">
        <v>33</v>
      </c>
      <c r="D133" s="13">
        <v>243402</v>
      </c>
      <c r="E133" s="13">
        <v>7117</v>
      </c>
      <c r="F133" s="11">
        <v>3</v>
      </c>
      <c r="G133" s="13">
        <v>149.514563106796</v>
      </c>
      <c r="H133" s="13">
        <v>4.7766990291262097</v>
      </c>
      <c r="I133" s="13">
        <f t="shared" si="2"/>
        <v>154.29126213592221</v>
      </c>
      <c r="J133" s="14">
        <v>48.543689320388303</v>
      </c>
      <c r="K133" s="11" t="s">
        <v>10</v>
      </c>
    </row>
    <row r="134" spans="1:11" x14ac:dyDescent="0.25">
      <c r="A134" s="13">
        <v>8.3146830262760192E+16</v>
      </c>
      <c r="B134" s="20" t="s">
        <v>32</v>
      </c>
      <c r="C134" s="11" t="s">
        <v>9</v>
      </c>
      <c r="D134" s="13">
        <v>201304</v>
      </c>
      <c r="E134" s="13">
        <v>340600</v>
      </c>
      <c r="F134" s="11">
        <v>12</v>
      </c>
      <c r="G134" s="13">
        <v>166.07142857142799</v>
      </c>
      <c r="H134" s="13">
        <v>22.714285714285701</v>
      </c>
      <c r="I134" s="13">
        <f t="shared" si="2"/>
        <v>188.78571428571368</v>
      </c>
      <c r="J134" s="14">
        <v>42.857142857142897</v>
      </c>
      <c r="K134" s="11" t="s">
        <v>10</v>
      </c>
    </row>
    <row r="135" spans="1:11" x14ac:dyDescent="0.25">
      <c r="A135" s="13">
        <v>7.4720594741979296E+16</v>
      </c>
      <c r="B135" s="20" t="s">
        <v>57</v>
      </c>
      <c r="C135" s="11" t="s">
        <v>25</v>
      </c>
      <c r="D135" s="13">
        <v>201013</v>
      </c>
      <c r="E135" s="13">
        <v>7117</v>
      </c>
      <c r="F135" s="11">
        <v>18</v>
      </c>
      <c r="G135" s="13">
        <v>110.169491525423</v>
      </c>
      <c r="H135" s="13">
        <v>21.355932203389798</v>
      </c>
      <c r="I135" s="13">
        <f t="shared" si="2"/>
        <v>131.5254237288128</v>
      </c>
      <c r="J135" s="14">
        <v>43.220338983050901</v>
      </c>
      <c r="K135" s="11" t="s">
        <v>10</v>
      </c>
    </row>
    <row r="136" spans="1:11" x14ac:dyDescent="0.25">
      <c r="A136" s="13">
        <v>8.3266623985406496E+16</v>
      </c>
      <c r="B136" s="20" t="s">
        <v>34</v>
      </c>
      <c r="C136" s="11" t="s">
        <v>25</v>
      </c>
      <c r="D136" s="13">
        <v>110043</v>
      </c>
      <c r="E136" s="13">
        <v>7117</v>
      </c>
      <c r="F136" s="11">
        <v>3</v>
      </c>
      <c r="G136" s="13">
        <v>254.368932038834</v>
      </c>
      <c r="H136" s="13">
        <v>8.2135922330097095</v>
      </c>
      <c r="I136" s="13">
        <f t="shared" si="2"/>
        <v>262.58252427184374</v>
      </c>
      <c r="J136" s="14">
        <v>116.504854368932</v>
      </c>
      <c r="K136" s="11" t="s">
        <v>28</v>
      </c>
    </row>
    <row r="137" spans="1:11" x14ac:dyDescent="0.25">
      <c r="A137" s="13">
        <v>8.17347992661408E+16</v>
      </c>
      <c r="B137" s="20" t="s">
        <v>58</v>
      </c>
      <c r="C137" s="11" t="s">
        <v>9</v>
      </c>
      <c r="D137" s="13">
        <v>222139</v>
      </c>
      <c r="E137" s="13">
        <v>7117</v>
      </c>
      <c r="F137" s="11">
        <v>3</v>
      </c>
      <c r="G137" s="13">
        <v>131.06796116504799</v>
      </c>
      <c r="H137" s="13">
        <v>4.2233009708737903</v>
      </c>
      <c r="I137" s="13">
        <f t="shared" si="2"/>
        <v>135.29126213592178</v>
      </c>
      <c r="J137" s="14">
        <v>49.514563106796103</v>
      </c>
      <c r="K137" s="11" t="s">
        <v>10</v>
      </c>
    </row>
    <row r="138" spans="1:11" x14ac:dyDescent="0.25">
      <c r="A138" s="13">
        <v>8.3481648034735808E+16</v>
      </c>
      <c r="B138" s="20" t="s">
        <v>34</v>
      </c>
      <c r="C138" s="11" t="s">
        <v>9</v>
      </c>
      <c r="D138" s="13">
        <v>226013</v>
      </c>
      <c r="E138" s="13">
        <v>7117</v>
      </c>
      <c r="F138" s="11">
        <v>3</v>
      </c>
      <c r="G138" s="13">
        <v>140.77669902912601</v>
      </c>
      <c r="H138" s="13">
        <v>4.7766990291262097</v>
      </c>
      <c r="I138" s="13">
        <f t="shared" si="2"/>
        <v>145.55339805825221</v>
      </c>
      <c r="J138" s="14">
        <v>39.805825242718498</v>
      </c>
      <c r="K138" s="11" t="s">
        <v>10</v>
      </c>
    </row>
    <row r="139" spans="1:11" x14ac:dyDescent="0.25">
      <c r="A139" s="13">
        <v>7.96142899750956E+16</v>
      </c>
      <c r="B139" s="20" t="s">
        <v>62</v>
      </c>
      <c r="C139" s="11" t="s">
        <v>16</v>
      </c>
      <c r="D139" s="13">
        <v>491771</v>
      </c>
      <c r="E139" s="13">
        <v>7117</v>
      </c>
      <c r="F139" s="11">
        <v>3</v>
      </c>
      <c r="G139" s="13">
        <v>139.80582524271799</v>
      </c>
      <c r="H139" s="13">
        <v>4.1941747572815498</v>
      </c>
      <c r="I139" s="13">
        <f t="shared" si="2"/>
        <v>143.99999999999955</v>
      </c>
      <c r="J139" s="14">
        <v>61.165048543689302</v>
      </c>
      <c r="K139" s="11" t="s">
        <v>23</v>
      </c>
    </row>
    <row r="140" spans="1:11" x14ac:dyDescent="0.25">
      <c r="A140" s="13">
        <v>8.1261177914517104E+16</v>
      </c>
      <c r="B140" s="20" t="s">
        <v>59</v>
      </c>
      <c r="C140" s="11" t="s">
        <v>9</v>
      </c>
      <c r="D140" s="13">
        <v>261506</v>
      </c>
      <c r="E140" s="13">
        <v>7117</v>
      </c>
      <c r="F140" s="11">
        <v>3</v>
      </c>
      <c r="G140" s="13">
        <v>127.184466019417</v>
      </c>
      <c r="H140" s="13">
        <v>4.1067961165048503</v>
      </c>
      <c r="I140" s="13">
        <f t="shared" si="2"/>
        <v>131.29126213592184</v>
      </c>
      <c r="J140" s="14">
        <v>48.543689320388303</v>
      </c>
      <c r="K140" s="11" t="s">
        <v>10</v>
      </c>
    </row>
    <row r="141" spans="1:11" x14ac:dyDescent="0.25">
      <c r="A141" s="13">
        <v>8.33671328513276E+16</v>
      </c>
      <c r="B141" s="20" t="s">
        <v>34</v>
      </c>
      <c r="C141" s="11" t="s">
        <v>9</v>
      </c>
      <c r="D141" s="13">
        <v>122413</v>
      </c>
      <c r="E141" s="13">
        <v>7117</v>
      </c>
      <c r="F141" s="11">
        <v>3</v>
      </c>
      <c r="G141" s="13">
        <v>149.514563106796</v>
      </c>
      <c r="H141" s="13">
        <v>4.7766990291262097</v>
      </c>
      <c r="I141" s="13">
        <f t="shared" si="2"/>
        <v>154.29126213592221</v>
      </c>
      <c r="J141" s="14">
        <v>48.543689320388303</v>
      </c>
      <c r="K141" s="11" t="s">
        <v>63</v>
      </c>
    </row>
    <row r="142" spans="1:11" x14ac:dyDescent="0.25">
      <c r="A142" s="13">
        <v>7.9766175042696E+16</v>
      </c>
      <c r="B142" s="20" t="s">
        <v>40</v>
      </c>
      <c r="C142" s="11" t="s">
        <v>16</v>
      </c>
      <c r="D142" s="13">
        <v>805106</v>
      </c>
      <c r="E142" s="13">
        <v>7117</v>
      </c>
      <c r="F142" s="11">
        <v>3</v>
      </c>
      <c r="G142" s="13">
        <v>169.90291262135901</v>
      </c>
      <c r="H142" s="13">
        <v>5.0970873786407802</v>
      </c>
      <c r="I142" s="13">
        <f t="shared" si="2"/>
        <v>174.9999999999998</v>
      </c>
      <c r="J142" s="14">
        <v>63.106796116504903</v>
      </c>
      <c r="K142" s="11" t="s">
        <v>22</v>
      </c>
    </row>
    <row r="143" spans="1:11" x14ac:dyDescent="0.25">
      <c r="A143" s="13">
        <v>8.3486406233522304E+16</v>
      </c>
      <c r="B143" s="20" t="s">
        <v>34</v>
      </c>
      <c r="C143" s="11" t="s">
        <v>9</v>
      </c>
      <c r="D143" s="13">
        <v>800014</v>
      </c>
      <c r="E143" s="13">
        <v>7117</v>
      </c>
      <c r="F143" s="11">
        <v>3</v>
      </c>
      <c r="G143" s="13">
        <v>137.864077669902</v>
      </c>
      <c r="H143" s="13">
        <v>4.7475728155339798</v>
      </c>
      <c r="I143" s="13">
        <f t="shared" si="2"/>
        <v>142.61165048543597</v>
      </c>
      <c r="J143" s="14">
        <v>37.864077669902898</v>
      </c>
      <c r="K143" s="11" t="s">
        <v>22</v>
      </c>
    </row>
    <row r="144" spans="1:11" x14ac:dyDescent="0.25">
      <c r="A144" s="13">
        <v>8.2400035099782E+16</v>
      </c>
      <c r="B144" s="20" t="s">
        <v>47</v>
      </c>
      <c r="C144" s="11" t="s">
        <v>33</v>
      </c>
      <c r="D144" s="13">
        <v>232327</v>
      </c>
      <c r="E144" s="13">
        <v>7117</v>
      </c>
      <c r="F144" s="11">
        <v>3</v>
      </c>
      <c r="G144" s="13">
        <v>148.54368932038801</v>
      </c>
      <c r="H144" s="13">
        <v>4.7475728155339798</v>
      </c>
      <c r="I144" s="13">
        <f t="shared" si="2"/>
        <v>153.29126213592198</v>
      </c>
      <c r="J144" s="14">
        <v>48.543689320388303</v>
      </c>
      <c r="K144" s="11" t="s">
        <v>10</v>
      </c>
    </row>
    <row r="145" spans="1:11" x14ac:dyDescent="0.25">
      <c r="A145" s="13">
        <v>8.0964491072378096E+16</v>
      </c>
      <c r="B145" s="20" t="s">
        <v>31</v>
      </c>
      <c r="C145" s="11" t="s">
        <v>25</v>
      </c>
      <c r="D145" s="13">
        <v>848101</v>
      </c>
      <c r="E145" s="13">
        <v>7117</v>
      </c>
      <c r="F145" s="11">
        <v>3</v>
      </c>
      <c r="G145" s="13">
        <v>159.223300970873</v>
      </c>
      <c r="H145" s="13">
        <v>4.7766990291262097</v>
      </c>
      <c r="I145" s="13">
        <f t="shared" si="2"/>
        <v>163.9999999999992</v>
      </c>
      <c r="J145" s="14">
        <v>58.252427184466001</v>
      </c>
      <c r="K145" s="11" t="s">
        <v>22</v>
      </c>
    </row>
    <row r="146" spans="1:11" x14ac:dyDescent="0.25">
      <c r="A146" s="13">
        <v>8.1028071192925504E+16</v>
      </c>
      <c r="B146" s="20" t="s">
        <v>31</v>
      </c>
      <c r="C146" s="11" t="s">
        <v>25</v>
      </c>
      <c r="D146" s="13">
        <v>335001</v>
      </c>
      <c r="E146" s="13">
        <v>7117</v>
      </c>
      <c r="F146" s="11">
        <v>3</v>
      </c>
      <c r="G146" s="13">
        <v>136.893203883495</v>
      </c>
      <c r="H146" s="13">
        <v>4.7766990291262097</v>
      </c>
      <c r="I146" s="13">
        <f t="shared" si="2"/>
        <v>141.66990291262121</v>
      </c>
      <c r="J146" s="14">
        <v>35.922330097087404</v>
      </c>
      <c r="K146" s="11" t="s">
        <v>46</v>
      </c>
    </row>
    <row r="147" spans="1:11" x14ac:dyDescent="0.25">
      <c r="A147" s="13">
        <v>8.3364523666969904E+16</v>
      </c>
      <c r="B147" s="20" t="s">
        <v>34</v>
      </c>
      <c r="C147" s="11" t="s">
        <v>33</v>
      </c>
      <c r="D147" s="13">
        <v>123401</v>
      </c>
      <c r="E147" s="13">
        <v>7117</v>
      </c>
      <c r="F147" s="11">
        <v>3</v>
      </c>
      <c r="G147" s="13">
        <v>152.42718446601901</v>
      </c>
      <c r="H147" s="13">
        <v>4.7766990291262097</v>
      </c>
      <c r="I147" s="13">
        <f t="shared" si="2"/>
        <v>157.20388349514522</v>
      </c>
      <c r="J147" s="14">
        <v>58.252427184466001</v>
      </c>
      <c r="K147" s="11" t="s">
        <v>63</v>
      </c>
    </row>
    <row r="148" spans="1:11" x14ac:dyDescent="0.25">
      <c r="A148" s="13">
        <v>8.1094767567631104E+16</v>
      </c>
      <c r="B148" s="20" t="s">
        <v>59</v>
      </c>
      <c r="C148" s="11" t="s">
        <v>9</v>
      </c>
      <c r="D148" s="13">
        <v>400607</v>
      </c>
      <c r="E148" s="13">
        <v>7117</v>
      </c>
      <c r="F148" s="11">
        <v>3</v>
      </c>
      <c r="G148" s="13">
        <v>197.087378640776</v>
      </c>
      <c r="H148" s="13">
        <v>5.9126213592232997</v>
      </c>
      <c r="I148" s="13">
        <f t="shared" si="2"/>
        <v>202.99999999999929</v>
      </c>
      <c r="J148" s="14">
        <v>59.223300970873801</v>
      </c>
      <c r="K148" s="11" t="s">
        <v>41</v>
      </c>
    </row>
    <row r="149" spans="1:11" x14ac:dyDescent="0.25">
      <c r="A149" s="13">
        <v>8.2109334269427904E+16</v>
      </c>
      <c r="B149" s="20" t="s">
        <v>48</v>
      </c>
      <c r="C149" s="11" t="s">
        <v>33</v>
      </c>
      <c r="D149" s="13">
        <v>477222</v>
      </c>
      <c r="E149" s="13">
        <v>7117</v>
      </c>
      <c r="F149" s="11">
        <v>3</v>
      </c>
      <c r="G149" s="13">
        <v>162.135922330097</v>
      </c>
      <c r="H149" s="13">
        <v>4.86407766990291</v>
      </c>
      <c r="I149" s="13">
        <f t="shared" si="2"/>
        <v>166.99999999999991</v>
      </c>
      <c r="J149" s="14">
        <v>59.223300970873801</v>
      </c>
      <c r="K149" s="11" t="s">
        <v>26</v>
      </c>
    </row>
    <row r="150" spans="1:11" x14ac:dyDescent="0.25">
      <c r="A150" s="13">
        <v>8.2410071900427504E+16</v>
      </c>
      <c r="B150" s="20" t="s">
        <v>47</v>
      </c>
      <c r="C150" s="11" t="s">
        <v>9</v>
      </c>
      <c r="D150" s="13">
        <v>413102</v>
      </c>
      <c r="E150" s="13">
        <v>711790</v>
      </c>
      <c r="F150" s="11">
        <v>3</v>
      </c>
      <c r="G150" s="13">
        <v>145.631067961165</v>
      </c>
      <c r="H150" s="13">
        <v>4.3689320388349504</v>
      </c>
      <c r="I150" s="13">
        <f t="shared" si="2"/>
        <v>149.99999999999994</v>
      </c>
      <c r="J150" s="14">
        <v>59.223300970873801</v>
      </c>
      <c r="K150" s="11" t="s">
        <v>41</v>
      </c>
    </row>
    <row r="151" spans="1:11" x14ac:dyDescent="0.25">
      <c r="A151" s="13">
        <v>7.47449403532208E+16</v>
      </c>
      <c r="B151" s="20" t="s">
        <v>57</v>
      </c>
      <c r="C151" s="11" t="s">
        <v>52</v>
      </c>
      <c r="D151" s="13">
        <v>509001</v>
      </c>
      <c r="E151" s="13">
        <v>7117</v>
      </c>
      <c r="F151" s="11">
        <v>18</v>
      </c>
      <c r="G151" s="13">
        <v>127.118644067796</v>
      </c>
      <c r="H151" s="13">
        <v>22.881355932203299</v>
      </c>
      <c r="I151" s="13">
        <f t="shared" si="2"/>
        <v>149.99999999999929</v>
      </c>
      <c r="J151" s="14">
        <v>51.694915254237301</v>
      </c>
      <c r="K151" s="11" t="s">
        <v>53</v>
      </c>
    </row>
    <row r="152" spans="1:11" x14ac:dyDescent="0.25">
      <c r="A152" s="13">
        <v>8.1011377145312E+16</v>
      </c>
      <c r="B152" s="20" t="s">
        <v>31</v>
      </c>
      <c r="C152" s="11" t="s">
        <v>52</v>
      </c>
      <c r="D152" s="13">
        <v>277001</v>
      </c>
      <c r="E152" s="13">
        <v>7117</v>
      </c>
      <c r="F152" s="11">
        <v>3</v>
      </c>
      <c r="G152" s="13">
        <v>134.95145631067899</v>
      </c>
      <c r="H152" s="13">
        <v>4.7766990291262097</v>
      </c>
      <c r="I152" s="13">
        <f t="shared" si="2"/>
        <v>139.7281553398052</v>
      </c>
      <c r="J152" s="14">
        <v>33.980582524271803</v>
      </c>
      <c r="K152" s="11" t="s">
        <v>10</v>
      </c>
    </row>
    <row r="153" spans="1:11" x14ac:dyDescent="0.25">
      <c r="A153" s="13">
        <v>8.35116388350624E+16</v>
      </c>
      <c r="B153" s="20" t="s">
        <v>34</v>
      </c>
      <c r="C153" s="11" t="s">
        <v>9</v>
      </c>
      <c r="D153" s="13">
        <v>509376</v>
      </c>
      <c r="E153" s="13">
        <v>7117</v>
      </c>
      <c r="F153" s="11">
        <v>3</v>
      </c>
      <c r="G153" s="13">
        <v>139.80582524271799</v>
      </c>
      <c r="H153" s="13">
        <v>4.1941747572815498</v>
      </c>
      <c r="I153" s="13">
        <f t="shared" si="2"/>
        <v>143.99999999999955</v>
      </c>
      <c r="J153" s="14">
        <v>58.252427184466001</v>
      </c>
      <c r="K153" s="11" t="s">
        <v>53</v>
      </c>
    </row>
    <row r="154" spans="1:11" x14ac:dyDescent="0.25">
      <c r="A154" s="13">
        <v>8.8210741555500304E+16</v>
      </c>
      <c r="B154" s="20" t="s">
        <v>68</v>
      </c>
      <c r="C154" s="11" t="s">
        <v>16</v>
      </c>
      <c r="D154" s="13">
        <v>392240</v>
      </c>
      <c r="E154" s="13">
        <v>7117</v>
      </c>
      <c r="F154" s="11">
        <v>3</v>
      </c>
      <c r="G154" s="13">
        <v>151.45631067961099</v>
      </c>
      <c r="H154" s="13">
        <v>4.5436893203883502</v>
      </c>
      <c r="I154" s="13">
        <f t="shared" si="2"/>
        <v>155.99999999999935</v>
      </c>
      <c r="J154" s="14">
        <v>61.165048543689302</v>
      </c>
      <c r="K154" s="11" t="s">
        <v>12</v>
      </c>
    </row>
    <row r="155" spans="1:11" x14ac:dyDescent="0.25">
      <c r="A155" s="13">
        <v>8.8326188652753696E+16</v>
      </c>
      <c r="B155" s="20" t="s">
        <v>68</v>
      </c>
      <c r="C155" s="11" t="s">
        <v>16</v>
      </c>
      <c r="D155" s="13">
        <v>226005</v>
      </c>
      <c r="E155" s="13">
        <v>7117</v>
      </c>
      <c r="F155" s="11">
        <v>3</v>
      </c>
      <c r="G155" s="13">
        <v>150.485436893203</v>
      </c>
      <c r="H155" s="13">
        <v>5.3883495145631102</v>
      </c>
      <c r="I155" s="13">
        <f t="shared" si="2"/>
        <v>155.87378640776612</v>
      </c>
      <c r="J155" s="14">
        <v>30.097087378640801</v>
      </c>
      <c r="K155" s="11" t="s">
        <v>10</v>
      </c>
    </row>
    <row r="156" spans="1:11" x14ac:dyDescent="0.25">
      <c r="A156" s="13">
        <v>8.8702956916110096E+16</v>
      </c>
      <c r="B156" s="20" t="s">
        <v>70</v>
      </c>
      <c r="C156" s="11" t="s">
        <v>71</v>
      </c>
      <c r="D156" s="13">
        <v>226002</v>
      </c>
      <c r="E156" s="13">
        <v>340600</v>
      </c>
      <c r="F156" s="11">
        <v>12</v>
      </c>
      <c r="G156" s="13">
        <v>141.96428571428501</v>
      </c>
      <c r="H156" s="13">
        <v>19.607142857142801</v>
      </c>
      <c r="I156" s="13">
        <f t="shared" si="2"/>
        <v>161.57142857142782</v>
      </c>
      <c r="J156" s="14">
        <v>45.535714285714299</v>
      </c>
      <c r="K156" s="11" t="s">
        <v>10</v>
      </c>
    </row>
    <row r="157" spans="1:11" x14ac:dyDescent="0.25">
      <c r="A157" s="13">
        <v>8.8285056633285504E+16</v>
      </c>
      <c r="B157" s="20" t="s">
        <v>68</v>
      </c>
      <c r="C157" s="11" t="s">
        <v>25</v>
      </c>
      <c r="D157" s="13">
        <v>411060</v>
      </c>
      <c r="E157" s="13">
        <v>340600</v>
      </c>
      <c r="F157" s="11">
        <v>12</v>
      </c>
      <c r="G157" s="13">
        <v>132.142857142857</v>
      </c>
      <c r="H157" s="13">
        <v>17.464285714285701</v>
      </c>
      <c r="I157" s="13">
        <f t="shared" si="2"/>
        <v>149.60714285714269</v>
      </c>
      <c r="J157" s="14">
        <v>53.571428571428598</v>
      </c>
      <c r="K157" s="11" t="s">
        <v>41</v>
      </c>
    </row>
    <row r="158" spans="1:11" x14ac:dyDescent="0.25">
      <c r="A158" s="13">
        <v>9.1614581887042592E+16</v>
      </c>
      <c r="B158" s="20" t="s">
        <v>72</v>
      </c>
      <c r="C158" s="11" t="s">
        <v>9</v>
      </c>
      <c r="D158" s="13">
        <v>400043</v>
      </c>
      <c r="E158" s="13">
        <v>7117</v>
      </c>
      <c r="F158" s="11">
        <v>3</v>
      </c>
      <c r="G158" s="13">
        <v>167.96116504854299</v>
      </c>
      <c r="H158" s="13">
        <v>5.0388349514563098</v>
      </c>
      <c r="I158" s="13">
        <f t="shared" si="2"/>
        <v>172.99999999999932</v>
      </c>
      <c r="J158" s="14">
        <v>59.223300970873801</v>
      </c>
      <c r="K158" s="11" t="s">
        <v>41</v>
      </c>
    </row>
    <row r="159" spans="1:11" x14ac:dyDescent="0.25">
      <c r="A159" s="13">
        <v>8.6099288442204896E+16</v>
      </c>
      <c r="B159" s="20" t="s">
        <v>73</v>
      </c>
      <c r="C159" s="11" t="s">
        <v>25</v>
      </c>
      <c r="D159" s="13">
        <v>151207</v>
      </c>
      <c r="E159" s="13">
        <v>7117</v>
      </c>
      <c r="F159" s="11">
        <v>3</v>
      </c>
      <c r="G159" s="13">
        <v>156.31067961164999</v>
      </c>
      <c r="H159" s="13">
        <v>4.9805825242718402</v>
      </c>
      <c r="I159" s="13">
        <f t="shared" si="2"/>
        <v>161.29126213592184</v>
      </c>
      <c r="J159" s="14">
        <v>59.223300970873801</v>
      </c>
      <c r="K159" s="11" t="s">
        <v>17</v>
      </c>
    </row>
    <row r="160" spans="1:11" x14ac:dyDescent="0.25">
      <c r="A160" s="13">
        <v>9.0549275977352096E+16</v>
      </c>
      <c r="B160" s="20" t="s">
        <v>74</v>
      </c>
      <c r="C160" s="11" t="s">
        <v>16</v>
      </c>
      <c r="D160" s="13">
        <v>411041</v>
      </c>
      <c r="E160" s="13">
        <v>7117</v>
      </c>
      <c r="F160" s="11">
        <v>3</v>
      </c>
      <c r="G160" s="13">
        <v>204.854368932038</v>
      </c>
      <c r="H160" s="13">
        <v>6.6990291262135901</v>
      </c>
      <c r="I160" s="13">
        <f t="shared" si="2"/>
        <v>211.55339805825159</v>
      </c>
      <c r="J160" s="14">
        <v>42.7184466019418</v>
      </c>
      <c r="K160" s="11" t="s">
        <v>41</v>
      </c>
    </row>
    <row r="161" spans="1:11" x14ac:dyDescent="0.25">
      <c r="A161" s="13">
        <v>8.74104192281444E+16</v>
      </c>
      <c r="B161" s="20" t="s">
        <v>75</v>
      </c>
      <c r="C161" s="11" t="s">
        <v>16</v>
      </c>
      <c r="D161" s="13">
        <v>133203</v>
      </c>
      <c r="E161" s="13">
        <v>340600</v>
      </c>
      <c r="F161" s="11">
        <v>12</v>
      </c>
      <c r="G161" s="13">
        <v>138.392857142857</v>
      </c>
      <c r="H161" s="13">
        <v>19.607142857142801</v>
      </c>
      <c r="I161" s="13">
        <f t="shared" si="2"/>
        <v>157.9999999999998</v>
      </c>
      <c r="J161" s="14">
        <v>41.964285714285701</v>
      </c>
      <c r="K161" s="11" t="s">
        <v>63</v>
      </c>
    </row>
    <row r="162" spans="1:11" x14ac:dyDescent="0.25">
      <c r="A162" s="13">
        <v>8.6012439241618208E+16</v>
      </c>
      <c r="B162" s="20" t="s">
        <v>73</v>
      </c>
      <c r="C162" s="11" t="s">
        <v>16</v>
      </c>
      <c r="D162" s="13">
        <v>483501</v>
      </c>
      <c r="E162" s="13">
        <v>7117</v>
      </c>
      <c r="F162" s="11">
        <v>3</v>
      </c>
      <c r="G162" s="13">
        <v>172.81553398058199</v>
      </c>
      <c r="H162" s="13">
        <v>5.2427184466019403</v>
      </c>
      <c r="I162" s="13">
        <f t="shared" si="2"/>
        <v>178.05825242718393</v>
      </c>
      <c r="J162" s="14">
        <v>57.2815533980583</v>
      </c>
      <c r="K162" s="11" t="s">
        <v>26</v>
      </c>
    </row>
    <row r="163" spans="1:11" x14ac:dyDescent="0.25">
      <c r="A163" s="13">
        <v>8.9434757978384E+16</v>
      </c>
      <c r="B163" s="20" t="s">
        <v>77</v>
      </c>
      <c r="C163" s="11" t="s">
        <v>52</v>
      </c>
      <c r="D163" s="13">
        <v>500004</v>
      </c>
      <c r="E163" s="13">
        <v>340600</v>
      </c>
      <c r="F163" s="11">
        <v>12</v>
      </c>
      <c r="G163" s="13">
        <v>146.42857142857099</v>
      </c>
      <c r="H163" s="13">
        <v>19.178571428571399</v>
      </c>
      <c r="I163" s="13">
        <f t="shared" si="2"/>
        <v>165.60714285714238</v>
      </c>
      <c r="J163" s="14">
        <v>41.071428571428598</v>
      </c>
      <c r="K163" s="11" t="s">
        <v>53</v>
      </c>
    </row>
    <row r="164" spans="1:11" x14ac:dyDescent="0.25">
      <c r="A164" s="13">
        <v>8.9390518283938592E+16</v>
      </c>
      <c r="B164" s="20" t="s">
        <v>78</v>
      </c>
      <c r="C164" s="11" t="s">
        <v>16</v>
      </c>
      <c r="D164" s="13">
        <v>473222</v>
      </c>
      <c r="E164" s="13">
        <v>7117</v>
      </c>
      <c r="F164" s="11">
        <v>3</v>
      </c>
      <c r="G164" s="13">
        <v>158.252427184466</v>
      </c>
      <c r="H164" s="13">
        <v>4.7475728155339798</v>
      </c>
      <c r="I164" s="13">
        <f t="shared" si="2"/>
        <v>162.99999999999997</v>
      </c>
      <c r="J164" s="14">
        <v>58.252427184466001</v>
      </c>
      <c r="K164" s="11" t="s">
        <v>26</v>
      </c>
    </row>
    <row r="165" spans="1:11" x14ac:dyDescent="0.25">
      <c r="A165" s="13">
        <v>9.25150618778432E+16</v>
      </c>
      <c r="B165" s="20" t="s">
        <v>80</v>
      </c>
      <c r="C165" s="11" t="s">
        <v>9</v>
      </c>
      <c r="D165" s="13">
        <v>224190</v>
      </c>
      <c r="E165" s="13">
        <v>7117</v>
      </c>
      <c r="F165" s="11">
        <v>3</v>
      </c>
      <c r="G165" s="13">
        <v>147.57281553397999</v>
      </c>
      <c r="H165" s="13">
        <v>4.7184466019417499</v>
      </c>
      <c r="I165" s="13">
        <f t="shared" si="2"/>
        <v>152.29126213592173</v>
      </c>
      <c r="J165" s="14">
        <v>47.572815533980602</v>
      </c>
      <c r="K165" s="11" t="s">
        <v>10</v>
      </c>
    </row>
    <row r="166" spans="1:11" x14ac:dyDescent="0.25">
      <c r="A166" s="13">
        <v>8.7503533452227296E+16</v>
      </c>
      <c r="B166" s="20" t="s">
        <v>75</v>
      </c>
      <c r="C166" s="11" t="s">
        <v>16</v>
      </c>
      <c r="D166" s="13">
        <v>562159</v>
      </c>
      <c r="E166" s="13">
        <v>7117</v>
      </c>
      <c r="F166" s="11">
        <v>3</v>
      </c>
      <c r="G166" s="13">
        <v>139.80582524271799</v>
      </c>
      <c r="H166" s="13">
        <v>4.1941747572815498</v>
      </c>
      <c r="I166" s="13">
        <f t="shared" si="2"/>
        <v>143.99999999999955</v>
      </c>
      <c r="J166" s="14">
        <v>58.252427184466001</v>
      </c>
      <c r="K166" s="11" t="s">
        <v>19</v>
      </c>
    </row>
    <row r="167" spans="1:11" x14ac:dyDescent="0.25">
      <c r="A167" s="13">
        <v>9.0034596130464992E+16</v>
      </c>
      <c r="B167" s="20" t="s">
        <v>82</v>
      </c>
      <c r="C167" s="11" t="s">
        <v>16</v>
      </c>
      <c r="D167" s="13">
        <v>824211</v>
      </c>
      <c r="E167" s="13">
        <v>7117</v>
      </c>
      <c r="F167" s="11">
        <v>3</v>
      </c>
      <c r="G167" s="13">
        <v>132.03883495145601</v>
      </c>
      <c r="H167" s="13">
        <v>5.0388349514563098</v>
      </c>
      <c r="I167" s="13">
        <f t="shared" si="2"/>
        <v>137.07766990291233</v>
      </c>
      <c r="J167" s="14">
        <v>23.300970873786401</v>
      </c>
      <c r="K167" s="11" t="s">
        <v>22</v>
      </c>
    </row>
    <row r="168" spans="1:11" x14ac:dyDescent="0.25">
      <c r="A168" s="13">
        <v>8.7150720868554E+16</v>
      </c>
      <c r="B168" s="20" t="s">
        <v>83</v>
      </c>
      <c r="C168" s="11" t="s">
        <v>52</v>
      </c>
      <c r="D168" s="13">
        <v>273158</v>
      </c>
      <c r="E168" s="13">
        <v>7117</v>
      </c>
      <c r="F168" s="11">
        <v>3</v>
      </c>
      <c r="G168" s="13">
        <v>133.980582524271</v>
      </c>
      <c r="H168" s="13">
        <v>4.7475728155339798</v>
      </c>
      <c r="I168" s="13">
        <f t="shared" si="2"/>
        <v>138.72815533980497</v>
      </c>
      <c r="J168" s="14">
        <v>33.980582524271803</v>
      </c>
      <c r="K168" s="11" t="s">
        <v>10</v>
      </c>
    </row>
    <row r="169" spans="1:11" x14ac:dyDescent="0.25">
      <c r="A169" s="13">
        <v>8.60387456162136E+16</v>
      </c>
      <c r="B169" s="20" t="s">
        <v>73</v>
      </c>
      <c r="C169" s="11" t="s">
        <v>71</v>
      </c>
      <c r="D169" s="13">
        <v>223226</v>
      </c>
      <c r="E169" s="13">
        <v>7117</v>
      </c>
      <c r="F169" s="11">
        <v>3</v>
      </c>
      <c r="G169" s="13">
        <v>156.31067961164999</v>
      </c>
      <c r="H169" s="13">
        <v>5.4174757281553401</v>
      </c>
      <c r="I169" s="13">
        <f t="shared" si="2"/>
        <v>161.72815533980534</v>
      </c>
      <c r="J169" s="14">
        <v>34.951456310679603</v>
      </c>
      <c r="K169" s="11" t="s">
        <v>10</v>
      </c>
    </row>
    <row r="170" spans="1:11" x14ac:dyDescent="0.25">
      <c r="A170" s="13">
        <v>9.0476957670185904E+16</v>
      </c>
      <c r="B170" s="20" t="s">
        <v>84</v>
      </c>
      <c r="C170" s="11" t="s">
        <v>25</v>
      </c>
      <c r="D170" s="13">
        <v>208013</v>
      </c>
      <c r="E170" s="13">
        <v>7117</v>
      </c>
      <c r="F170" s="11">
        <v>3</v>
      </c>
      <c r="G170" s="13">
        <v>113.592233009708</v>
      </c>
      <c r="H170" s="13">
        <v>4.13592233009709</v>
      </c>
      <c r="I170" s="13">
        <f t="shared" si="2"/>
        <v>117.72815533980508</v>
      </c>
      <c r="J170" s="14">
        <v>59.223300970873801</v>
      </c>
      <c r="K170" s="11" t="s">
        <v>10</v>
      </c>
    </row>
    <row r="171" spans="1:11" x14ac:dyDescent="0.25">
      <c r="A171" s="13">
        <v>8.7949164478132992E+16</v>
      </c>
      <c r="B171" s="20" t="s">
        <v>76</v>
      </c>
      <c r="C171" s="11" t="s">
        <v>52</v>
      </c>
      <c r="D171" s="13">
        <v>160022</v>
      </c>
      <c r="E171" s="13">
        <v>340600</v>
      </c>
      <c r="F171" s="11">
        <v>12</v>
      </c>
      <c r="G171" s="13">
        <v>135.71428571428501</v>
      </c>
      <c r="H171" s="13">
        <v>20.678571428571399</v>
      </c>
      <c r="I171" s="13">
        <f t="shared" si="2"/>
        <v>156.3928571428564</v>
      </c>
      <c r="J171" s="14">
        <v>30.3571428571429</v>
      </c>
      <c r="K171" s="11" t="s">
        <v>85</v>
      </c>
    </row>
    <row r="172" spans="1:11" x14ac:dyDescent="0.25">
      <c r="A172" s="13">
        <v>9.0728837046633408E+16</v>
      </c>
      <c r="B172" s="20" t="s">
        <v>74</v>
      </c>
      <c r="C172" s="11" t="s">
        <v>25</v>
      </c>
      <c r="D172" s="13">
        <v>831011</v>
      </c>
      <c r="E172" s="13">
        <v>7117</v>
      </c>
      <c r="F172" s="11">
        <v>3</v>
      </c>
      <c r="G172" s="13">
        <v>158.252427184466</v>
      </c>
      <c r="H172" s="13">
        <v>4.7475728155339798</v>
      </c>
      <c r="I172" s="13">
        <f t="shared" si="2"/>
        <v>162.99999999999997</v>
      </c>
      <c r="J172" s="14">
        <v>58.252427184466001</v>
      </c>
      <c r="K172" s="11" t="s">
        <v>37</v>
      </c>
    </row>
    <row r="173" spans="1:11" x14ac:dyDescent="0.25">
      <c r="A173" s="13">
        <v>9.3689485637661504E+16</v>
      </c>
      <c r="B173" s="20" t="s">
        <v>86</v>
      </c>
      <c r="C173" s="11" t="s">
        <v>16</v>
      </c>
      <c r="D173" s="13">
        <v>301704</v>
      </c>
      <c r="E173" s="13">
        <v>7117</v>
      </c>
      <c r="F173" s="11">
        <v>3</v>
      </c>
      <c r="G173" s="13">
        <v>147.57281553397999</v>
      </c>
      <c r="H173" s="13">
        <v>4.6310679611650496</v>
      </c>
      <c r="I173" s="13">
        <f t="shared" si="2"/>
        <v>152.20388349514505</v>
      </c>
      <c r="J173" s="14">
        <v>50.485436893203897</v>
      </c>
      <c r="K173" s="11" t="s">
        <v>46</v>
      </c>
    </row>
    <row r="174" spans="1:11" x14ac:dyDescent="0.25">
      <c r="A174" s="13">
        <v>8.8340256583832096E+16</v>
      </c>
      <c r="B174" s="20" t="s">
        <v>69</v>
      </c>
      <c r="C174" s="11" t="s">
        <v>52</v>
      </c>
      <c r="D174" s="13">
        <v>400055</v>
      </c>
      <c r="E174" s="13">
        <v>340600</v>
      </c>
      <c r="F174" s="11">
        <v>12</v>
      </c>
      <c r="G174" s="13">
        <v>138.392857142857</v>
      </c>
      <c r="H174" s="13">
        <v>18.535714285714199</v>
      </c>
      <c r="I174" s="13">
        <f t="shared" si="2"/>
        <v>156.92857142857119</v>
      </c>
      <c r="J174" s="14">
        <v>50.892857142857103</v>
      </c>
      <c r="K174" s="11" t="s">
        <v>41</v>
      </c>
    </row>
    <row r="175" spans="1:11" x14ac:dyDescent="0.25">
      <c r="A175" s="13">
        <v>8.7481796564603504E+16</v>
      </c>
      <c r="B175" s="20" t="s">
        <v>75</v>
      </c>
      <c r="C175" s="11" t="s">
        <v>16</v>
      </c>
      <c r="D175" s="13">
        <v>392240</v>
      </c>
      <c r="E175" s="13">
        <v>7117</v>
      </c>
      <c r="F175" s="11">
        <v>3</v>
      </c>
      <c r="G175" s="13">
        <v>151.45631067961099</v>
      </c>
      <c r="H175" s="13">
        <v>4.5436893203883502</v>
      </c>
      <c r="I175" s="13">
        <f t="shared" si="2"/>
        <v>155.99999999999935</v>
      </c>
      <c r="J175" s="14">
        <v>61.165048543689302</v>
      </c>
      <c r="K175" s="11" t="s">
        <v>12</v>
      </c>
    </row>
    <row r="176" spans="1:11" x14ac:dyDescent="0.25">
      <c r="A176" s="13">
        <v>8.7603039099933296E+16</v>
      </c>
      <c r="B176" s="20" t="s">
        <v>75</v>
      </c>
      <c r="C176" s="11" t="s">
        <v>52</v>
      </c>
      <c r="D176" s="13">
        <v>585103</v>
      </c>
      <c r="E176" s="13">
        <v>340600</v>
      </c>
      <c r="F176" s="11">
        <v>12</v>
      </c>
      <c r="G176" s="13">
        <v>153.57142857142799</v>
      </c>
      <c r="H176" s="13">
        <v>20.357142857142801</v>
      </c>
      <c r="I176" s="13">
        <f t="shared" si="2"/>
        <v>173.92857142857079</v>
      </c>
      <c r="J176" s="14">
        <v>50.892857142857103</v>
      </c>
      <c r="K176" s="11" t="s">
        <v>19</v>
      </c>
    </row>
    <row r="177" spans="1:11" x14ac:dyDescent="0.25">
      <c r="A177" s="13">
        <v>8.9060923345087296E+16</v>
      </c>
      <c r="B177" s="20" t="s">
        <v>70</v>
      </c>
      <c r="C177" s="11" t="s">
        <v>16</v>
      </c>
      <c r="D177" s="13">
        <v>171014</v>
      </c>
      <c r="E177" s="13">
        <v>340600</v>
      </c>
      <c r="F177" s="11">
        <v>12</v>
      </c>
      <c r="G177" s="13">
        <v>163.392857142857</v>
      </c>
      <c r="H177" s="13">
        <v>21.535714285714199</v>
      </c>
      <c r="I177" s="13">
        <f t="shared" si="2"/>
        <v>184.92857142857119</v>
      </c>
      <c r="J177" s="14">
        <v>50.892857142857103</v>
      </c>
      <c r="K177" s="11" t="s">
        <v>44</v>
      </c>
    </row>
    <row r="178" spans="1:11" x14ac:dyDescent="0.25">
      <c r="A178" s="13">
        <v>9.4003594564416304E+16</v>
      </c>
      <c r="B178" s="20" t="s">
        <v>81</v>
      </c>
      <c r="C178" s="11" t="s">
        <v>9</v>
      </c>
      <c r="D178" s="13">
        <v>326034</v>
      </c>
      <c r="E178" s="13">
        <v>7117</v>
      </c>
      <c r="F178" s="11">
        <v>3</v>
      </c>
      <c r="G178" s="13">
        <v>154.368932038834</v>
      </c>
      <c r="H178" s="13">
        <v>4.8349514563106801</v>
      </c>
      <c r="I178" s="13">
        <f t="shared" si="2"/>
        <v>159.20388349514468</v>
      </c>
      <c r="J178" s="14">
        <v>52.427184466019398</v>
      </c>
      <c r="K178" s="11" t="s">
        <v>46</v>
      </c>
    </row>
    <row r="179" spans="1:11" x14ac:dyDescent="0.25">
      <c r="A179" s="13">
        <v>8.5718399732929104E+16</v>
      </c>
      <c r="B179" s="20" t="s">
        <v>87</v>
      </c>
      <c r="C179" s="11" t="s">
        <v>16</v>
      </c>
      <c r="D179" s="13">
        <v>560037</v>
      </c>
      <c r="E179" s="13">
        <v>340600</v>
      </c>
      <c r="F179" s="11">
        <v>12</v>
      </c>
      <c r="G179" s="13">
        <v>163.392857142857</v>
      </c>
      <c r="H179" s="13">
        <v>21.535714285714199</v>
      </c>
      <c r="I179" s="13">
        <f t="shared" si="2"/>
        <v>184.92857142857119</v>
      </c>
      <c r="J179" s="14">
        <v>50.892857142857103</v>
      </c>
      <c r="K179" s="11" t="s">
        <v>19</v>
      </c>
    </row>
    <row r="180" spans="1:11" x14ac:dyDescent="0.25">
      <c r="A180" s="13">
        <v>9.0320364702040992E+16</v>
      </c>
      <c r="B180" s="20" t="s">
        <v>84</v>
      </c>
      <c r="C180" s="11" t="s">
        <v>52</v>
      </c>
      <c r="D180" s="13">
        <v>560078</v>
      </c>
      <c r="E180" s="13">
        <v>340600</v>
      </c>
      <c r="F180" s="11">
        <v>12</v>
      </c>
      <c r="G180" s="13">
        <v>147.32142857142799</v>
      </c>
      <c r="H180" s="13">
        <v>19.285714285714199</v>
      </c>
      <c r="I180" s="13">
        <f t="shared" si="2"/>
        <v>166.60714285714218</v>
      </c>
      <c r="J180" s="14">
        <v>40.178571428571402</v>
      </c>
      <c r="K180" s="11" t="s">
        <v>19</v>
      </c>
    </row>
    <row r="181" spans="1:11" x14ac:dyDescent="0.25">
      <c r="A181" s="13">
        <v>8.9474388311283008E+16</v>
      </c>
      <c r="B181" s="20" t="s">
        <v>77</v>
      </c>
      <c r="C181" s="11" t="s">
        <v>16</v>
      </c>
      <c r="D181" s="13">
        <v>700006</v>
      </c>
      <c r="E181" s="13">
        <v>340600</v>
      </c>
      <c r="F181" s="11">
        <v>12</v>
      </c>
      <c r="G181" s="13">
        <v>132.142857142857</v>
      </c>
      <c r="H181" s="13">
        <v>17.464285714285701</v>
      </c>
      <c r="I181" s="13">
        <f t="shared" si="2"/>
        <v>149.60714285714269</v>
      </c>
      <c r="J181" s="14">
        <v>40.178571428571402</v>
      </c>
      <c r="K181" s="11" t="s">
        <v>14</v>
      </c>
    </row>
    <row r="182" spans="1:11" x14ac:dyDescent="0.25">
      <c r="A182" s="13">
        <v>8.4505034389967392E+16</v>
      </c>
      <c r="B182" s="20" t="s">
        <v>88</v>
      </c>
      <c r="C182" s="11" t="s">
        <v>16</v>
      </c>
      <c r="D182" s="13">
        <v>226016</v>
      </c>
      <c r="E182" s="13">
        <v>7117</v>
      </c>
      <c r="F182" s="11">
        <v>3</v>
      </c>
      <c r="G182" s="13">
        <v>123.300970873786</v>
      </c>
      <c r="H182" s="13">
        <v>4.2233009708737903</v>
      </c>
      <c r="I182" s="13">
        <f t="shared" si="2"/>
        <v>127.52427184465979</v>
      </c>
      <c r="J182" s="14">
        <v>41.747572815533999</v>
      </c>
      <c r="K182" s="11" t="s">
        <v>10</v>
      </c>
    </row>
    <row r="183" spans="1:11" x14ac:dyDescent="0.25">
      <c r="A183" s="13">
        <v>8.9745675717956192E+16</v>
      </c>
      <c r="B183" s="20" t="s">
        <v>77</v>
      </c>
      <c r="C183" s="11" t="s">
        <v>16</v>
      </c>
      <c r="D183" s="13">
        <v>440034</v>
      </c>
      <c r="E183" s="13">
        <v>340600</v>
      </c>
      <c r="F183" s="11">
        <v>12</v>
      </c>
      <c r="G183" s="13">
        <v>163.392857142857</v>
      </c>
      <c r="H183" s="13">
        <v>19.607142857142801</v>
      </c>
      <c r="I183" s="13">
        <f t="shared" si="2"/>
        <v>182.9999999999998</v>
      </c>
      <c r="J183" s="14">
        <v>66.964285714285694</v>
      </c>
      <c r="K183" s="11" t="s">
        <v>41</v>
      </c>
    </row>
    <row r="184" spans="1:11" x14ac:dyDescent="0.25">
      <c r="A184" s="13">
        <v>8.9236241979675904E+16</v>
      </c>
      <c r="B184" s="20" t="s">
        <v>78</v>
      </c>
      <c r="C184" s="11" t="s">
        <v>25</v>
      </c>
      <c r="D184" s="13">
        <v>845401</v>
      </c>
      <c r="E184" s="13">
        <v>7117</v>
      </c>
      <c r="F184" s="11">
        <v>3</v>
      </c>
      <c r="G184" s="13">
        <v>166.01941747572801</v>
      </c>
      <c r="H184" s="13">
        <v>5.0388349514563098</v>
      </c>
      <c r="I184" s="13">
        <f t="shared" si="2"/>
        <v>171.05825242718433</v>
      </c>
      <c r="J184" s="14">
        <v>59.223300970873801</v>
      </c>
      <c r="K184" s="11" t="s">
        <v>22</v>
      </c>
    </row>
    <row r="185" spans="1:11" x14ac:dyDescent="0.25">
      <c r="A185" s="13">
        <v>8.4371889560736304E+16</v>
      </c>
      <c r="B185" s="20" t="s">
        <v>88</v>
      </c>
      <c r="C185" s="11" t="s">
        <v>16</v>
      </c>
      <c r="D185" s="13">
        <v>121002</v>
      </c>
      <c r="E185" s="13">
        <v>7117</v>
      </c>
      <c r="F185" s="11">
        <v>3</v>
      </c>
      <c r="G185" s="13">
        <v>137.864077669902</v>
      </c>
      <c r="H185" s="13">
        <v>4.8058252427184502</v>
      </c>
      <c r="I185" s="13">
        <f t="shared" si="2"/>
        <v>142.66990291262044</v>
      </c>
      <c r="J185" s="14">
        <v>36.893203883495197</v>
      </c>
      <c r="K185" s="11" t="s">
        <v>63</v>
      </c>
    </row>
    <row r="186" spans="1:11" x14ac:dyDescent="0.25">
      <c r="A186" s="13">
        <v>8.6810940902353696E+16</v>
      </c>
      <c r="B186" s="20" t="s">
        <v>90</v>
      </c>
      <c r="C186" s="11" t="s">
        <v>16</v>
      </c>
      <c r="D186" s="13">
        <v>801109</v>
      </c>
      <c r="E186" s="13">
        <v>7117</v>
      </c>
      <c r="F186" s="11">
        <v>3</v>
      </c>
      <c r="G186" s="13">
        <v>155.339805825242</v>
      </c>
      <c r="H186" s="13">
        <v>4.7475728155339798</v>
      </c>
      <c r="I186" s="13">
        <f t="shared" si="2"/>
        <v>160.08737864077597</v>
      </c>
      <c r="J186" s="14">
        <v>55.339805825242699</v>
      </c>
      <c r="K186" s="11" t="s">
        <v>22</v>
      </c>
    </row>
    <row r="187" spans="1:11" x14ac:dyDescent="0.25">
      <c r="A187" s="13">
        <v>8.9010898363999904E+16</v>
      </c>
      <c r="B187" s="20" t="s">
        <v>70</v>
      </c>
      <c r="C187" s="11" t="s">
        <v>25</v>
      </c>
      <c r="D187" s="13">
        <v>274702</v>
      </c>
      <c r="E187" s="13">
        <v>7117</v>
      </c>
      <c r="F187" s="11">
        <v>3</v>
      </c>
      <c r="G187" s="13">
        <v>150.485436893203</v>
      </c>
      <c r="H187" s="13">
        <v>4.8058252427184502</v>
      </c>
      <c r="I187" s="13">
        <f t="shared" si="2"/>
        <v>155.29126213592144</v>
      </c>
      <c r="J187" s="14">
        <v>49.514563106796103</v>
      </c>
      <c r="K187" s="11" t="s">
        <v>10</v>
      </c>
    </row>
    <row r="188" spans="1:11" x14ac:dyDescent="0.25">
      <c r="A188" s="13">
        <v>8.8894248221135392E+16</v>
      </c>
      <c r="B188" s="20" t="s">
        <v>70</v>
      </c>
      <c r="C188" s="11" t="s">
        <v>25</v>
      </c>
      <c r="D188" s="13">
        <v>208021</v>
      </c>
      <c r="E188" s="13">
        <v>7117</v>
      </c>
      <c r="F188" s="11">
        <v>3</v>
      </c>
      <c r="G188" s="13">
        <v>148.54368932038801</v>
      </c>
      <c r="H188" s="13">
        <v>4.7475728155339798</v>
      </c>
      <c r="I188" s="13">
        <f t="shared" si="2"/>
        <v>153.29126213592198</v>
      </c>
      <c r="J188" s="14">
        <v>58.252427184466001</v>
      </c>
      <c r="K188" s="11" t="s">
        <v>10</v>
      </c>
    </row>
    <row r="189" spans="1:11" x14ac:dyDescent="0.25">
      <c r="A189" s="13">
        <v>9.2256919742088E+16</v>
      </c>
      <c r="B189" s="20" t="s">
        <v>91</v>
      </c>
      <c r="C189" s="11" t="s">
        <v>25</v>
      </c>
      <c r="D189" s="13">
        <v>517501</v>
      </c>
      <c r="E189" s="13">
        <v>7117</v>
      </c>
      <c r="F189" s="11">
        <v>3</v>
      </c>
      <c r="G189" s="13">
        <v>124.27184466019401</v>
      </c>
      <c r="H189" s="13">
        <v>4.1650485436893199</v>
      </c>
      <c r="I189" s="13">
        <f t="shared" si="2"/>
        <v>128.43689320388333</v>
      </c>
      <c r="J189" s="14">
        <v>42.7184466019418</v>
      </c>
      <c r="K189" s="11" t="s">
        <v>39</v>
      </c>
    </row>
    <row r="190" spans="1:11" x14ac:dyDescent="0.25">
      <c r="A190" s="13">
        <v>9.0633607198677904E+16</v>
      </c>
      <c r="B190" s="20" t="s">
        <v>74</v>
      </c>
      <c r="C190" s="11" t="s">
        <v>21</v>
      </c>
      <c r="D190" s="13">
        <v>500011</v>
      </c>
      <c r="E190" s="13">
        <v>7117</v>
      </c>
      <c r="F190" s="11">
        <v>3</v>
      </c>
      <c r="G190" s="13">
        <v>161.16504854368901</v>
      </c>
      <c r="H190" s="13">
        <v>4.8349514563106801</v>
      </c>
      <c r="I190" s="13">
        <f t="shared" si="2"/>
        <v>165.99999999999969</v>
      </c>
      <c r="J190" s="14">
        <v>60.194174757281601</v>
      </c>
      <c r="K190" s="11" t="s">
        <v>53</v>
      </c>
    </row>
    <row r="191" spans="1:11" x14ac:dyDescent="0.25">
      <c r="A191" s="13">
        <v>8.90129478626148E+16</v>
      </c>
      <c r="B191" s="20" t="s">
        <v>70</v>
      </c>
      <c r="C191" s="11" t="s">
        <v>16</v>
      </c>
      <c r="D191" s="13">
        <v>641654</v>
      </c>
      <c r="E191" s="13">
        <v>7117</v>
      </c>
      <c r="F191" s="11">
        <v>3</v>
      </c>
      <c r="G191" s="13">
        <v>161.16504854368901</v>
      </c>
      <c r="H191" s="13">
        <v>4.8349514563106801</v>
      </c>
      <c r="I191" s="13">
        <f t="shared" si="2"/>
        <v>165.99999999999969</v>
      </c>
      <c r="J191" s="14">
        <v>59.223300970873801</v>
      </c>
      <c r="K191" s="11" t="s">
        <v>27</v>
      </c>
    </row>
    <row r="192" spans="1:11" x14ac:dyDescent="0.25">
      <c r="A192" s="13">
        <v>8.6718111627077296E+16</v>
      </c>
      <c r="B192" s="20" t="s">
        <v>90</v>
      </c>
      <c r="C192" s="11" t="s">
        <v>16</v>
      </c>
      <c r="D192" s="13">
        <v>201009</v>
      </c>
      <c r="E192" s="13">
        <v>7117</v>
      </c>
      <c r="F192" s="11">
        <v>3</v>
      </c>
      <c r="G192" s="13">
        <v>159.223300970873</v>
      </c>
      <c r="H192" s="13">
        <v>5.0679611650485397</v>
      </c>
      <c r="I192" s="13">
        <f t="shared" si="2"/>
        <v>164.29126213592153</v>
      </c>
      <c r="J192" s="14">
        <v>48.543689320388303</v>
      </c>
      <c r="K192" s="11" t="s">
        <v>10</v>
      </c>
    </row>
    <row r="193" spans="1:11" x14ac:dyDescent="0.25">
      <c r="A193" s="13">
        <v>8.88911766325932E+16</v>
      </c>
      <c r="B193" s="20" t="s">
        <v>70</v>
      </c>
      <c r="C193" s="11" t="s">
        <v>25</v>
      </c>
      <c r="D193" s="13">
        <v>143507</v>
      </c>
      <c r="E193" s="13">
        <v>340600</v>
      </c>
      <c r="F193" s="11">
        <v>12</v>
      </c>
      <c r="G193" s="13">
        <v>161.60714285714201</v>
      </c>
      <c r="H193" s="13">
        <v>20.357142857142801</v>
      </c>
      <c r="I193" s="13">
        <f t="shared" si="2"/>
        <v>181.96428571428481</v>
      </c>
      <c r="J193" s="14">
        <v>66.964285714285694</v>
      </c>
      <c r="K193" s="11" t="s">
        <v>17</v>
      </c>
    </row>
    <row r="194" spans="1:11" x14ac:dyDescent="0.25">
      <c r="A194" s="13">
        <v>8.6759625378165504E+16</v>
      </c>
      <c r="B194" s="20" t="s">
        <v>90</v>
      </c>
      <c r="C194" s="11" t="s">
        <v>21</v>
      </c>
      <c r="D194" s="13">
        <v>843313</v>
      </c>
      <c r="E194" s="13">
        <v>7117</v>
      </c>
      <c r="F194" s="11">
        <v>3</v>
      </c>
      <c r="G194" s="13">
        <v>158.252427184466</v>
      </c>
      <c r="H194" s="13">
        <v>4.7475728155339798</v>
      </c>
      <c r="I194" s="13">
        <f t="shared" si="2"/>
        <v>162.99999999999997</v>
      </c>
      <c r="J194" s="14">
        <v>58.252427184466001</v>
      </c>
      <c r="K194" s="11" t="s">
        <v>22</v>
      </c>
    </row>
    <row r="195" spans="1:11" x14ac:dyDescent="0.25">
      <c r="A195" s="13">
        <v>8.8576583222132896E+16</v>
      </c>
      <c r="B195" s="20" t="s">
        <v>69</v>
      </c>
      <c r="C195" s="11" t="s">
        <v>16</v>
      </c>
      <c r="D195" s="13">
        <v>302013</v>
      </c>
      <c r="E195" s="13">
        <v>7117</v>
      </c>
      <c r="F195" s="11">
        <v>3</v>
      </c>
      <c r="G195" s="13">
        <v>87.378640776699001</v>
      </c>
      <c r="H195" s="13">
        <v>3.4077669902912602</v>
      </c>
      <c r="I195" s="13">
        <f t="shared" ref="I195:I258" si="3">G195+H195</f>
        <v>90.786407766990266</v>
      </c>
      <c r="J195" s="14">
        <v>38.834951456310698</v>
      </c>
      <c r="K195" s="11" t="s">
        <v>46</v>
      </c>
    </row>
    <row r="196" spans="1:11" x14ac:dyDescent="0.25">
      <c r="A196" s="13">
        <v>9.0483273047704608E+16</v>
      </c>
      <c r="B196" s="20" t="s">
        <v>84</v>
      </c>
      <c r="C196" s="11" t="s">
        <v>16</v>
      </c>
      <c r="D196" s="13">
        <v>421204</v>
      </c>
      <c r="E196" s="13">
        <v>340600</v>
      </c>
      <c r="F196" s="11">
        <v>12</v>
      </c>
      <c r="G196" s="13">
        <v>196.42857142857099</v>
      </c>
      <c r="H196" s="13">
        <v>23.571428571428498</v>
      </c>
      <c r="I196" s="13">
        <f t="shared" si="3"/>
        <v>219.99999999999949</v>
      </c>
      <c r="J196" s="14">
        <v>66.964285714285694</v>
      </c>
      <c r="K196" s="11" t="s">
        <v>41</v>
      </c>
    </row>
    <row r="197" spans="1:11" x14ac:dyDescent="0.25">
      <c r="A197" s="13">
        <v>8.8959694748242496E+16</v>
      </c>
      <c r="B197" s="20" t="s">
        <v>70</v>
      </c>
      <c r="C197" s="11" t="s">
        <v>52</v>
      </c>
      <c r="D197" s="13">
        <v>110092</v>
      </c>
      <c r="E197" s="13">
        <v>340600</v>
      </c>
      <c r="F197" s="11">
        <v>12</v>
      </c>
      <c r="G197" s="13">
        <v>127.678571428571</v>
      </c>
      <c r="H197" s="13">
        <v>17.464285714285701</v>
      </c>
      <c r="I197" s="13">
        <f t="shared" si="3"/>
        <v>145.14285714285671</v>
      </c>
      <c r="J197" s="14">
        <v>35.714285714285701</v>
      </c>
      <c r="K197" s="11" t="s">
        <v>28</v>
      </c>
    </row>
    <row r="198" spans="1:11" x14ac:dyDescent="0.25">
      <c r="A198" s="13">
        <v>8.8301234395512992E+16</v>
      </c>
      <c r="B198" s="20" t="s">
        <v>68</v>
      </c>
      <c r="C198" s="11" t="s">
        <v>16</v>
      </c>
      <c r="D198" s="13">
        <v>700066</v>
      </c>
      <c r="E198" s="13">
        <v>7117</v>
      </c>
      <c r="F198" s="11">
        <v>3</v>
      </c>
      <c r="G198" s="13">
        <v>156.31067961164999</v>
      </c>
      <c r="H198" s="13">
        <v>4.6893203883495103</v>
      </c>
      <c r="I198" s="13">
        <f t="shared" si="3"/>
        <v>160.99999999999949</v>
      </c>
      <c r="J198" s="14">
        <v>59.223300970873801</v>
      </c>
      <c r="K198" s="11" t="s">
        <v>14</v>
      </c>
    </row>
    <row r="199" spans="1:11" x14ac:dyDescent="0.25">
      <c r="A199" s="13">
        <v>9.0379456057318304E+16</v>
      </c>
      <c r="B199" s="20" t="s">
        <v>84</v>
      </c>
      <c r="C199" s="11" t="s">
        <v>16</v>
      </c>
      <c r="D199" s="13">
        <v>271123</v>
      </c>
      <c r="E199" s="13">
        <v>7117</v>
      </c>
      <c r="F199" s="11">
        <v>3</v>
      </c>
      <c r="G199" s="13">
        <v>139.80582524271799</v>
      </c>
      <c r="H199" s="13">
        <v>4.4854368932038797</v>
      </c>
      <c r="I199" s="13">
        <f t="shared" si="3"/>
        <v>144.29126213592187</v>
      </c>
      <c r="J199" s="14">
        <v>49.514563106796103</v>
      </c>
      <c r="K199" s="11" t="s">
        <v>10</v>
      </c>
    </row>
    <row r="200" spans="1:11" x14ac:dyDescent="0.25">
      <c r="A200" s="13">
        <v>8.67824349182572E+16</v>
      </c>
      <c r="B200" s="20" t="s">
        <v>90</v>
      </c>
      <c r="C200" s="11" t="s">
        <v>21</v>
      </c>
      <c r="D200" s="13">
        <v>247129</v>
      </c>
      <c r="E200" s="13">
        <v>7117</v>
      </c>
      <c r="F200" s="11">
        <v>3</v>
      </c>
      <c r="G200" s="13">
        <v>150.485436893203</v>
      </c>
      <c r="H200" s="13">
        <v>4.8058252427184502</v>
      </c>
      <c r="I200" s="13">
        <f t="shared" si="3"/>
        <v>155.29126213592144</v>
      </c>
      <c r="J200" s="14">
        <v>49.514563106796103</v>
      </c>
      <c r="K200" s="11" t="s">
        <v>10</v>
      </c>
    </row>
    <row r="201" spans="1:11" x14ac:dyDescent="0.25">
      <c r="A201" s="13">
        <v>8.9070827820690304E+16</v>
      </c>
      <c r="B201" s="20" t="s">
        <v>78</v>
      </c>
      <c r="C201" s="11" t="s">
        <v>16</v>
      </c>
      <c r="D201" s="13">
        <v>211003</v>
      </c>
      <c r="E201" s="13">
        <v>340600</v>
      </c>
      <c r="F201" s="11">
        <v>12</v>
      </c>
      <c r="G201" s="13">
        <v>152.67857142857099</v>
      </c>
      <c r="H201" s="13">
        <v>19.607142857142801</v>
      </c>
      <c r="I201" s="13">
        <f t="shared" si="3"/>
        <v>172.28571428571379</v>
      </c>
      <c r="J201" s="14">
        <v>56.25</v>
      </c>
      <c r="K201" s="11" t="s">
        <v>10</v>
      </c>
    </row>
    <row r="202" spans="1:11" x14ac:dyDescent="0.25">
      <c r="A202" s="13">
        <v>9.0798776956781408E+16</v>
      </c>
      <c r="B202" s="20" t="s">
        <v>74</v>
      </c>
      <c r="C202" s="11" t="s">
        <v>16</v>
      </c>
      <c r="D202" s="13">
        <v>176092</v>
      </c>
      <c r="E202" s="13">
        <v>7117</v>
      </c>
      <c r="F202" s="11">
        <v>3</v>
      </c>
      <c r="G202" s="13">
        <v>148.54368932038801</v>
      </c>
      <c r="H202" s="13">
        <v>4.7475728155339798</v>
      </c>
      <c r="I202" s="13">
        <f t="shared" si="3"/>
        <v>153.29126213592198</v>
      </c>
      <c r="J202" s="14">
        <v>48.543689320388303</v>
      </c>
      <c r="K202" s="11" t="s">
        <v>44</v>
      </c>
    </row>
    <row r="203" spans="1:11" x14ac:dyDescent="0.25">
      <c r="A203" s="13">
        <v>8.68140689097688E+16</v>
      </c>
      <c r="B203" s="20" t="s">
        <v>90</v>
      </c>
      <c r="C203" s="11" t="s">
        <v>16</v>
      </c>
      <c r="D203" s="13">
        <v>457222</v>
      </c>
      <c r="E203" s="13">
        <v>7117</v>
      </c>
      <c r="F203" s="11">
        <v>3</v>
      </c>
      <c r="G203" s="13">
        <v>160.19417475728099</v>
      </c>
      <c r="H203" s="13">
        <v>4.8058252427184502</v>
      </c>
      <c r="I203" s="13">
        <f t="shared" si="3"/>
        <v>164.99999999999943</v>
      </c>
      <c r="J203" s="14">
        <v>59.223300970873801</v>
      </c>
      <c r="K203" s="11" t="s">
        <v>26</v>
      </c>
    </row>
    <row r="204" spans="1:11" x14ac:dyDescent="0.25">
      <c r="A204" s="13">
        <v>9.1550182575735808E+16</v>
      </c>
      <c r="B204" s="20" t="s">
        <v>92</v>
      </c>
      <c r="C204" s="11" t="s">
        <v>71</v>
      </c>
      <c r="D204" s="13">
        <v>223226</v>
      </c>
      <c r="E204" s="13">
        <v>7117</v>
      </c>
      <c r="F204" s="11">
        <v>3</v>
      </c>
      <c r="G204" s="13">
        <v>125.242718446601</v>
      </c>
      <c r="H204" s="13">
        <v>4.5145631067961203</v>
      </c>
      <c r="I204" s="13">
        <f t="shared" si="3"/>
        <v>129.75728155339712</v>
      </c>
      <c r="J204" s="14">
        <v>33.009708737864102</v>
      </c>
      <c r="K204" s="11" t="s">
        <v>10</v>
      </c>
    </row>
    <row r="205" spans="1:11" x14ac:dyDescent="0.25">
      <c r="A205" s="13">
        <v>8.68401359680636E+16</v>
      </c>
      <c r="B205" s="20" t="s">
        <v>90</v>
      </c>
      <c r="C205" s="11" t="s">
        <v>16</v>
      </c>
      <c r="D205" s="13">
        <v>400066</v>
      </c>
      <c r="E205" s="13">
        <v>340600</v>
      </c>
      <c r="F205" s="11">
        <v>12</v>
      </c>
      <c r="G205" s="13">
        <v>138.392857142857</v>
      </c>
      <c r="H205" s="13">
        <v>18.535714285714199</v>
      </c>
      <c r="I205" s="13">
        <f t="shared" si="3"/>
        <v>156.92857142857119</v>
      </c>
      <c r="J205" s="14">
        <v>50.892857142857103</v>
      </c>
      <c r="K205" s="11" t="s">
        <v>41</v>
      </c>
    </row>
    <row r="206" spans="1:11" x14ac:dyDescent="0.25">
      <c r="A206" s="13">
        <v>8.7903642174288704E+16</v>
      </c>
      <c r="B206" s="20" t="s">
        <v>76</v>
      </c>
      <c r="C206" s="11" t="s">
        <v>16</v>
      </c>
      <c r="D206" s="13">
        <v>800016</v>
      </c>
      <c r="E206" s="13">
        <v>340600</v>
      </c>
      <c r="F206" s="11">
        <v>12</v>
      </c>
      <c r="G206" s="13">
        <v>159.82142857142799</v>
      </c>
      <c r="H206" s="13">
        <v>21.857142857142801</v>
      </c>
      <c r="I206" s="13">
        <f t="shared" si="3"/>
        <v>181.67857142857079</v>
      </c>
      <c r="J206" s="14">
        <v>47.321428571428598</v>
      </c>
      <c r="K206" s="11" t="s">
        <v>22</v>
      </c>
    </row>
    <row r="207" spans="1:11" x14ac:dyDescent="0.25">
      <c r="A207" s="13">
        <v>8.6900428800979696E+16</v>
      </c>
      <c r="B207" s="20" t="s">
        <v>83</v>
      </c>
      <c r="C207" s="11" t="s">
        <v>71</v>
      </c>
      <c r="D207" s="13">
        <v>560087</v>
      </c>
      <c r="E207" s="13">
        <v>340600</v>
      </c>
      <c r="F207" s="11">
        <v>12</v>
      </c>
      <c r="G207" s="13">
        <v>147.32142857142799</v>
      </c>
      <c r="H207" s="13">
        <v>19.607142857142801</v>
      </c>
      <c r="I207" s="13">
        <f t="shared" si="3"/>
        <v>166.92857142857079</v>
      </c>
      <c r="J207" s="14">
        <v>50.892857142857103</v>
      </c>
      <c r="K207" s="11" t="s">
        <v>19</v>
      </c>
    </row>
    <row r="208" spans="1:11" x14ac:dyDescent="0.25">
      <c r="A208" s="13">
        <v>9.31567826211016E+16</v>
      </c>
      <c r="B208" s="20" t="s">
        <v>93</v>
      </c>
      <c r="C208" s="11" t="s">
        <v>9</v>
      </c>
      <c r="D208" s="13">
        <v>400066</v>
      </c>
      <c r="E208" s="13">
        <v>7117</v>
      </c>
      <c r="F208" s="11">
        <v>3</v>
      </c>
      <c r="G208" s="13">
        <v>169.90291262135901</v>
      </c>
      <c r="H208" s="13">
        <v>5.0970873786407802</v>
      </c>
      <c r="I208" s="13">
        <f t="shared" si="3"/>
        <v>174.9999999999998</v>
      </c>
      <c r="J208" s="14">
        <v>58.252427184466001</v>
      </c>
      <c r="K208" s="11" t="s">
        <v>41</v>
      </c>
    </row>
    <row r="209" spans="1:11" x14ac:dyDescent="0.25">
      <c r="A209" s="13">
        <v>8.93590429939468E+16</v>
      </c>
      <c r="B209" s="20" t="s">
        <v>78</v>
      </c>
      <c r="C209" s="11" t="s">
        <v>21</v>
      </c>
      <c r="D209" s="13">
        <v>585104</v>
      </c>
      <c r="E209" s="13">
        <v>340600</v>
      </c>
      <c r="F209" s="11">
        <v>12</v>
      </c>
      <c r="G209" s="13">
        <v>179.46428571428501</v>
      </c>
      <c r="H209" s="13">
        <v>21.535714285714199</v>
      </c>
      <c r="I209" s="13">
        <f t="shared" si="3"/>
        <v>200.9999999999992</v>
      </c>
      <c r="J209" s="14">
        <v>66.964285714285694</v>
      </c>
      <c r="K209" s="11" t="s">
        <v>19</v>
      </c>
    </row>
    <row r="210" spans="1:11" x14ac:dyDescent="0.25">
      <c r="A210" s="13">
        <v>9.0501349646148896E+16</v>
      </c>
      <c r="B210" s="20" t="s">
        <v>84</v>
      </c>
      <c r="C210" s="11" t="s">
        <v>16</v>
      </c>
      <c r="D210" s="13">
        <v>400053</v>
      </c>
      <c r="E210" s="13">
        <v>7117</v>
      </c>
      <c r="F210" s="11">
        <v>3</v>
      </c>
      <c r="G210" s="13">
        <v>142.718446601941</v>
      </c>
      <c r="H210" s="13">
        <v>4.8058252427184502</v>
      </c>
      <c r="I210" s="13">
        <f t="shared" si="3"/>
        <v>147.52427184465944</v>
      </c>
      <c r="J210" s="14">
        <v>41.747572815533999</v>
      </c>
      <c r="K210" s="11" t="s">
        <v>41</v>
      </c>
    </row>
    <row r="211" spans="1:11" x14ac:dyDescent="0.25">
      <c r="A211" s="13">
        <v>8.6169067086026E+16</v>
      </c>
      <c r="B211" s="20" t="s">
        <v>94</v>
      </c>
      <c r="C211" s="11" t="s">
        <v>16</v>
      </c>
      <c r="D211" s="13">
        <v>781026</v>
      </c>
      <c r="E211" s="13">
        <v>340600</v>
      </c>
      <c r="F211" s="11">
        <v>12</v>
      </c>
      <c r="G211" s="13">
        <v>162.5</v>
      </c>
      <c r="H211" s="13">
        <v>23.25</v>
      </c>
      <c r="I211" s="13">
        <f t="shared" si="3"/>
        <v>185.75</v>
      </c>
      <c r="J211" s="14">
        <v>66.071428571428598</v>
      </c>
      <c r="K211" s="11" t="s">
        <v>35</v>
      </c>
    </row>
    <row r="212" spans="1:11" x14ac:dyDescent="0.25">
      <c r="A212" s="13">
        <v>9.0497972085490592E+16</v>
      </c>
      <c r="B212" s="20" t="s">
        <v>84</v>
      </c>
      <c r="C212" s="11" t="s">
        <v>21</v>
      </c>
      <c r="D212" s="13">
        <v>110030</v>
      </c>
      <c r="E212" s="13">
        <v>7117</v>
      </c>
      <c r="F212" s="11">
        <v>3</v>
      </c>
      <c r="G212" s="13">
        <v>150.485436893203</v>
      </c>
      <c r="H212" s="13">
        <v>4.8058252427184502</v>
      </c>
      <c r="I212" s="13">
        <f t="shared" si="3"/>
        <v>155.29126213592144</v>
      </c>
      <c r="J212" s="14">
        <v>49.514563106796103</v>
      </c>
      <c r="K212" s="11" t="s">
        <v>28</v>
      </c>
    </row>
    <row r="213" spans="1:11" x14ac:dyDescent="0.25">
      <c r="A213" s="13">
        <v>9.14697843235952E+16</v>
      </c>
      <c r="B213" s="20" t="s">
        <v>92</v>
      </c>
      <c r="C213" s="11" t="s">
        <v>16</v>
      </c>
      <c r="D213" s="13">
        <v>274702</v>
      </c>
      <c r="E213" s="13">
        <v>7117</v>
      </c>
      <c r="F213" s="11">
        <v>3</v>
      </c>
      <c r="G213" s="13">
        <v>150.485436893203</v>
      </c>
      <c r="H213" s="13">
        <v>4.8058252427184502</v>
      </c>
      <c r="I213" s="13">
        <f t="shared" si="3"/>
        <v>155.29126213592144</v>
      </c>
      <c r="J213" s="14">
        <v>49.514563106796103</v>
      </c>
      <c r="K213" s="11" t="s">
        <v>10</v>
      </c>
    </row>
    <row r="214" spans="1:11" x14ac:dyDescent="0.25">
      <c r="A214" s="13">
        <v>8.6706459009807104E+16</v>
      </c>
      <c r="B214" s="20" t="s">
        <v>90</v>
      </c>
      <c r="C214" s="11" t="s">
        <v>25</v>
      </c>
      <c r="D214" s="13">
        <v>160101</v>
      </c>
      <c r="E214" s="13">
        <v>7117</v>
      </c>
      <c r="F214" s="11">
        <v>3</v>
      </c>
      <c r="G214" s="13">
        <v>130.09708737864</v>
      </c>
      <c r="H214" s="13">
        <v>4.1941747572815498</v>
      </c>
      <c r="I214" s="13">
        <f t="shared" si="3"/>
        <v>134.29126213592156</v>
      </c>
      <c r="J214" s="14">
        <v>58.252427184466001</v>
      </c>
      <c r="K214" s="11" t="s">
        <v>85</v>
      </c>
    </row>
    <row r="215" spans="1:11" x14ac:dyDescent="0.25">
      <c r="A215" s="13">
        <v>8.4353848744837296E+16</v>
      </c>
      <c r="B215" s="20" t="s">
        <v>88</v>
      </c>
      <c r="C215" s="11" t="s">
        <v>21</v>
      </c>
      <c r="D215" s="13">
        <v>302025</v>
      </c>
      <c r="E215" s="13">
        <v>711790</v>
      </c>
      <c r="F215" s="11">
        <v>3</v>
      </c>
      <c r="G215" s="13">
        <v>100.970873786407</v>
      </c>
      <c r="H215" s="13">
        <v>3.7281553398058298</v>
      </c>
      <c r="I215" s="13">
        <f t="shared" si="3"/>
        <v>104.69902912621282</v>
      </c>
      <c r="J215" s="14">
        <v>35.922330097087404</v>
      </c>
      <c r="K215" s="11" t="s">
        <v>46</v>
      </c>
    </row>
    <row r="216" spans="1:11" x14ac:dyDescent="0.25">
      <c r="A216" s="13">
        <v>8.67601143142744E+16</v>
      </c>
      <c r="B216" s="20" t="s">
        <v>90</v>
      </c>
      <c r="C216" s="11" t="s">
        <v>16</v>
      </c>
      <c r="D216" s="13">
        <v>841402</v>
      </c>
      <c r="E216" s="13">
        <v>7117</v>
      </c>
      <c r="F216" s="11">
        <v>3</v>
      </c>
      <c r="G216" s="13">
        <v>155.339805825242</v>
      </c>
      <c r="H216" s="13">
        <v>4.7475728155339798</v>
      </c>
      <c r="I216" s="13">
        <f t="shared" si="3"/>
        <v>160.08737864077597</v>
      </c>
      <c r="J216" s="14">
        <v>55.339805825242699</v>
      </c>
      <c r="K216" s="11" t="s">
        <v>22</v>
      </c>
    </row>
    <row r="217" spans="1:11" x14ac:dyDescent="0.25">
      <c r="A217" s="13">
        <v>8.9634719507084E+16</v>
      </c>
      <c r="B217" s="20" t="s">
        <v>77</v>
      </c>
      <c r="C217" s="11" t="s">
        <v>16</v>
      </c>
      <c r="D217" s="13">
        <v>562123</v>
      </c>
      <c r="E217" s="13">
        <v>7117</v>
      </c>
      <c r="F217" s="11">
        <v>3</v>
      </c>
      <c r="G217" s="13">
        <v>86.407766990291293</v>
      </c>
      <c r="H217" s="13">
        <v>3.1456310679611699</v>
      </c>
      <c r="I217" s="13">
        <f t="shared" si="3"/>
        <v>89.553398058252469</v>
      </c>
      <c r="J217" s="14">
        <v>41.747572815533999</v>
      </c>
      <c r="K217" s="11" t="s">
        <v>19</v>
      </c>
    </row>
    <row r="218" spans="1:11" x14ac:dyDescent="0.25">
      <c r="A218" s="13">
        <v>8.56282243914904E+16</v>
      </c>
      <c r="B218" s="20" t="s">
        <v>87</v>
      </c>
      <c r="C218" s="11" t="s">
        <v>16</v>
      </c>
      <c r="D218" s="13">
        <v>121008</v>
      </c>
      <c r="E218" s="13">
        <v>340600</v>
      </c>
      <c r="F218" s="11">
        <v>12</v>
      </c>
      <c r="G218" s="13">
        <v>135.71428571428501</v>
      </c>
      <c r="H218" s="13">
        <v>19.071428571428498</v>
      </c>
      <c r="I218" s="13">
        <f t="shared" si="3"/>
        <v>154.78571428571351</v>
      </c>
      <c r="J218" s="14">
        <v>43.75</v>
      </c>
      <c r="K218" s="11" t="s">
        <v>63</v>
      </c>
    </row>
    <row r="219" spans="1:11" x14ac:dyDescent="0.25">
      <c r="A219" s="13">
        <v>9.3613313297937296E+16</v>
      </c>
      <c r="B219" s="20" t="s">
        <v>86</v>
      </c>
      <c r="C219" s="11" t="s">
        <v>16</v>
      </c>
      <c r="D219" s="13">
        <v>474010</v>
      </c>
      <c r="E219" s="13">
        <v>7117</v>
      </c>
      <c r="F219" s="11">
        <v>3</v>
      </c>
      <c r="G219" s="13">
        <v>162.135922330097</v>
      </c>
      <c r="H219" s="13">
        <v>4.86407766990291</v>
      </c>
      <c r="I219" s="13">
        <f t="shared" si="3"/>
        <v>166.99999999999991</v>
      </c>
      <c r="J219" s="14">
        <v>59.223300970873801</v>
      </c>
      <c r="K219" s="11" t="s">
        <v>26</v>
      </c>
    </row>
    <row r="220" spans="1:11" x14ac:dyDescent="0.25">
      <c r="A220" s="13">
        <v>8.9437710890008704E+16</v>
      </c>
      <c r="B220" s="20" t="s">
        <v>77</v>
      </c>
      <c r="C220" s="11" t="s">
        <v>25</v>
      </c>
      <c r="D220" s="13">
        <v>402103</v>
      </c>
      <c r="E220" s="13">
        <v>7117</v>
      </c>
      <c r="F220" s="11">
        <v>3</v>
      </c>
      <c r="G220" s="13">
        <v>158.252427184466</v>
      </c>
      <c r="H220" s="13">
        <v>4.7475728155339798</v>
      </c>
      <c r="I220" s="13">
        <f t="shared" si="3"/>
        <v>162.99999999999997</v>
      </c>
      <c r="J220" s="14">
        <v>58.252427184466001</v>
      </c>
      <c r="K220" s="11" t="s">
        <v>41</v>
      </c>
    </row>
    <row r="221" spans="1:11" x14ac:dyDescent="0.25">
      <c r="A221" s="13">
        <v>9.2908734242393696E+16</v>
      </c>
      <c r="B221" s="20" t="s">
        <v>95</v>
      </c>
      <c r="C221" s="11" t="s">
        <v>16</v>
      </c>
      <c r="D221" s="13">
        <v>575007</v>
      </c>
      <c r="E221" s="13">
        <v>7117</v>
      </c>
      <c r="F221" s="11">
        <v>3</v>
      </c>
      <c r="G221" s="13">
        <v>142.718446601941</v>
      </c>
      <c r="H221" s="13">
        <v>4.8058252427184502</v>
      </c>
      <c r="I221" s="13">
        <f t="shared" si="3"/>
        <v>147.52427184465944</v>
      </c>
      <c r="J221" s="14">
        <v>39.805825242718498</v>
      </c>
      <c r="K221" s="11" t="s">
        <v>19</v>
      </c>
    </row>
    <row r="222" spans="1:11" x14ac:dyDescent="0.25">
      <c r="A222" s="13">
        <v>8.5182286928794208E+16</v>
      </c>
      <c r="B222" s="20" t="s">
        <v>96</v>
      </c>
      <c r="C222" s="11" t="s">
        <v>21</v>
      </c>
      <c r="D222" s="13">
        <v>844112</v>
      </c>
      <c r="E222" s="13">
        <v>7117</v>
      </c>
      <c r="F222" s="11">
        <v>3</v>
      </c>
      <c r="G222" s="13">
        <v>174.757281553398</v>
      </c>
      <c r="H222" s="13">
        <v>5.2427184466019403</v>
      </c>
      <c r="I222" s="13">
        <f t="shared" si="3"/>
        <v>179.99999999999994</v>
      </c>
      <c r="J222" s="14">
        <v>59.223300970873801</v>
      </c>
      <c r="K222" s="11" t="s">
        <v>22</v>
      </c>
    </row>
    <row r="223" spans="1:11" x14ac:dyDescent="0.25">
      <c r="A223" s="13">
        <v>8.3985322282775296E+16</v>
      </c>
      <c r="B223" s="20" t="s">
        <v>38</v>
      </c>
      <c r="C223" s="11" t="s">
        <v>25</v>
      </c>
      <c r="D223" s="13">
        <v>402103</v>
      </c>
      <c r="E223" s="13">
        <v>7117</v>
      </c>
      <c r="F223" s="11">
        <v>3</v>
      </c>
      <c r="G223" s="13">
        <v>158.252427184466</v>
      </c>
      <c r="H223" s="13">
        <v>4.7475728155339798</v>
      </c>
      <c r="I223" s="13">
        <f t="shared" si="3"/>
        <v>162.99999999999997</v>
      </c>
      <c r="J223" s="14">
        <v>58.252427184466001</v>
      </c>
      <c r="K223" s="11" t="s">
        <v>41</v>
      </c>
    </row>
    <row r="224" spans="1:11" x14ac:dyDescent="0.25">
      <c r="A224" s="13">
        <v>8.3770626091504192E+16</v>
      </c>
      <c r="B224" s="20" t="s">
        <v>38</v>
      </c>
      <c r="C224" s="11" t="s">
        <v>16</v>
      </c>
      <c r="D224" s="13">
        <v>560032</v>
      </c>
      <c r="E224" s="13">
        <v>7117</v>
      </c>
      <c r="F224" s="11">
        <v>3</v>
      </c>
      <c r="G224" s="13">
        <v>160.19417475728099</v>
      </c>
      <c r="H224" s="13">
        <v>4.8058252427184502</v>
      </c>
      <c r="I224" s="13">
        <f t="shared" si="3"/>
        <v>164.99999999999943</v>
      </c>
      <c r="J224" s="14">
        <v>59.223300970873801</v>
      </c>
      <c r="K224" s="11" t="s">
        <v>19</v>
      </c>
    </row>
    <row r="225" spans="1:11" x14ac:dyDescent="0.25">
      <c r="A225" s="13">
        <v>8.5718399732929104E+16</v>
      </c>
      <c r="B225" s="20" t="s">
        <v>87</v>
      </c>
      <c r="C225" s="11" t="s">
        <v>16</v>
      </c>
      <c r="D225" s="13">
        <v>560037</v>
      </c>
      <c r="E225" s="13">
        <v>340600</v>
      </c>
      <c r="F225" s="11">
        <v>12</v>
      </c>
      <c r="G225" s="13">
        <v>156.25</v>
      </c>
      <c r="H225" s="13">
        <v>20.678571428571399</v>
      </c>
      <c r="I225" s="13">
        <f t="shared" si="3"/>
        <v>176.92857142857139</v>
      </c>
      <c r="J225" s="14">
        <v>50.892857142857103</v>
      </c>
      <c r="K225" s="11" t="s">
        <v>19</v>
      </c>
    </row>
    <row r="226" spans="1:11" x14ac:dyDescent="0.25">
      <c r="A226" s="13">
        <v>8.6334952477524096E+16</v>
      </c>
      <c r="B226" s="20" t="s">
        <v>94</v>
      </c>
      <c r="C226" s="11" t="s">
        <v>16</v>
      </c>
      <c r="D226" s="13">
        <v>151204</v>
      </c>
      <c r="E226" s="13">
        <v>7117</v>
      </c>
      <c r="F226" s="11">
        <v>3</v>
      </c>
      <c r="G226" s="13">
        <v>165.04854368932001</v>
      </c>
      <c r="H226" s="13">
        <v>5.2427184466019403</v>
      </c>
      <c r="I226" s="13">
        <f t="shared" si="3"/>
        <v>170.29126213592195</v>
      </c>
      <c r="J226" s="14">
        <v>49.514563106796103</v>
      </c>
      <c r="K226" s="11" t="s">
        <v>17</v>
      </c>
    </row>
    <row r="227" spans="1:11" x14ac:dyDescent="0.25">
      <c r="A227" s="13">
        <v>9.3757092235523008E+16</v>
      </c>
      <c r="B227" s="20" t="s">
        <v>86</v>
      </c>
      <c r="C227" s="11" t="s">
        <v>9</v>
      </c>
      <c r="D227" s="13">
        <v>227806</v>
      </c>
      <c r="E227" s="13">
        <v>7117</v>
      </c>
      <c r="F227" s="11">
        <v>3</v>
      </c>
      <c r="G227" s="13">
        <v>153.39805825242701</v>
      </c>
      <c r="H227" s="13">
        <v>5.1262135922330101</v>
      </c>
      <c r="I227" s="13">
        <f t="shared" si="3"/>
        <v>158.52427184466001</v>
      </c>
      <c r="J227" s="14">
        <v>41.747572815533999</v>
      </c>
      <c r="K227" s="11" t="s">
        <v>10</v>
      </c>
    </row>
    <row r="228" spans="1:11" x14ac:dyDescent="0.25">
      <c r="A228" s="13">
        <v>9.1507482656644E+16</v>
      </c>
      <c r="B228" s="20" t="s">
        <v>92</v>
      </c>
      <c r="C228" s="11" t="s">
        <v>16</v>
      </c>
      <c r="D228" s="13">
        <v>396424</v>
      </c>
      <c r="E228" s="13">
        <v>7117</v>
      </c>
      <c r="F228" s="11">
        <v>3</v>
      </c>
      <c r="G228" s="13">
        <v>167.96116504854299</v>
      </c>
      <c r="H228" s="13">
        <v>5.0388349514563098</v>
      </c>
      <c r="I228" s="13">
        <f t="shared" si="3"/>
        <v>172.99999999999932</v>
      </c>
      <c r="J228" s="14">
        <v>59.223300970873801</v>
      </c>
      <c r="K228" s="11" t="s">
        <v>12</v>
      </c>
    </row>
    <row r="229" spans="1:11" x14ac:dyDescent="0.25">
      <c r="A229" s="13">
        <v>8.6698852085855008E+16</v>
      </c>
      <c r="B229" s="20" t="s">
        <v>90</v>
      </c>
      <c r="C229" s="11" t="s">
        <v>25</v>
      </c>
      <c r="D229" s="13">
        <v>402103</v>
      </c>
      <c r="E229" s="13">
        <v>7117</v>
      </c>
      <c r="F229" s="11">
        <v>3</v>
      </c>
      <c r="G229" s="13">
        <v>158.252427184466</v>
      </c>
      <c r="H229" s="13">
        <v>4.7475728155339798</v>
      </c>
      <c r="I229" s="13">
        <f t="shared" si="3"/>
        <v>162.99999999999997</v>
      </c>
      <c r="J229" s="14">
        <v>58.252427184466001</v>
      </c>
      <c r="K229" s="11" t="s">
        <v>41</v>
      </c>
    </row>
    <row r="230" spans="1:11" x14ac:dyDescent="0.25">
      <c r="A230" s="13">
        <v>9.4090755095606208E+16</v>
      </c>
      <c r="B230" s="20" t="s">
        <v>81</v>
      </c>
      <c r="C230" s="11" t="s">
        <v>25</v>
      </c>
      <c r="D230" s="13">
        <v>829117</v>
      </c>
      <c r="E230" s="13">
        <v>7117</v>
      </c>
      <c r="F230" s="11">
        <v>3</v>
      </c>
      <c r="G230" s="13">
        <v>161.16504854368901</v>
      </c>
      <c r="H230" s="13">
        <v>4.8349514563106801</v>
      </c>
      <c r="I230" s="13">
        <f t="shared" si="3"/>
        <v>165.99999999999969</v>
      </c>
      <c r="J230" s="14">
        <v>58.252427184466001</v>
      </c>
      <c r="K230" s="11" t="s">
        <v>37</v>
      </c>
    </row>
    <row r="231" spans="1:11" x14ac:dyDescent="0.25">
      <c r="A231" s="13">
        <v>8.9126041554660192E+16</v>
      </c>
      <c r="B231" s="20" t="s">
        <v>78</v>
      </c>
      <c r="C231" s="11" t="s">
        <v>52</v>
      </c>
      <c r="D231" s="13">
        <v>221010</v>
      </c>
      <c r="E231" s="13">
        <v>7117</v>
      </c>
      <c r="F231" s="11">
        <v>3</v>
      </c>
      <c r="G231" s="13">
        <v>150.485436893203</v>
      </c>
      <c r="H231" s="13">
        <v>4.8058252427184502</v>
      </c>
      <c r="I231" s="13">
        <f t="shared" si="3"/>
        <v>155.29126213592144</v>
      </c>
      <c r="J231" s="14">
        <v>49.514563106796103</v>
      </c>
      <c r="K231" s="11" t="s">
        <v>10</v>
      </c>
    </row>
    <row r="232" spans="1:11" x14ac:dyDescent="0.25">
      <c r="A232" s="13">
        <v>8.6756588597679392E+16</v>
      </c>
      <c r="B232" s="20" t="s">
        <v>90</v>
      </c>
      <c r="C232" s="11" t="s">
        <v>25</v>
      </c>
      <c r="D232" s="13">
        <v>431203</v>
      </c>
      <c r="E232" s="13">
        <v>7117</v>
      </c>
      <c r="F232" s="11">
        <v>3</v>
      </c>
      <c r="G232" s="13">
        <v>158.252427184466</v>
      </c>
      <c r="H232" s="13">
        <v>4.7475728155339798</v>
      </c>
      <c r="I232" s="13">
        <f t="shared" si="3"/>
        <v>162.99999999999997</v>
      </c>
      <c r="J232" s="14">
        <v>58.252427184466001</v>
      </c>
      <c r="K232" s="11" t="s">
        <v>41</v>
      </c>
    </row>
    <row r="233" spans="1:11" x14ac:dyDescent="0.25">
      <c r="A233" s="13">
        <v>8.50164898246048E+16</v>
      </c>
      <c r="B233" s="20" t="s">
        <v>89</v>
      </c>
      <c r="C233" s="11" t="s">
        <v>16</v>
      </c>
      <c r="D233" s="13">
        <v>110091</v>
      </c>
      <c r="E233" s="13">
        <v>7117</v>
      </c>
      <c r="F233" s="11">
        <v>3</v>
      </c>
      <c r="G233" s="13">
        <v>128.15533980582501</v>
      </c>
      <c r="H233" s="13">
        <v>4.13592233009709</v>
      </c>
      <c r="I233" s="13">
        <f t="shared" si="3"/>
        <v>132.2912621359221</v>
      </c>
      <c r="J233" s="14">
        <v>49.514563106796103</v>
      </c>
      <c r="K233" s="11" t="s">
        <v>28</v>
      </c>
    </row>
    <row r="234" spans="1:11" x14ac:dyDescent="0.25">
      <c r="A234" s="13">
        <v>9.2781445912654704E+16</v>
      </c>
      <c r="B234" s="20" t="s">
        <v>95</v>
      </c>
      <c r="C234" s="11" t="s">
        <v>21</v>
      </c>
      <c r="D234" s="13">
        <v>221306</v>
      </c>
      <c r="E234" s="13">
        <v>7117</v>
      </c>
      <c r="F234" s="11">
        <v>3</v>
      </c>
      <c r="G234" s="13">
        <v>158.252427184466</v>
      </c>
      <c r="H234" s="13">
        <v>5.0388349514563098</v>
      </c>
      <c r="I234" s="13">
        <f t="shared" si="3"/>
        <v>163.29126213592232</v>
      </c>
      <c r="J234" s="14">
        <v>49.514563106796103</v>
      </c>
      <c r="K234" s="11" t="s">
        <v>10</v>
      </c>
    </row>
    <row r="235" spans="1:11" x14ac:dyDescent="0.25">
      <c r="A235" s="13">
        <v>9.3576035716494208E+16</v>
      </c>
      <c r="B235" s="20" t="s">
        <v>86</v>
      </c>
      <c r="C235" s="11" t="s">
        <v>16</v>
      </c>
      <c r="D235" s="13">
        <v>474010</v>
      </c>
      <c r="E235" s="13">
        <v>7117</v>
      </c>
      <c r="F235" s="11">
        <v>3</v>
      </c>
      <c r="G235" s="13">
        <v>162.135922330097</v>
      </c>
      <c r="H235" s="13">
        <v>4.86407766990291</v>
      </c>
      <c r="I235" s="13">
        <f t="shared" si="3"/>
        <v>166.99999999999991</v>
      </c>
      <c r="J235" s="14">
        <v>59.223300970873801</v>
      </c>
      <c r="K235" s="11" t="s">
        <v>26</v>
      </c>
    </row>
    <row r="236" spans="1:11" x14ac:dyDescent="0.25">
      <c r="A236" s="13">
        <v>8.7473244919698704E+16</v>
      </c>
      <c r="B236" s="20" t="s">
        <v>75</v>
      </c>
      <c r="C236" s="11" t="s">
        <v>25</v>
      </c>
      <c r="D236" s="13">
        <v>587101</v>
      </c>
      <c r="E236" s="13">
        <v>340600</v>
      </c>
      <c r="F236" s="11">
        <v>12</v>
      </c>
      <c r="G236" s="13">
        <v>179.46428571428501</v>
      </c>
      <c r="H236" s="13">
        <v>21.535714285714199</v>
      </c>
      <c r="I236" s="13">
        <f t="shared" si="3"/>
        <v>200.9999999999992</v>
      </c>
      <c r="J236" s="14">
        <v>66.964285714285694</v>
      </c>
      <c r="K236" s="11" t="s">
        <v>19</v>
      </c>
    </row>
    <row r="237" spans="1:11" x14ac:dyDescent="0.25">
      <c r="A237" s="13">
        <v>8.8661904223513408E+16</v>
      </c>
      <c r="B237" s="20" t="s">
        <v>69</v>
      </c>
      <c r="C237" s="11" t="s">
        <v>16</v>
      </c>
      <c r="D237" s="13">
        <v>143109</v>
      </c>
      <c r="E237" s="13">
        <v>340600</v>
      </c>
      <c r="F237" s="11">
        <v>12</v>
      </c>
      <c r="G237" s="13">
        <v>161.60714285714201</v>
      </c>
      <c r="H237" s="13">
        <v>20.357142857142801</v>
      </c>
      <c r="I237" s="13">
        <f t="shared" si="3"/>
        <v>181.96428571428481</v>
      </c>
      <c r="J237" s="14">
        <v>58.928571428571402</v>
      </c>
      <c r="K237" s="11" t="s">
        <v>17</v>
      </c>
    </row>
    <row r="238" spans="1:11" x14ac:dyDescent="0.25">
      <c r="A238" s="13">
        <v>8.4682938328427296E+16</v>
      </c>
      <c r="B238" s="20" t="s">
        <v>88</v>
      </c>
      <c r="C238" s="11" t="s">
        <v>52</v>
      </c>
      <c r="D238" s="13">
        <v>495557</v>
      </c>
      <c r="E238" s="13">
        <v>7117</v>
      </c>
      <c r="F238" s="11">
        <v>3</v>
      </c>
      <c r="G238" s="13">
        <v>240.77669902912601</v>
      </c>
      <c r="H238" s="13">
        <v>8.2718446601941693</v>
      </c>
      <c r="I238" s="13">
        <f t="shared" si="3"/>
        <v>249.04854368932018</v>
      </c>
      <c r="J238" s="14">
        <v>81.553398058252398</v>
      </c>
      <c r="K238" s="11" t="s">
        <v>23</v>
      </c>
    </row>
    <row r="239" spans="1:11" x14ac:dyDescent="0.25">
      <c r="A239" s="13">
        <v>9.2487542268107696E+16</v>
      </c>
      <c r="B239" s="20" t="s">
        <v>80</v>
      </c>
      <c r="C239" s="11" t="s">
        <v>16</v>
      </c>
      <c r="D239" s="13">
        <v>211019</v>
      </c>
      <c r="E239" s="13">
        <v>7117</v>
      </c>
      <c r="F239" s="11">
        <v>3</v>
      </c>
      <c r="G239" s="13">
        <v>160.19417475728099</v>
      </c>
      <c r="H239" s="13">
        <v>5.0970873786407802</v>
      </c>
      <c r="I239" s="13">
        <f t="shared" si="3"/>
        <v>165.29126213592178</v>
      </c>
      <c r="J239" s="14">
        <v>48.543689320388303</v>
      </c>
      <c r="K239" s="11" t="s">
        <v>10</v>
      </c>
    </row>
    <row r="240" spans="1:11" x14ac:dyDescent="0.25">
      <c r="A240" s="13">
        <v>8.8318998165049904E+16</v>
      </c>
      <c r="B240" s="20" t="s">
        <v>68</v>
      </c>
      <c r="C240" s="11" t="s">
        <v>16</v>
      </c>
      <c r="D240" s="13">
        <v>844503</v>
      </c>
      <c r="E240" s="13">
        <v>7117</v>
      </c>
      <c r="F240" s="11">
        <v>3</v>
      </c>
      <c r="G240" s="13">
        <v>139.80582524271799</v>
      </c>
      <c r="H240" s="13">
        <v>4.1941747572815498</v>
      </c>
      <c r="I240" s="13">
        <f t="shared" si="3"/>
        <v>143.99999999999955</v>
      </c>
      <c r="J240" s="14">
        <v>58.252427184466001</v>
      </c>
      <c r="K240" s="11" t="s">
        <v>22</v>
      </c>
    </row>
    <row r="241" spans="1:11" x14ac:dyDescent="0.25">
      <c r="A241" s="13">
        <v>9.0660147026494304E+16</v>
      </c>
      <c r="B241" s="20" t="s">
        <v>74</v>
      </c>
      <c r="C241" s="11" t="s">
        <v>25</v>
      </c>
      <c r="D241" s="13">
        <v>824102</v>
      </c>
      <c r="E241" s="13">
        <v>7117</v>
      </c>
      <c r="F241" s="11">
        <v>3</v>
      </c>
      <c r="G241" s="13">
        <v>141.747572815534</v>
      </c>
      <c r="H241" s="13">
        <v>4.8058252427184502</v>
      </c>
      <c r="I241" s="13">
        <f t="shared" si="3"/>
        <v>146.55339805825244</v>
      </c>
      <c r="J241" s="14">
        <v>40.776699029126199</v>
      </c>
      <c r="K241" s="11" t="s">
        <v>22</v>
      </c>
    </row>
    <row r="242" spans="1:11" x14ac:dyDescent="0.25">
      <c r="A242" s="13">
        <v>8.84834089007724E+16</v>
      </c>
      <c r="B242" s="20" t="s">
        <v>69</v>
      </c>
      <c r="C242" s="11" t="s">
        <v>16</v>
      </c>
      <c r="D242" s="13">
        <v>243726</v>
      </c>
      <c r="E242" s="13">
        <v>7117</v>
      </c>
      <c r="F242" s="11">
        <v>3</v>
      </c>
      <c r="G242" s="13">
        <v>156.31067961164999</v>
      </c>
      <c r="H242" s="13">
        <v>4.9805825242718402</v>
      </c>
      <c r="I242" s="13">
        <f t="shared" si="3"/>
        <v>161.29126213592184</v>
      </c>
      <c r="J242" s="14">
        <v>49.514563106796103</v>
      </c>
      <c r="K242" s="11" t="s">
        <v>10</v>
      </c>
    </row>
    <row r="243" spans="1:11" x14ac:dyDescent="0.25">
      <c r="A243" s="13">
        <v>8.6358213464879904E+16</v>
      </c>
      <c r="B243" s="20" t="s">
        <v>94</v>
      </c>
      <c r="C243" s="11" t="s">
        <v>16</v>
      </c>
      <c r="D243" s="13">
        <v>210204</v>
      </c>
      <c r="E243" s="13">
        <v>7117</v>
      </c>
      <c r="F243" s="11">
        <v>3</v>
      </c>
      <c r="G243" s="13">
        <v>165.04854368932001</v>
      </c>
      <c r="H243" s="13">
        <v>5.2427184466019403</v>
      </c>
      <c r="I243" s="13">
        <f t="shared" si="3"/>
        <v>170.29126213592195</v>
      </c>
      <c r="J243" s="14">
        <v>49.514563106796103</v>
      </c>
      <c r="K243" s="11" t="s">
        <v>10</v>
      </c>
    </row>
    <row r="244" spans="1:11" x14ac:dyDescent="0.25">
      <c r="A244" s="13">
        <v>8.8624324156200192E+16</v>
      </c>
      <c r="B244" s="20" t="s">
        <v>69</v>
      </c>
      <c r="C244" s="11" t="s">
        <v>25</v>
      </c>
      <c r="D244" s="13">
        <v>185211</v>
      </c>
      <c r="E244" s="13">
        <v>7117</v>
      </c>
      <c r="F244" s="11">
        <v>3</v>
      </c>
      <c r="G244" s="13">
        <v>158.252427184466</v>
      </c>
      <c r="H244" s="13">
        <v>4.7475728155339798</v>
      </c>
      <c r="I244" s="13">
        <f t="shared" si="3"/>
        <v>162.99999999999997</v>
      </c>
      <c r="J244" s="14">
        <v>58.252427184466001</v>
      </c>
      <c r="K244" s="11" t="s">
        <v>56</v>
      </c>
    </row>
    <row r="245" spans="1:11" x14ac:dyDescent="0.25">
      <c r="A245" s="13">
        <v>8.3817417428047104E+16</v>
      </c>
      <c r="B245" s="20" t="s">
        <v>38</v>
      </c>
      <c r="C245" s="11" t="s">
        <v>16</v>
      </c>
      <c r="D245" s="13">
        <v>791109</v>
      </c>
      <c r="E245" s="13">
        <v>340600</v>
      </c>
      <c r="F245" s="11">
        <v>12</v>
      </c>
      <c r="G245" s="13">
        <v>219.642857142857</v>
      </c>
      <c r="H245" s="13">
        <v>26.357142857142801</v>
      </c>
      <c r="I245" s="13">
        <f t="shared" si="3"/>
        <v>245.9999999999998</v>
      </c>
      <c r="J245" s="14">
        <v>96.428571428571402</v>
      </c>
      <c r="K245" s="11" t="s">
        <v>97</v>
      </c>
    </row>
    <row r="246" spans="1:11" x14ac:dyDescent="0.25">
      <c r="A246" s="13">
        <v>9.3300070548278896E+16</v>
      </c>
      <c r="B246" s="20" t="s">
        <v>93</v>
      </c>
      <c r="C246" s="11" t="s">
        <v>25</v>
      </c>
      <c r="D246" s="13">
        <v>400068</v>
      </c>
      <c r="E246" s="13">
        <v>7117</v>
      </c>
      <c r="F246" s="11">
        <v>3</v>
      </c>
      <c r="G246" s="13">
        <v>136.893203883495</v>
      </c>
      <c r="H246" s="13">
        <v>4.6310679611650496</v>
      </c>
      <c r="I246" s="13">
        <f t="shared" si="3"/>
        <v>141.52427184466006</v>
      </c>
      <c r="J246" s="14">
        <v>57.2815533980583</v>
      </c>
      <c r="K246" s="11" t="s">
        <v>41</v>
      </c>
    </row>
    <row r="247" spans="1:11" x14ac:dyDescent="0.25">
      <c r="A247" s="13">
        <v>8.9664711197070592E+16</v>
      </c>
      <c r="B247" s="20" t="s">
        <v>77</v>
      </c>
      <c r="C247" s="11" t="s">
        <v>16</v>
      </c>
      <c r="D247" s="13">
        <v>122004</v>
      </c>
      <c r="E247" s="13">
        <v>340600</v>
      </c>
      <c r="F247" s="11">
        <v>12</v>
      </c>
      <c r="G247" s="13">
        <v>126.78571428571399</v>
      </c>
      <c r="H247" s="13">
        <v>19.607142857142801</v>
      </c>
      <c r="I247" s="13">
        <f t="shared" si="3"/>
        <v>146.3928571428568</v>
      </c>
      <c r="J247" s="14">
        <v>30.3571428571429</v>
      </c>
      <c r="K247" s="11" t="s">
        <v>63</v>
      </c>
    </row>
    <row r="248" spans="1:11" x14ac:dyDescent="0.25">
      <c r="A248" s="13">
        <v>8.6421417232426592E+16</v>
      </c>
      <c r="B248" s="20" t="s">
        <v>94</v>
      </c>
      <c r="C248" s="11" t="s">
        <v>16</v>
      </c>
      <c r="D248" s="13">
        <v>475671</v>
      </c>
      <c r="E248" s="13">
        <v>7117</v>
      </c>
      <c r="F248" s="11">
        <v>3</v>
      </c>
      <c r="G248" s="13">
        <v>155.339805825242</v>
      </c>
      <c r="H248" s="13">
        <v>4.6601941747572804</v>
      </c>
      <c r="I248" s="13">
        <f t="shared" si="3"/>
        <v>159.99999999999929</v>
      </c>
      <c r="J248" s="14">
        <v>58.252427184466001</v>
      </c>
      <c r="K248" s="11" t="s">
        <v>26</v>
      </c>
    </row>
    <row r="249" spans="1:11" x14ac:dyDescent="0.25">
      <c r="A249" s="13">
        <v>8.7572441255084192E+16</v>
      </c>
      <c r="B249" s="20" t="s">
        <v>75</v>
      </c>
      <c r="C249" s="11" t="s">
        <v>16</v>
      </c>
      <c r="D249" s="13">
        <v>688535</v>
      </c>
      <c r="E249" s="13">
        <v>340600</v>
      </c>
      <c r="F249" s="11">
        <v>12</v>
      </c>
      <c r="G249" s="13">
        <v>179.46428571428501</v>
      </c>
      <c r="H249" s="13">
        <v>21.535714285714199</v>
      </c>
      <c r="I249" s="13">
        <f t="shared" si="3"/>
        <v>200.9999999999992</v>
      </c>
      <c r="J249" s="14">
        <v>66.964285714285694</v>
      </c>
      <c r="K249" s="11" t="s">
        <v>98</v>
      </c>
    </row>
    <row r="250" spans="1:11" x14ac:dyDescent="0.25">
      <c r="A250" s="13">
        <v>8.9806364936383296E+16</v>
      </c>
      <c r="B250" s="20" t="s">
        <v>82</v>
      </c>
      <c r="C250" s="11" t="s">
        <v>16</v>
      </c>
      <c r="D250" s="13">
        <v>110091</v>
      </c>
      <c r="E250" s="13">
        <v>7117</v>
      </c>
      <c r="F250" s="11">
        <v>18</v>
      </c>
      <c r="G250" s="13">
        <v>94.067796610169495</v>
      </c>
      <c r="H250" s="13">
        <v>20.593220338982999</v>
      </c>
      <c r="I250" s="13">
        <f t="shared" si="3"/>
        <v>114.6610169491525</v>
      </c>
      <c r="J250" s="14">
        <v>33.0508474576271</v>
      </c>
      <c r="K250" s="11" t="s">
        <v>28</v>
      </c>
    </row>
    <row r="251" spans="1:11" x14ac:dyDescent="0.25">
      <c r="A251" s="13">
        <v>8.53306949093916E+16</v>
      </c>
      <c r="B251" s="20" t="s">
        <v>96</v>
      </c>
      <c r="C251" s="11" t="s">
        <v>16</v>
      </c>
      <c r="D251" s="13">
        <v>335001</v>
      </c>
      <c r="E251" s="13">
        <v>7117</v>
      </c>
      <c r="F251" s="11">
        <v>3</v>
      </c>
      <c r="G251" s="13">
        <v>137.864077669902</v>
      </c>
      <c r="H251" s="13">
        <v>4.8058252427184502</v>
      </c>
      <c r="I251" s="13">
        <f t="shared" si="3"/>
        <v>142.66990291262044</v>
      </c>
      <c r="J251" s="14">
        <v>36.893203883495197</v>
      </c>
      <c r="K251" s="11" t="s">
        <v>46</v>
      </c>
    </row>
    <row r="252" spans="1:11" x14ac:dyDescent="0.25">
      <c r="A252" s="13">
        <v>8.7155945264256304E+16</v>
      </c>
      <c r="B252" s="20" t="s">
        <v>83</v>
      </c>
      <c r="C252" s="11" t="s">
        <v>16</v>
      </c>
      <c r="D252" s="13">
        <v>412115</v>
      </c>
      <c r="E252" s="13">
        <v>7117</v>
      </c>
      <c r="F252" s="11">
        <v>3</v>
      </c>
      <c r="G252" s="13">
        <v>166.01941747572801</v>
      </c>
      <c r="H252" s="13">
        <v>4.9805825242718402</v>
      </c>
      <c r="I252" s="13">
        <f t="shared" si="3"/>
        <v>170.99999999999986</v>
      </c>
      <c r="J252" s="14">
        <v>59.223300970873801</v>
      </c>
      <c r="K252" s="11" t="s">
        <v>41</v>
      </c>
    </row>
    <row r="253" spans="1:11" x14ac:dyDescent="0.25">
      <c r="A253" s="13">
        <v>8.8246631507394704E+16</v>
      </c>
      <c r="B253" s="20" t="s">
        <v>68</v>
      </c>
      <c r="C253" s="11" t="s">
        <v>16</v>
      </c>
      <c r="D253" s="13">
        <v>208011</v>
      </c>
      <c r="E253" s="13">
        <v>340600</v>
      </c>
      <c r="F253" s="11">
        <v>12</v>
      </c>
      <c r="G253" s="13">
        <v>154.46428571428501</v>
      </c>
      <c r="H253" s="13">
        <v>21.535714285714199</v>
      </c>
      <c r="I253" s="13">
        <f t="shared" si="3"/>
        <v>175.9999999999992</v>
      </c>
      <c r="J253" s="14">
        <v>41.964285714285701</v>
      </c>
      <c r="K253" s="11" t="s">
        <v>10</v>
      </c>
    </row>
    <row r="254" spans="1:11" x14ac:dyDescent="0.25">
      <c r="A254" s="13">
        <v>9.11142292478044E+16</v>
      </c>
      <c r="B254" s="20" t="s">
        <v>99</v>
      </c>
      <c r="C254" s="11" t="s">
        <v>16</v>
      </c>
      <c r="D254" s="13">
        <v>803116</v>
      </c>
      <c r="E254" s="13">
        <v>7117</v>
      </c>
      <c r="F254" s="11">
        <v>3</v>
      </c>
      <c r="G254" s="13">
        <v>165.04854368932001</v>
      </c>
      <c r="H254" s="13">
        <v>4.9514563106796103</v>
      </c>
      <c r="I254" s="13">
        <f t="shared" si="3"/>
        <v>169.99999999999963</v>
      </c>
      <c r="J254" s="14">
        <v>58.252427184466001</v>
      </c>
      <c r="K254" s="11" t="s">
        <v>22</v>
      </c>
    </row>
    <row r="255" spans="1:11" x14ac:dyDescent="0.25">
      <c r="A255" s="13">
        <v>8.7053253587118896E+16</v>
      </c>
      <c r="B255" s="20" t="s">
        <v>83</v>
      </c>
      <c r="C255" s="11" t="s">
        <v>21</v>
      </c>
      <c r="D255" s="13">
        <v>486001</v>
      </c>
      <c r="E255" s="13">
        <v>7117</v>
      </c>
      <c r="F255" s="11">
        <v>3</v>
      </c>
      <c r="G255" s="13">
        <v>155.339805825242</v>
      </c>
      <c r="H255" s="13">
        <v>4.7475728155339798</v>
      </c>
      <c r="I255" s="13">
        <f t="shared" si="3"/>
        <v>160.08737864077597</v>
      </c>
      <c r="J255" s="14">
        <v>55.339805825242699</v>
      </c>
      <c r="K255" s="11" t="s">
        <v>26</v>
      </c>
    </row>
    <row r="256" spans="1:11" x14ac:dyDescent="0.25">
      <c r="A256" s="13">
        <v>9.4352684262130592E+16</v>
      </c>
      <c r="B256" s="20" t="s">
        <v>100</v>
      </c>
      <c r="C256" s="11" t="s">
        <v>33</v>
      </c>
      <c r="D256" s="13">
        <v>110042</v>
      </c>
      <c r="E256" s="13">
        <v>7117</v>
      </c>
      <c r="F256" s="11">
        <v>3</v>
      </c>
      <c r="G256" s="13">
        <v>128.15533980582501</v>
      </c>
      <c r="H256" s="13">
        <v>4.13592233009709</v>
      </c>
      <c r="I256" s="13">
        <f t="shared" si="3"/>
        <v>132.2912621359221</v>
      </c>
      <c r="J256" s="14">
        <v>48.543689320388303</v>
      </c>
      <c r="K256" s="11" t="s">
        <v>28</v>
      </c>
    </row>
    <row r="257" spans="1:11" x14ac:dyDescent="0.25">
      <c r="A257" s="13">
        <v>8.9253134354019104E+16</v>
      </c>
      <c r="B257" s="20" t="s">
        <v>78</v>
      </c>
      <c r="C257" s="11" t="s">
        <v>25</v>
      </c>
      <c r="D257" s="13">
        <v>522101</v>
      </c>
      <c r="E257" s="13">
        <v>7117</v>
      </c>
      <c r="F257" s="11">
        <v>3</v>
      </c>
      <c r="G257" s="13">
        <v>142.718446601941</v>
      </c>
      <c r="H257" s="13">
        <v>4.8058252427184502</v>
      </c>
      <c r="I257" s="13">
        <f t="shared" si="3"/>
        <v>147.52427184465944</v>
      </c>
      <c r="J257" s="14">
        <v>59.223300970873801</v>
      </c>
      <c r="K257" s="11" t="s">
        <v>39</v>
      </c>
    </row>
    <row r="258" spans="1:11" x14ac:dyDescent="0.25">
      <c r="A258" s="13">
        <v>8.9399047795736704E+16</v>
      </c>
      <c r="B258" s="20" t="s">
        <v>78</v>
      </c>
      <c r="C258" s="11" t="s">
        <v>21</v>
      </c>
      <c r="D258" s="13">
        <v>456664</v>
      </c>
      <c r="E258" s="13">
        <v>7117</v>
      </c>
      <c r="F258" s="11">
        <v>3</v>
      </c>
      <c r="G258" s="13">
        <v>158.252427184466</v>
      </c>
      <c r="H258" s="13">
        <v>4.7475728155339798</v>
      </c>
      <c r="I258" s="13">
        <f t="shared" si="3"/>
        <v>162.99999999999997</v>
      </c>
      <c r="J258" s="14">
        <v>58.252427184466001</v>
      </c>
      <c r="K258" s="11" t="s">
        <v>26</v>
      </c>
    </row>
    <row r="259" spans="1:11" x14ac:dyDescent="0.25">
      <c r="A259" s="13">
        <v>8.67056258467432E+16</v>
      </c>
      <c r="B259" s="20" t="s">
        <v>90</v>
      </c>
      <c r="C259" s="11" t="s">
        <v>16</v>
      </c>
      <c r="D259" s="13">
        <v>276121</v>
      </c>
      <c r="E259" s="13">
        <v>7117</v>
      </c>
      <c r="F259" s="11">
        <v>3</v>
      </c>
      <c r="G259" s="13">
        <v>113.592233009708</v>
      </c>
      <c r="H259" s="13">
        <v>4.13592233009709</v>
      </c>
      <c r="I259" s="13">
        <f t="shared" ref="I259:I322" si="4">G259+H259</f>
        <v>117.72815533980508</v>
      </c>
      <c r="J259" s="14">
        <v>34.951456310679603</v>
      </c>
      <c r="K259" s="11" t="s">
        <v>10</v>
      </c>
    </row>
    <row r="260" spans="1:11" x14ac:dyDescent="0.25">
      <c r="A260" s="13">
        <v>8.4348433922135296E+16</v>
      </c>
      <c r="B260" s="20" t="s">
        <v>101</v>
      </c>
      <c r="C260" s="11" t="s">
        <v>16</v>
      </c>
      <c r="D260" s="13">
        <v>110059</v>
      </c>
      <c r="E260" s="13">
        <v>340600</v>
      </c>
      <c r="F260" s="11">
        <v>12</v>
      </c>
      <c r="G260" s="13">
        <v>179.46428571428501</v>
      </c>
      <c r="H260" s="13">
        <v>24.321428571428498</v>
      </c>
      <c r="I260" s="13">
        <f t="shared" si="4"/>
        <v>203.78571428571351</v>
      </c>
      <c r="J260" s="14">
        <v>42.857142857142897</v>
      </c>
      <c r="K260" s="11" t="s">
        <v>28</v>
      </c>
    </row>
    <row r="261" spans="1:11" x14ac:dyDescent="0.25">
      <c r="A261" s="13">
        <v>8.99377780833532E+16</v>
      </c>
      <c r="B261" s="20" t="s">
        <v>82</v>
      </c>
      <c r="C261" s="11" t="s">
        <v>16</v>
      </c>
      <c r="D261" s="13">
        <v>344031</v>
      </c>
      <c r="E261" s="13">
        <v>7117</v>
      </c>
      <c r="F261" s="11">
        <v>3</v>
      </c>
      <c r="G261" s="13">
        <v>149.514563106796</v>
      </c>
      <c r="H261" s="13">
        <v>4.6893203883495103</v>
      </c>
      <c r="I261" s="13">
        <f t="shared" si="4"/>
        <v>154.2038834951455</v>
      </c>
      <c r="J261" s="14">
        <v>52.427184466019398</v>
      </c>
      <c r="K261" s="11" t="s">
        <v>46</v>
      </c>
    </row>
    <row r="262" spans="1:11" x14ac:dyDescent="0.25">
      <c r="A262" s="13">
        <v>8.8575543008171296E+16</v>
      </c>
      <c r="B262" s="20" t="s">
        <v>69</v>
      </c>
      <c r="C262" s="11" t="s">
        <v>16</v>
      </c>
      <c r="D262" s="13">
        <v>848502</v>
      </c>
      <c r="E262" s="13">
        <v>7117</v>
      </c>
      <c r="F262" s="11">
        <v>3</v>
      </c>
      <c r="G262" s="13">
        <v>149.514563106796</v>
      </c>
      <c r="H262" s="13">
        <v>4.4854368932038797</v>
      </c>
      <c r="I262" s="13">
        <f t="shared" si="4"/>
        <v>153.99999999999989</v>
      </c>
      <c r="J262" s="14">
        <v>59.223300970873801</v>
      </c>
      <c r="K262" s="11" t="s">
        <v>22</v>
      </c>
    </row>
    <row r="263" spans="1:11" x14ac:dyDescent="0.25">
      <c r="A263" s="13">
        <v>8.8340256583832096E+16</v>
      </c>
      <c r="B263" s="20" t="s">
        <v>69</v>
      </c>
      <c r="C263" s="11" t="s">
        <v>52</v>
      </c>
      <c r="D263" s="13">
        <v>400055</v>
      </c>
      <c r="E263" s="13">
        <v>340600</v>
      </c>
      <c r="F263" s="11">
        <v>12</v>
      </c>
      <c r="G263" s="13">
        <v>145.53571428571399</v>
      </c>
      <c r="H263" s="13">
        <v>19.071428571428498</v>
      </c>
      <c r="I263" s="13">
        <f t="shared" si="4"/>
        <v>164.60714285714249</v>
      </c>
      <c r="J263" s="14">
        <v>40.178571428571402</v>
      </c>
      <c r="K263" s="11" t="s">
        <v>41</v>
      </c>
    </row>
    <row r="264" spans="1:11" x14ac:dyDescent="0.25">
      <c r="A264" s="13">
        <v>9.0375782853804896E+16</v>
      </c>
      <c r="B264" s="20" t="s">
        <v>84</v>
      </c>
      <c r="C264" s="11" t="s">
        <v>52</v>
      </c>
      <c r="D264" s="13">
        <v>184121</v>
      </c>
      <c r="E264" s="13">
        <v>340600</v>
      </c>
      <c r="F264" s="11">
        <v>12</v>
      </c>
      <c r="G264" s="13">
        <v>319.642857142857</v>
      </c>
      <c r="H264" s="13">
        <v>44.142857142857103</v>
      </c>
      <c r="I264" s="13">
        <f t="shared" si="4"/>
        <v>363.78571428571411</v>
      </c>
      <c r="J264" s="14">
        <v>105.35714285714199</v>
      </c>
      <c r="K264" s="11" t="s">
        <v>56</v>
      </c>
    </row>
    <row r="265" spans="1:11" x14ac:dyDescent="0.25">
      <c r="A265" s="13">
        <v>8.9834376300524304E+16</v>
      </c>
      <c r="B265" s="20" t="s">
        <v>82</v>
      </c>
      <c r="C265" s="11" t="s">
        <v>16</v>
      </c>
      <c r="D265" s="13">
        <v>410210</v>
      </c>
      <c r="E265" s="13">
        <v>7117</v>
      </c>
      <c r="F265" s="11">
        <v>3</v>
      </c>
      <c r="G265" s="13">
        <v>86.407766990291293</v>
      </c>
      <c r="H265" s="13">
        <v>3.1456310679611699</v>
      </c>
      <c r="I265" s="13">
        <f t="shared" si="4"/>
        <v>89.553398058252469</v>
      </c>
      <c r="J265" s="14">
        <v>41.747572815533999</v>
      </c>
      <c r="K265" s="11" t="s">
        <v>41</v>
      </c>
    </row>
    <row r="266" spans="1:11" x14ac:dyDescent="0.25">
      <c r="A266" s="13">
        <v>9.1114509565565792E+16</v>
      </c>
      <c r="B266" s="20" t="s">
        <v>99</v>
      </c>
      <c r="C266" s="11" t="s">
        <v>25</v>
      </c>
      <c r="D266" s="13">
        <v>803116</v>
      </c>
      <c r="E266" s="13">
        <v>7117</v>
      </c>
      <c r="F266" s="11">
        <v>3</v>
      </c>
      <c r="G266" s="13">
        <v>165.04854368932001</v>
      </c>
      <c r="H266" s="13">
        <v>4.9514563106796103</v>
      </c>
      <c r="I266" s="13">
        <f t="shared" si="4"/>
        <v>169.99999999999963</v>
      </c>
      <c r="J266" s="14">
        <v>58.252427184466001</v>
      </c>
      <c r="K266" s="11" t="s">
        <v>22</v>
      </c>
    </row>
    <row r="267" spans="1:11" x14ac:dyDescent="0.25">
      <c r="A267" s="13">
        <v>8.6834580222371504E+16</v>
      </c>
      <c r="B267" s="20" t="s">
        <v>90</v>
      </c>
      <c r="C267" s="11" t="s">
        <v>21</v>
      </c>
      <c r="D267" s="13">
        <v>791110</v>
      </c>
      <c r="E267" s="13">
        <v>7117</v>
      </c>
      <c r="F267" s="11">
        <v>3</v>
      </c>
      <c r="G267" s="13">
        <v>178.640776699029</v>
      </c>
      <c r="H267" s="13">
        <v>5.3592233009708696</v>
      </c>
      <c r="I267" s="13">
        <f t="shared" si="4"/>
        <v>183.99999999999989</v>
      </c>
      <c r="J267" s="14">
        <v>78.640776699029104</v>
      </c>
      <c r="K267" s="11" t="s">
        <v>97</v>
      </c>
    </row>
    <row r="268" spans="1:11" x14ac:dyDescent="0.25">
      <c r="A268" s="13">
        <v>8.8890575012688704E+16</v>
      </c>
      <c r="B268" s="20" t="s">
        <v>70</v>
      </c>
      <c r="C268" s="11" t="s">
        <v>16</v>
      </c>
      <c r="D268" s="13">
        <v>752055</v>
      </c>
      <c r="E268" s="13">
        <v>7117</v>
      </c>
      <c r="F268" s="11">
        <v>3</v>
      </c>
      <c r="G268" s="13">
        <v>148.54368932038801</v>
      </c>
      <c r="H268" s="13">
        <v>4.9805825242718402</v>
      </c>
      <c r="I268" s="13">
        <f t="shared" si="4"/>
        <v>153.52427184465986</v>
      </c>
      <c r="J268" s="14">
        <v>41.747572815533999</v>
      </c>
      <c r="K268" s="11" t="s">
        <v>54</v>
      </c>
    </row>
    <row r="269" spans="1:11" x14ac:dyDescent="0.25">
      <c r="A269" s="13">
        <v>8.71024784616292E+16</v>
      </c>
      <c r="B269" s="20" t="s">
        <v>83</v>
      </c>
      <c r="C269" s="11" t="s">
        <v>16</v>
      </c>
      <c r="D269" s="13">
        <v>751024</v>
      </c>
      <c r="E269" s="13">
        <v>340600</v>
      </c>
      <c r="F269" s="11">
        <v>12</v>
      </c>
      <c r="G269" s="13">
        <v>179.46428571428501</v>
      </c>
      <c r="H269" s="13">
        <v>21.535714285714199</v>
      </c>
      <c r="I269" s="13">
        <f t="shared" si="4"/>
        <v>200.9999999999992</v>
      </c>
      <c r="J269" s="14">
        <v>66.964285714285694</v>
      </c>
      <c r="K269" s="11" t="s">
        <v>54</v>
      </c>
    </row>
    <row r="270" spans="1:11" x14ac:dyDescent="0.25">
      <c r="A270" s="13">
        <v>8.9023742776374E+16</v>
      </c>
      <c r="B270" s="20" t="s">
        <v>70</v>
      </c>
      <c r="C270" s="11" t="s">
        <v>25</v>
      </c>
      <c r="D270" s="13">
        <v>140603</v>
      </c>
      <c r="E270" s="13">
        <v>7117</v>
      </c>
      <c r="F270" s="11">
        <v>3</v>
      </c>
      <c r="G270" s="13">
        <v>150.485436893203</v>
      </c>
      <c r="H270" s="13">
        <v>4.8058252427184502</v>
      </c>
      <c r="I270" s="13">
        <f t="shared" si="4"/>
        <v>155.29126213592144</v>
      </c>
      <c r="J270" s="14">
        <v>59.223300970873801</v>
      </c>
      <c r="K270" s="11" t="s">
        <v>17</v>
      </c>
    </row>
    <row r="271" spans="1:11" x14ac:dyDescent="0.25">
      <c r="A271" s="13">
        <v>8.9228002497390208E+16</v>
      </c>
      <c r="B271" s="20" t="s">
        <v>78</v>
      </c>
      <c r="C271" s="11" t="s">
        <v>16</v>
      </c>
      <c r="D271" s="13">
        <v>211006</v>
      </c>
      <c r="E271" s="13">
        <v>340600</v>
      </c>
      <c r="F271" s="11">
        <v>12</v>
      </c>
      <c r="G271" s="13">
        <v>138.392857142857</v>
      </c>
      <c r="H271" s="13">
        <v>19.071428571428498</v>
      </c>
      <c r="I271" s="13">
        <f t="shared" si="4"/>
        <v>157.4642857142855</v>
      </c>
      <c r="J271" s="14">
        <v>33.035714285714299</v>
      </c>
      <c r="K271" s="11" t="s">
        <v>10</v>
      </c>
    </row>
    <row r="272" spans="1:11" x14ac:dyDescent="0.25">
      <c r="A272" s="13">
        <v>9.0698834830304496E+16</v>
      </c>
      <c r="B272" s="20" t="s">
        <v>74</v>
      </c>
      <c r="C272" s="11" t="s">
        <v>25</v>
      </c>
      <c r="D272" s="13">
        <v>751009</v>
      </c>
      <c r="E272" s="13">
        <v>340600</v>
      </c>
      <c r="F272" s="11">
        <v>12</v>
      </c>
      <c r="G272" s="13">
        <v>187.5</v>
      </c>
      <c r="H272" s="13">
        <v>22.5</v>
      </c>
      <c r="I272" s="13">
        <f t="shared" si="4"/>
        <v>210</v>
      </c>
      <c r="J272" s="14">
        <v>66.964285714285694</v>
      </c>
      <c r="K272" s="11" t="s">
        <v>54</v>
      </c>
    </row>
    <row r="273" spans="1:11" x14ac:dyDescent="0.25">
      <c r="A273" s="13">
        <v>9.11405761626448E+16</v>
      </c>
      <c r="B273" s="20" t="s">
        <v>99</v>
      </c>
      <c r="C273" s="11" t="s">
        <v>16</v>
      </c>
      <c r="D273" s="13">
        <v>560098</v>
      </c>
      <c r="E273" s="13">
        <v>7117</v>
      </c>
      <c r="F273" s="11">
        <v>3</v>
      </c>
      <c r="G273" s="13">
        <v>148.54368932038801</v>
      </c>
      <c r="H273" s="13">
        <v>4.4563106796116498</v>
      </c>
      <c r="I273" s="13">
        <f t="shared" si="4"/>
        <v>152.99999999999966</v>
      </c>
      <c r="J273" s="14">
        <v>58.252427184466001</v>
      </c>
      <c r="K273" s="11" t="s">
        <v>19</v>
      </c>
    </row>
    <row r="274" spans="1:11" x14ac:dyDescent="0.25">
      <c r="A274" s="13">
        <v>8.9820803000103696E+16</v>
      </c>
      <c r="B274" s="20" t="s">
        <v>82</v>
      </c>
      <c r="C274" s="11" t="s">
        <v>16</v>
      </c>
      <c r="D274" s="13">
        <v>261135</v>
      </c>
      <c r="E274" s="13">
        <v>340600</v>
      </c>
      <c r="F274" s="11">
        <v>12</v>
      </c>
      <c r="G274" s="13">
        <v>167.85714285714201</v>
      </c>
      <c r="H274" s="13">
        <v>21.214285714285701</v>
      </c>
      <c r="I274" s="13">
        <f t="shared" si="4"/>
        <v>189.0714285714277</v>
      </c>
      <c r="J274" s="14">
        <v>44.642857142857103</v>
      </c>
      <c r="K274" s="11" t="s">
        <v>10</v>
      </c>
    </row>
    <row r="275" spans="1:11" x14ac:dyDescent="0.25">
      <c r="A275" s="13">
        <v>8.7495557813102208E+16</v>
      </c>
      <c r="B275" s="20" t="s">
        <v>75</v>
      </c>
      <c r="C275" s="11" t="s">
        <v>25</v>
      </c>
      <c r="D275" s="13">
        <v>744101</v>
      </c>
      <c r="E275" s="13">
        <v>340600</v>
      </c>
      <c r="F275" s="11">
        <v>12</v>
      </c>
      <c r="G275" s="13">
        <v>162.5</v>
      </c>
      <c r="H275" s="13">
        <v>23.25</v>
      </c>
      <c r="I275" s="13">
        <f t="shared" si="4"/>
        <v>185.75</v>
      </c>
      <c r="J275" s="14">
        <v>66.071428571428598</v>
      </c>
      <c r="K275" s="11" t="s">
        <v>102</v>
      </c>
    </row>
    <row r="276" spans="1:11" x14ac:dyDescent="0.25">
      <c r="A276" s="13">
        <v>8.4222461328982208E+16</v>
      </c>
      <c r="B276" s="20" t="s">
        <v>101</v>
      </c>
      <c r="C276" s="11" t="s">
        <v>21</v>
      </c>
      <c r="D276" s="13">
        <v>509338</v>
      </c>
      <c r="E276" s="13">
        <v>7117</v>
      </c>
      <c r="F276" s="11">
        <v>3</v>
      </c>
      <c r="G276" s="13">
        <v>160.19417475728099</v>
      </c>
      <c r="H276" s="13">
        <v>4.8058252427184502</v>
      </c>
      <c r="I276" s="13">
        <f t="shared" si="4"/>
        <v>164.99999999999943</v>
      </c>
      <c r="J276" s="14">
        <v>59.223300970873801</v>
      </c>
      <c r="K276" s="11" t="s">
        <v>53</v>
      </c>
    </row>
    <row r="277" spans="1:11" x14ac:dyDescent="0.25">
      <c r="A277" s="13">
        <v>8.8967154468901504E+16</v>
      </c>
      <c r="B277" s="20" t="s">
        <v>70</v>
      </c>
      <c r="C277" s="11" t="s">
        <v>16</v>
      </c>
      <c r="D277" s="13">
        <v>221712</v>
      </c>
      <c r="E277" s="13">
        <v>7117</v>
      </c>
      <c r="F277" s="11">
        <v>3</v>
      </c>
      <c r="G277" s="13">
        <v>158.252427184466</v>
      </c>
      <c r="H277" s="13">
        <v>5.0388349514563098</v>
      </c>
      <c r="I277" s="13">
        <f t="shared" si="4"/>
        <v>163.29126213592232</v>
      </c>
      <c r="J277" s="14">
        <v>49.514563106796103</v>
      </c>
      <c r="K277" s="11" t="s">
        <v>10</v>
      </c>
    </row>
    <row r="278" spans="1:11" x14ac:dyDescent="0.25">
      <c r="A278" s="13">
        <v>8.8689315053299296E+16</v>
      </c>
      <c r="B278" s="20" t="s">
        <v>69</v>
      </c>
      <c r="C278" s="11" t="s">
        <v>21</v>
      </c>
      <c r="D278" s="13">
        <v>324008</v>
      </c>
      <c r="E278" s="13">
        <v>340600</v>
      </c>
      <c r="F278" s="11">
        <v>12</v>
      </c>
      <c r="G278" s="13">
        <v>150.892857142857</v>
      </c>
      <c r="H278" s="13">
        <v>19.607142857142801</v>
      </c>
      <c r="I278" s="13">
        <f t="shared" si="4"/>
        <v>170.4999999999998</v>
      </c>
      <c r="J278" s="14">
        <v>54.464285714285701</v>
      </c>
      <c r="K278" s="11" t="s">
        <v>46</v>
      </c>
    </row>
    <row r="279" spans="1:11" x14ac:dyDescent="0.25">
      <c r="A279" s="13">
        <v>9.1772681091423104E+16</v>
      </c>
      <c r="B279" s="20" t="s">
        <v>72</v>
      </c>
      <c r="C279" s="11" t="s">
        <v>52</v>
      </c>
      <c r="D279" s="13">
        <v>800010</v>
      </c>
      <c r="E279" s="13">
        <v>7117</v>
      </c>
      <c r="F279" s="11">
        <v>3</v>
      </c>
      <c r="G279" s="13">
        <v>163.106796116504</v>
      </c>
      <c r="H279" s="13">
        <v>4.9514563106796103</v>
      </c>
      <c r="I279" s="13">
        <f t="shared" si="4"/>
        <v>168.05825242718362</v>
      </c>
      <c r="J279" s="14">
        <v>56.3106796116505</v>
      </c>
      <c r="K279" s="11" t="s">
        <v>22</v>
      </c>
    </row>
    <row r="280" spans="1:11" x14ac:dyDescent="0.25">
      <c r="A280" s="13">
        <v>8.9538239175207808E+16</v>
      </c>
      <c r="B280" s="20" t="s">
        <v>77</v>
      </c>
      <c r="C280" s="11" t="s">
        <v>25</v>
      </c>
      <c r="D280" s="13">
        <v>412312</v>
      </c>
      <c r="E280" s="13">
        <v>7117</v>
      </c>
      <c r="F280" s="11">
        <v>3</v>
      </c>
      <c r="G280" s="13">
        <v>151.45631067961099</v>
      </c>
      <c r="H280" s="13">
        <v>4.5436893203883502</v>
      </c>
      <c r="I280" s="13">
        <f t="shared" si="4"/>
        <v>155.99999999999935</v>
      </c>
      <c r="J280" s="14">
        <v>59.223300970873801</v>
      </c>
      <c r="K280" s="11" t="s">
        <v>41</v>
      </c>
    </row>
    <row r="281" spans="1:11" x14ac:dyDescent="0.25">
      <c r="A281" s="13">
        <v>8.75929608919504E+16</v>
      </c>
      <c r="B281" s="20" t="s">
        <v>75</v>
      </c>
      <c r="C281" s="11" t="s">
        <v>16</v>
      </c>
      <c r="D281" s="13">
        <v>500020</v>
      </c>
      <c r="E281" s="13">
        <v>7117</v>
      </c>
      <c r="F281" s="11">
        <v>3</v>
      </c>
      <c r="G281" s="13">
        <v>145.631067961165</v>
      </c>
      <c r="H281" s="13">
        <v>4.86407766990291</v>
      </c>
      <c r="I281" s="13">
        <f t="shared" si="4"/>
        <v>150.49514563106791</v>
      </c>
      <c r="J281" s="14">
        <v>42.7184466019418</v>
      </c>
      <c r="K281" s="11" t="s">
        <v>53</v>
      </c>
    </row>
    <row r="282" spans="1:11" x14ac:dyDescent="0.25">
      <c r="A282" s="13">
        <v>8.92286999849796E+16</v>
      </c>
      <c r="B282" s="20" t="s">
        <v>78</v>
      </c>
      <c r="C282" s="11" t="s">
        <v>25</v>
      </c>
      <c r="D282" s="13">
        <v>225403</v>
      </c>
      <c r="E282" s="13">
        <v>7117</v>
      </c>
      <c r="F282" s="11">
        <v>3</v>
      </c>
      <c r="G282" s="13">
        <v>128.15533980582501</v>
      </c>
      <c r="H282" s="13">
        <v>4.13592233009709</v>
      </c>
      <c r="I282" s="13">
        <f t="shared" si="4"/>
        <v>132.2912621359221</v>
      </c>
      <c r="J282" s="14">
        <v>59.223300970873801</v>
      </c>
      <c r="K282" s="11" t="s">
        <v>10</v>
      </c>
    </row>
    <row r="283" spans="1:11" x14ac:dyDescent="0.25">
      <c r="A283" s="13">
        <v>8.3792324538331904E+16</v>
      </c>
      <c r="B283" s="20" t="s">
        <v>38</v>
      </c>
      <c r="C283" s="11" t="s">
        <v>16</v>
      </c>
      <c r="D283" s="13">
        <v>273212</v>
      </c>
      <c r="E283" s="13">
        <v>7117</v>
      </c>
      <c r="F283" s="11">
        <v>3</v>
      </c>
      <c r="G283" s="13">
        <v>150.485436893203</v>
      </c>
      <c r="H283" s="13">
        <v>4.8058252427184502</v>
      </c>
      <c r="I283" s="13">
        <f t="shared" si="4"/>
        <v>155.29126213592144</v>
      </c>
      <c r="J283" s="14">
        <v>49.514563106796103</v>
      </c>
      <c r="K283" s="11" t="s">
        <v>10</v>
      </c>
    </row>
    <row r="284" spans="1:11" x14ac:dyDescent="0.25">
      <c r="A284" s="13">
        <v>8.90569689668048E+16</v>
      </c>
      <c r="B284" s="20" t="s">
        <v>70</v>
      </c>
      <c r="C284" s="11" t="s">
        <v>25</v>
      </c>
      <c r="D284" s="13">
        <v>110043</v>
      </c>
      <c r="E284" s="13">
        <v>7117</v>
      </c>
      <c r="F284" s="11">
        <v>3</v>
      </c>
      <c r="G284" s="13">
        <v>128.15533980582501</v>
      </c>
      <c r="H284" s="13">
        <v>4.13592233009709</v>
      </c>
      <c r="I284" s="13">
        <f t="shared" si="4"/>
        <v>132.2912621359221</v>
      </c>
      <c r="J284" s="14">
        <v>59.223300970873801</v>
      </c>
      <c r="K284" s="11" t="s">
        <v>28</v>
      </c>
    </row>
    <row r="285" spans="1:11" x14ac:dyDescent="0.25">
      <c r="A285" s="13">
        <v>8.6046346247279904E+16</v>
      </c>
      <c r="B285" s="20" t="s">
        <v>73</v>
      </c>
      <c r="C285" s="11" t="s">
        <v>21</v>
      </c>
      <c r="D285" s="13">
        <v>752038</v>
      </c>
      <c r="E285" s="13">
        <v>7117</v>
      </c>
      <c r="F285" s="11">
        <v>3</v>
      </c>
      <c r="G285" s="13">
        <v>158.252427184466</v>
      </c>
      <c r="H285" s="13">
        <v>4.7475728155339798</v>
      </c>
      <c r="I285" s="13">
        <f t="shared" si="4"/>
        <v>162.99999999999997</v>
      </c>
      <c r="J285" s="14">
        <v>58.252427184466001</v>
      </c>
      <c r="K285" s="11" t="s">
        <v>54</v>
      </c>
    </row>
    <row r="286" spans="1:11" x14ac:dyDescent="0.25">
      <c r="A286" s="13">
        <v>9.1111234992741296E+16</v>
      </c>
      <c r="B286" s="20" t="s">
        <v>99</v>
      </c>
      <c r="C286" s="11" t="s">
        <v>16</v>
      </c>
      <c r="D286" s="13">
        <v>845401</v>
      </c>
      <c r="E286" s="13">
        <v>7117</v>
      </c>
      <c r="F286" s="11">
        <v>3</v>
      </c>
      <c r="G286" s="13">
        <v>165.04854368932001</v>
      </c>
      <c r="H286" s="13">
        <v>5.0097087378640799</v>
      </c>
      <c r="I286" s="13">
        <f t="shared" si="4"/>
        <v>170.0582524271841</v>
      </c>
      <c r="J286" s="14">
        <v>56.3106796116505</v>
      </c>
      <c r="K286" s="11" t="s">
        <v>22</v>
      </c>
    </row>
    <row r="287" spans="1:11" x14ac:dyDescent="0.25">
      <c r="A287" s="13">
        <v>9.4011951287317408E+16</v>
      </c>
      <c r="B287" s="20" t="s">
        <v>81</v>
      </c>
      <c r="C287" s="11" t="s">
        <v>9</v>
      </c>
      <c r="D287" s="13">
        <v>110091</v>
      </c>
      <c r="E287" s="13">
        <v>7117</v>
      </c>
      <c r="F287" s="11">
        <v>3</v>
      </c>
      <c r="G287" s="13">
        <v>193.20388349514499</v>
      </c>
      <c r="H287" s="13">
        <v>6.5825242718446599</v>
      </c>
      <c r="I287" s="13">
        <f t="shared" si="4"/>
        <v>199.78640776698964</v>
      </c>
      <c r="J287" s="14">
        <v>37.864077669902898</v>
      </c>
      <c r="K287" s="11" t="s">
        <v>28</v>
      </c>
    </row>
    <row r="288" spans="1:11" x14ac:dyDescent="0.25">
      <c r="A288" s="13">
        <v>8.8689315053299296E+16</v>
      </c>
      <c r="B288" s="20" t="s">
        <v>69</v>
      </c>
      <c r="C288" s="11" t="s">
        <v>21</v>
      </c>
      <c r="D288" s="13">
        <v>324008</v>
      </c>
      <c r="E288" s="13">
        <v>340600</v>
      </c>
      <c r="F288" s="11">
        <v>12</v>
      </c>
      <c r="G288" s="13">
        <v>140.17857142857099</v>
      </c>
      <c r="H288" s="13">
        <v>17.464285714285701</v>
      </c>
      <c r="I288" s="13">
        <f t="shared" si="4"/>
        <v>157.64285714285668</v>
      </c>
      <c r="J288" s="14">
        <v>48.214285714285701</v>
      </c>
      <c r="K288" s="11" t="s">
        <v>46</v>
      </c>
    </row>
    <row r="289" spans="1:11" x14ac:dyDescent="0.25">
      <c r="A289" s="13">
        <v>8.7061694488646896E+16</v>
      </c>
      <c r="B289" s="20" t="s">
        <v>83</v>
      </c>
      <c r="C289" s="11" t="s">
        <v>52</v>
      </c>
      <c r="D289" s="13">
        <v>700040</v>
      </c>
      <c r="E289" s="13">
        <v>340600</v>
      </c>
      <c r="F289" s="11">
        <v>12</v>
      </c>
      <c r="G289" s="13">
        <v>172.32142857142799</v>
      </c>
      <c r="H289" s="13">
        <v>20.678571428571399</v>
      </c>
      <c r="I289" s="13">
        <f t="shared" si="4"/>
        <v>192.99999999999937</v>
      </c>
      <c r="J289" s="14">
        <v>66.964285714285694</v>
      </c>
      <c r="K289" s="11" t="s">
        <v>14</v>
      </c>
    </row>
    <row r="290" spans="1:11" x14ac:dyDescent="0.25">
      <c r="A290" s="13">
        <v>8.9639066338470704E+16</v>
      </c>
      <c r="B290" s="20" t="s">
        <v>77</v>
      </c>
      <c r="C290" s="11" t="s">
        <v>16</v>
      </c>
      <c r="D290" s="13">
        <v>798620</v>
      </c>
      <c r="E290" s="13">
        <v>340600</v>
      </c>
      <c r="F290" s="11">
        <v>12</v>
      </c>
      <c r="G290" s="13">
        <v>163.392857142857</v>
      </c>
      <c r="H290" s="13">
        <v>19.607142857142801</v>
      </c>
      <c r="I290" s="13">
        <f t="shared" si="4"/>
        <v>182.9999999999998</v>
      </c>
      <c r="J290" s="14">
        <v>66.964285714285694</v>
      </c>
      <c r="K290" s="11" t="s">
        <v>103</v>
      </c>
    </row>
    <row r="291" spans="1:11" x14ac:dyDescent="0.25">
      <c r="A291" s="13">
        <v>9.0690182374366096E+16</v>
      </c>
      <c r="B291" s="20" t="s">
        <v>74</v>
      </c>
      <c r="C291" s="11" t="s">
        <v>16</v>
      </c>
      <c r="D291" s="13">
        <v>824102</v>
      </c>
      <c r="E291" s="13">
        <v>7117</v>
      </c>
      <c r="F291" s="11">
        <v>3</v>
      </c>
      <c r="G291" s="13">
        <v>135.92233009708701</v>
      </c>
      <c r="H291" s="13">
        <v>4.13592233009709</v>
      </c>
      <c r="I291" s="13">
        <f t="shared" si="4"/>
        <v>140.0582524271841</v>
      </c>
      <c r="J291" s="14">
        <v>57.2815533980583</v>
      </c>
      <c r="K291" s="11" t="s">
        <v>22</v>
      </c>
    </row>
    <row r="292" spans="1:11" x14ac:dyDescent="0.25">
      <c r="A292" s="13">
        <v>9.3233047290023504E+16</v>
      </c>
      <c r="B292" s="20" t="s">
        <v>93</v>
      </c>
      <c r="C292" s="11" t="s">
        <v>16</v>
      </c>
      <c r="D292" s="13">
        <v>804407</v>
      </c>
      <c r="E292" s="13">
        <v>7117</v>
      </c>
      <c r="F292" s="11">
        <v>3</v>
      </c>
      <c r="G292" s="13">
        <v>169.90291262135901</v>
      </c>
      <c r="H292" s="13">
        <v>5.0970873786407802</v>
      </c>
      <c r="I292" s="13">
        <f t="shared" si="4"/>
        <v>174.9999999999998</v>
      </c>
      <c r="J292" s="14">
        <v>58.252427184466001</v>
      </c>
      <c r="K292" s="11" t="s">
        <v>22</v>
      </c>
    </row>
    <row r="293" spans="1:11" x14ac:dyDescent="0.25">
      <c r="A293" s="13">
        <v>8.75171706295748E+16</v>
      </c>
      <c r="B293" s="20" t="s">
        <v>75</v>
      </c>
      <c r="C293" s="11" t="s">
        <v>21</v>
      </c>
      <c r="D293" s="13">
        <v>212601</v>
      </c>
      <c r="E293" s="13">
        <v>7117</v>
      </c>
      <c r="F293" s="11">
        <v>3</v>
      </c>
      <c r="G293" s="13">
        <v>165.04854368932001</v>
      </c>
      <c r="H293" s="13">
        <v>5.2427184466019403</v>
      </c>
      <c r="I293" s="13">
        <f t="shared" si="4"/>
        <v>170.29126213592195</v>
      </c>
      <c r="J293" s="14">
        <v>49.514563106796103</v>
      </c>
      <c r="K293" s="11" t="s">
        <v>10</v>
      </c>
    </row>
    <row r="294" spans="1:11" x14ac:dyDescent="0.25">
      <c r="A294" s="13">
        <v>8.6756016521183392E+16</v>
      </c>
      <c r="B294" s="20" t="s">
        <v>90</v>
      </c>
      <c r="C294" s="11" t="s">
        <v>16</v>
      </c>
      <c r="D294" s="13">
        <v>110040</v>
      </c>
      <c r="E294" s="13">
        <v>7117</v>
      </c>
      <c r="F294" s="11">
        <v>3</v>
      </c>
      <c r="G294" s="13">
        <v>150.485436893203</v>
      </c>
      <c r="H294" s="13">
        <v>4.8058252427184502</v>
      </c>
      <c r="I294" s="13">
        <f t="shared" si="4"/>
        <v>155.29126213592144</v>
      </c>
      <c r="J294" s="14">
        <v>49.514563106796103</v>
      </c>
      <c r="K294" s="11" t="s">
        <v>28</v>
      </c>
    </row>
    <row r="295" spans="1:11" x14ac:dyDescent="0.25">
      <c r="A295" s="13">
        <v>9.06631754913884E+16</v>
      </c>
      <c r="B295" s="20" t="s">
        <v>74</v>
      </c>
      <c r="C295" s="11" t="s">
        <v>16</v>
      </c>
      <c r="D295" s="13">
        <v>223226</v>
      </c>
      <c r="E295" s="13">
        <v>7117</v>
      </c>
      <c r="F295" s="11">
        <v>3</v>
      </c>
      <c r="G295" s="13">
        <v>127.184466019417</v>
      </c>
      <c r="H295" s="13">
        <v>4.5436893203883502</v>
      </c>
      <c r="I295" s="13">
        <f t="shared" si="4"/>
        <v>131.72815533980534</v>
      </c>
      <c r="J295" s="14">
        <v>34.951456310679603</v>
      </c>
      <c r="K295" s="11" t="s">
        <v>10</v>
      </c>
    </row>
    <row r="296" spans="1:11" x14ac:dyDescent="0.25">
      <c r="A296" s="13">
        <v>8.8582461495374592E+16</v>
      </c>
      <c r="B296" s="20" t="s">
        <v>69</v>
      </c>
      <c r="C296" s="11" t="s">
        <v>16</v>
      </c>
      <c r="D296" s="13">
        <v>802312</v>
      </c>
      <c r="E296" s="13">
        <v>7117</v>
      </c>
      <c r="F296" s="11">
        <v>3</v>
      </c>
      <c r="G296" s="13">
        <v>155.339805825242</v>
      </c>
      <c r="H296" s="13">
        <v>4.7475728155339798</v>
      </c>
      <c r="I296" s="13">
        <f t="shared" si="4"/>
        <v>160.08737864077597</v>
      </c>
      <c r="J296" s="14">
        <v>55.339805825242699</v>
      </c>
      <c r="K296" s="11" t="s">
        <v>22</v>
      </c>
    </row>
    <row r="297" spans="1:11" x14ac:dyDescent="0.25">
      <c r="A297" s="13">
        <v>9.0691937850131296E+16</v>
      </c>
      <c r="B297" s="20" t="s">
        <v>74</v>
      </c>
      <c r="C297" s="11" t="s">
        <v>71</v>
      </c>
      <c r="D297" s="13">
        <v>711106</v>
      </c>
      <c r="E297" s="13">
        <v>7117</v>
      </c>
      <c r="F297" s="11">
        <v>3</v>
      </c>
      <c r="G297" s="13">
        <v>137.864077669902</v>
      </c>
      <c r="H297" s="13">
        <v>4.13592233009709</v>
      </c>
      <c r="I297" s="13">
        <f t="shared" si="4"/>
        <v>141.99999999999909</v>
      </c>
      <c r="J297" s="14">
        <v>59.223300970873801</v>
      </c>
      <c r="K297" s="11" t="s">
        <v>14</v>
      </c>
    </row>
    <row r="298" spans="1:11" x14ac:dyDescent="0.25">
      <c r="A298" s="13">
        <v>8.9927123490974496E+16</v>
      </c>
      <c r="B298" s="20" t="s">
        <v>82</v>
      </c>
      <c r="C298" s="11" t="s">
        <v>16</v>
      </c>
      <c r="D298" s="13">
        <v>313027</v>
      </c>
      <c r="E298" s="13">
        <v>7117</v>
      </c>
      <c r="F298" s="11">
        <v>18</v>
      </c>
      <c r="G298" s="13">
        <v>135.593220338983</v>
      </c>
      <c r="H298" s="13">
        <v>28.220338983050802</v>
      </c>
      <c r="I298" s="13">
        <f t="shared" si="4"/>
        <v>163.8135593220338</v>
      </c>
      <c r="J298" s="14">
        <v>32.203389830508499</v>
      </c>
      <c r="K298" s="11" t="s">
        <v>46</v>
      </c>
    </row>
    <row r="299" spans="1:11" x14ac:dyDescent="0.25">
      <c r="A299" s="13">
        <v>8.78186791034008E+16</v>
      </c>
      <c r="B299" s="20" t="s">
        <v>76</v>
      </c>
      <c r="C299" s="11" t="s">
        <v>16</v>
      </c>
      <c r="D299" s="13">
        <v>683110</v>
      </c>
      <c r="E299" s="13">
        <v>340600</v>
      </c>
      <c r="F299" s="11">
        <v>12</v>
      </c>
      <c r="G299" s="13">
        <v>154.46428571428501</v>
      </c>
      <c r="H299" s="13">
        <v>20.464285714285701</v>
      </c>
      <c r="I299" s="13">
        <f t="shared" si="4"/>
        <v>174.92857142857071</v>
      </c>
      <c r="J299" s="14">
        <v>51.785714285714299</v>
      </c>
      <c r="K299" s="11" t="s">
        <v>98</v>
      </c>
    </row>
    <row r="300" spans="1:11" x14ac:dyDescent="0.25">
      <c r="A300" s="13">
        <v>8.9411142611096096E+16</v>
      </c>
      <c r="B300" s="20" t="s">
        <v>78</v>
      </c>
      <c r="C300" s="11" t="s">
        <v>16</v>
      </c>
      <c r="D300" s="13">
        <v>144601</v>
      </c>
      <c r="E300" s="13">
        <v>7117</v>
      </c>
      <c r="F300" s="11">
        <v>3</v>
      </c>
      <c r="G300" s="13">
        <v>112.621359223301</v>
      </c>
      <c r="H300" s="13">
        <v>3.6699029126213598</v>
      </c>
      <c r="I300" s="13">
        <f t="shared" si="4"/>
        <v>116.29126213592235</v>
      </c>
      <c r="J300" s="14">
        <v>50.485436893203897</v>
      </c>
      <c r="K300" s="11" t="s">
        <v>17</v>
      </c>
    </row>
    <row r="301" spans="1:11" x14ac:dyDescent="0.25">
      <c r="A301" s="13">
        <v>8.9661408568660608E+16</v>
      </c>
      <c r="B301" s="20" t="s">
        <v>77</v>
      </c>
      <c r="C301" s="11" t="s">
        <v>16</v>
      </c>
      <c r="D301" s="13">
        <v>600112</v>
      </c>
      <c r="E301" s="13">
        <v>340600</v>
      </c>
      <c r="F301" s="11">
        <v>12</v>
      </c>
      <c r="G301" s="13">
        <v>163.392857142857</v>
      </c>
      <c r="H301" s="13">
        <v>19.607142857142801</v>
      </c>
      <c r="I301" s="13">
        <f t="shared" si="4"/>
        <v>182.9999999999998</v>
      </c>
      <c r="J301" s="14">
        <v>66.964285714285694</v>
      </c>
      <c r="K301" s="11" t="s">
        <v>27</v>
      </c>
    </row>
    <row r="302" spans="1:11" x14ac:dyDescent="0.25">
      <c r="A302" s="13">
        <v>8.6159935742399104E+16</v>
      </c>
      <c r="B302" s="20" t="s">
        <v>73</v>
      </c>
      <c r="C302" s="11" t="s">
        <v>25</v>
      </c>
      <c r="D302" s="13">
        <v>522101</v>
      </c>
      <c r="E302" s="13">
        <v>7117</v>
      </c>
      <c r="F302" s="11">
        <v>3</v>
      </c>
      <c r="G302" s="13">
        <v>142.718446601941</v>
      </c>
      <c r="H302" s="13">
        <v>4.8058252427184502</v>
      </c>
      <c r="I302" s="13">
        <f t="shared" si="4"/>
        <v>147.52427184465944</v>
      </c>
      <c r="J302" s="14">
        <v>59.223300970873801</v>
      </c>
      <c r="K302" s="11" t="s">
        <v>39</v>
      </c>
    </row>
    <row r="303" spans="1:11" x14ac:dyDescent="0.25">
      <c r="A303" s="13">
        <v>8.6839575577817904E+16</v>
      </c>
      <c r="B303" s="20" t="s">
        <v>90</v>
      </c>
      <c r="C303" s="11" t="s">
        <v>16</v>
      </c>
      <c r="D303" s="13">
        <v>245304</v>
      </c>
      <c r="E303" s="13">
        <v>7117</v>
      </c>
      <c r="F303" s="11">
        <v>3</v>
      </c>
      <c r="G303" s="13">
        <v>151.45631067961099</v>
      </c>
      <c r="H303" s="13">
        <v>4.7475728155339798</v>
      </c>
      <c r="I303" s="13">
        <f t="shared" si="4"/>
        <v>156.20388349514496</v>
      </c>
      <c r="J303" s="14">
        <v>51.456310679611697</v>
      </c>
      <c r="K303" s="11" t="s">
        <v>10</v>
      </c>
    </row>
    <row r="304" spans="1:11" x14ac:dyDescent="0.25">
      <c r="A304" s="13">
        <v>9.3994970043578704E+16</v>
      </c>
      <c r="B304" s="20" t="s">
        <v>81</v>
      </c>
      <c r="C304" s="11" t="s">
        <v>9</v>
      </c>
      <c r="D304" s="13">
        <v>282007</v>
      </c>
      <c r="E304" s="13">
        <v>7117</v>
      </c>
      <c r="F304" s="11">
        <v>3</v>
      </c>
      <c r="G304" s="13">
        <v>146.601941747572</v>
      </c>
      <c r="H304" s="13">
        <v>4.6893203883495103</v>
      </c>
      <c r="I304" s="13">
        <f t="shared" si="4"/>
        <v>151.2912621359215</v>
      </c>
      <c r="J304" s="14">
        <v>49.514563106796103</v>
      </c>
      <c r="K304" s="11" t="s">
        <v>10</v>
      </c>
    </row>
    <row r="305" spans="1:11" x14ac:dyDescent="0.25">
      <c r="A305" s="13">
        <v>9.0774362342261792E+16</v>
      </c>
      <c r="B305" s="20" t="s">
        <v>74</v>
      </c>
      <c r="C305" s="11" t="s">
        <v>16</v>
      </c>
      <c r="D305" s="13">
        <v>425502</v>
      </c>
      <c r="E305" s="13">
        <v>7117</v>
      </c>
      <c r="F305" s="11">
        <v>3</v>
      </c>
      <c r="G305" s="13">
        <v>149.514563106796</v>
      </c>
      <c r="H305" s="13">
        <v>4.4854368932038797</v>
      </c>
      <c r="I305" s="13">
        <f t="shared" si="4"/>
        <v>153.99999999999989</v>
      </c>
      <c r="J305" s="14">
        <v>59.223300970873801</v>
      </c>
      <c r="K305" s="11" t="s">
        <v>41</v>
      </c>
    </row>
    <row r="306" spans="1:11" x14ac:dyDescent="0.25">
      <c r="A306" s="13">
        <v>8.8353827145258304E+16</v>
      </c>
      <c r="B306" s="20" t="s">
        <v>69</v>
      </c>
      <c r="C306" s="11" t="s">
        <v>16</v>
      </c>
      <c r="D306" s="13">
        <v>263148</v>
      </c>
      <c r="E306" s="13">
        <v>340600</v>
      </c>
      <c r="F306" s="11">
        <v>12</v>
      </c>
      <c r="G306" s="13">
        <v>299.99999999999898</v>
      </c>
      <c r="H306" s="13">
        <v>38.142857142857103</v>
      </c>
      <c r="I306" s="13">
        <f t="shared" si="4"/>
        <v>338.14285714285609</v>
      </c>
      <c r="J306" s="14">
        <v>89.285714285714306</v>
      </c>
      <c r="K306" s="11" t="s">
        <v>49</v>
      </c>
    </row>
    <row r="307" spans="1:11" x14ac:dyDescent="0.25">
      <c r="A307" s="13">
        <v>8.9440471605717792E+16</v>
      </c>
      <c r="B307" s="20" t="s">
        <v>77</v>
      </c>
      <c r="C307" s="11" t="s">
        <v>16</v>
      </c>
      <c r="D307" s="13">
        <v>500034</v>
      </c>
      <c r="E307" s="13">
        <v>340600</v>
      </c>
      <c r="F307" s="11">
        <v>12</v>
      </c>
      <c r="G307" s="13">
        <v>159.82142857142799</v>
      </c>
      <c r="H307" s="13">
        <v>19.178571428571399</v>
      </c>
      <c r="I307" s="13">
        <f t="shared" si="4"/>
        <v>178.99999999999937</v>
      </c>
      <c r="J307" s="14">
        <v>54.464285714285701</v>
      </c>
      <c r="K307" s="11" t="s">
        <v>53</v>
      </c>
    </row>
    <row r="308" spans="1:11" x14ac:dyDescent="0.25">
      <c r="A308" s="13">
        <v>8.6997469663035504E+16</v>
      </c>
      <c r="B308" s="20" t="s">
        <v>83</v>
      </c>
      <c r="C308" s="11" t="s">
        <v>25</v>
      </c>
      <c r="D308" s="13">
        <v>277213</v>
      </c>
      <c r="E308" s="13">
        <v>7117</v>
      </c>
      <c r="F308" s="11">
        <v>3</v>
      </c>
      <c r="G308" s="13">
        <v>150.485436893203</v>
      </c>
      <c r="H308" s="13">
        <v>4.8058252427184502</v>
      </c>
      <c r="I308" s="13">
        <f t="shared" si="4"/>
        <v>155.29126213592144</v>
      </c>
      <c r="J308" s="14">
        <v>49.514563106796103</v>
      </c>
      <c r="K308" s="11" t="s">
        <v>10</v>
      </c>
    </row>
    <row r="309" spans="1:11" x14ac:dyDescent="0.25">
      <c r="A309" s="13">
        <v>8.8947396949540992E+16</v>
      </c>
      <c r="B309" s="20" t="s">
        <v>70</v>
      </c>
      <c r="C309" s="11" t="s">
        <v>16</v>
      </c>
      <c r="D309" s="13">
        <v>202135</v>
      </c>
      <c r="E309" s="13">
        <v>7117</v>
      </c>
      <c r="F309" s="11">
        <v>3</v>
      </c>
      <c r="G309" s="13">
        <v>139.80582524271799</v>
      </c>
      <c r="H309" s="13">
        <v>4.4854368932038797</v>
      </c>
      <c r="I309" s="13">
        <f t="shared" si="4"/>
        <v>144.29126213592187</v>
      </c>
      <c r="J309" s="14">
        <v>49.514563106796103</v>
      </c>
      <c r="K309" s="11" t="s">
        <v>10</v>
      </c>
    </row>
    <row r="310" spans="1:11" x14ac:dyDescent="0.25">
      <c r="A310" s="13">
        <v>8.8159918817416496E+16</v>
      </c>
      <c r="B310" s="20" t="s">
        <v>68</v>
      </c>
      <c r="C310" s="11" t="s">
        <v>16</v>
      </c>
      <c r="D310" s="13">
        <v>803116</v>
      </c>
      <c r="E310" s="13">
        <v>7117</v>
      </c>
      <c r="F310" s="11">
        <v>3</v>
      </c>
      <c r="G310" s="13">
        <v>156.31067961164999</v>
      </c>
      <c r="H310" s="13">
        <v>4.6893203883495103</v>
      </c>
      <c r="I310" s="13">
        <f t="shared" si="4"/>
        <v>160.99999999999949</v>
      </c>
      <c r="J310" s="14">
        <v>59.223300970873801</v>
      </c>
      <c r="K310" s="11" t="s">
        <v>22</v>
      </c>
    </row>
    <row r="311" spans="1:11" x14ac:dyDescent="0.25">
      <c r="A311" s="13">
        <v>9.0110590195827696E+16</v>
      </c>
      <c r="B311" s="20" t="s">
        <v>82</v>
      </c>
      <c r="C311" s="11" t="s">
        <v>52</v>
      </c>
      <c r="D311" s="13">
        <v>224201</v>
      </c>
      <c r="E311" s="13">
        <v>7117</v>
      </c>
      <c r="F311" s="11">
        <v>3</v>
      </c>
      <c r="G311" s="13">
        <v>148.54368932038801</v>
      </c>
      <c r="H311" s="13">
        <v>4.7475728155339798</v>
      </c>
      <c r="I311" s="13">
        <f t="shared" si="4"/>
        <v>153.29126213592198</v>
      </c>
      <c r="J311" s="14">
        <v>48.543689320388303</v>
      </c>
      <c r="K311" s="11" t="s">
        <v>10</v>
      </c>
    </row>
    <row r="312" spans="1:11" x14ac:dyDescent="0.25">
      <c r="A312" s="13">
        <v>8.8533583334615904E+16</v>
      </c>
      <c r="B312" s="20" t="s">
        <v>69</v>
      </c>
      <c r="C312" s="11" t="s">
        <v>52</v>
      </c>
      <c r="D312" s="13">
        <v>585401</v>
      </c>
      <c r="E312" s="13">
        <v>7117</v>
      </c>
      <c r="F312" s="11">
        <v>3</v>
      </c>
      <c r="G312" s="13">
        <v>158.252427184466</v>
      </c>
      <c r="H312" s="13">
        <v>4.7475728155339798</v>
      </c>
      <c r="I312" s="13">
        <f t="shared" si="4"/>
        <v>162.99999999999997</v>
      </c>
      <c r="J312" s="14">
        <v>58.252427184466001</v>
      </c>
      <c r="K312" s="11" t="s">
        <v>19</v>
      </c>
    </row>
    <row r="313" spans="1:11" x14ac:dyDescent="0.25">
      <c r="A313" s="13">
        <v>8.6167057700891504E+16</v>
      </c>
      <c r="B313" s="20" t="s">
        <v>94</v>
      </c>
      <c r="C313" s="11" t="s">
        <v>16</v>
      </c>
      <c r="D313" s="13">
        <v>250004</v>
      </c>
      <c r="E313" s="13">
        <v>340600</v>
      </c>
      <c r="F313" s="11">
        <v>12</v>
      </c>
      <c r="G313" s="13">
        <v>150</v>
      </c>
      <c r="H313" s="13">
        <v>20.678571428571399</v>
      </c>
      <c r="I313" s="13">
        <f t="shared" si="4"/>
        <v>170.67857142857139</v>
      </c>
      <c r="J313" s="14">
        <v>44.642857142857103</v>
      </c>
      <c r="K313" s="11" t="s">
        <v>10</v>
      </c>
    </row>
    <row r="314" spans="1:11" x14ac:dyDescent="0.25">
      <c r="A314" s="13">
        <v>8.5777557726884608E+16</v>
      </c>
      <c r="B314" s="20" t="s">
        <v>87</v>
      </c>
      <c r="C314" s="11" t="s">
        <v>16</v>
      </c>
      <c r="D314" s="13">
        <v>788720</v>
      </c>
      <c r="E314" s="13">
        <v>7117</v>
      </c>
      <c r="F314" s="11">
        <v>3</v>
      </c>
      <c r="G314" s="13">
        <v>180.58252427184399</v>
      </c>
      <c r="H314" s="13">
        <v>5.4174757281553401</v>
      </c>
      <c r="I314" s="13">
        <f t="shared" si="4"/>
        <v>185.99999999999935</v>
      </c>
      <c r="J314" s="14">
        <v>80.582524271844704</v>
      </c>
      <c r="K314" s="11" t="s">
        <v>35</v>
      </c>
    </row>
    <row r="315" spans="1:11" x14ac:dyDescent="0.25">
      <c r="A315" s="13">
        <v>8.9279899135365696E+16</v>
      </c>
      <c r="B315" s="20" t="s">
        <v>78</v>
      </c>
      <c r="C315" s="11" t="s">
        <v>16</v>
      </c>
      <c r="D315" s="13">
        <v>673014</v>
      </c>
      <c r="E315" s="13">
        <v>340600</v>
      </c>
      <c r="F315" s="11">
        <v>12</v>
      </c>
      <c r="G315" s="13">
        <v>132.142857142857</v>
      </c>
      <c r="H315" s="13">
        <v>17.464285714285701</v>
      </c>
      <c r="I315" s="13">
        <f t="shared" si="4"/>
        <v>149.60714285714269</v>
      </c>
      <c r="J315" s="14">
        <v>40.178571428571402</v>
      </c>
      <c r="K315" s="11" t="s">
        <v>98</v>
      </c>
    </row>
    <row r="316" spans="1:11" x14ac:dyDescent="0.25">
      <c r="A316" s="13">
        <v>8.9440471605717792E+16</v>
      </c>
      <c r="B316" s="20" t="s">
        <v>77</v>
      </c>
      <c r="C316" s="11" t="s">
        <v>16</v>
      </c>
      <c r="D316" s="13">
        <v>500034</v>
      </c>
      <c r="E316" s="13">
        <v>340600</v>
      </c>
      <c r="F316" s="11">
        <v>12</v>
      </c>
      <c r="G316" s="13">
        <v>191.07142857142799</v>
      </c>
      <c r="H316" s="13">
        <v>22.928571428571399</v>
      </c>
      <c r="I316" s="13">
        <f t="shared" si="4"/>
        <v>213.99999999999937</v>
      </c>
      <c r="J316" s="14">
        <v>54.464285714285701</v>
      </c>
      <c r="K316" s="11" t="s">
        <v>53</v>
      </c>
    </row>
    <row r="317" spans="1:11" x14ac:dyDescent="0.25">
      <c r="A317" s="13">
        <v>9.2330314466886496E+16</v>
      </c>
      <c r="B317" s="20" t="s">
        <v>80</v>
      </c>
      <c r="C317" s="11" t="s">
        <v>9</v>
      </c>
      <c r="D317" s="13">
        <v>402103</v>
      </c>
      <c r="E317" s="13">
        <v>7117</v>
      </c>
      <c r="F317" s="11">
        <v>3</v>
      </c>
      <c r="G317" s="13">
        <v>157.28155339805801</v>
      </c>
      <c r="H317" s="13">
        <v>4.7184466019417499</v>
      </c>
      <c r="I317" s="13">
        <f t="shared" si="4"/>
        <v>161.99999999999977</v>
      </c>
      <c r="J317" s="14">
        <v>57.2815533980583</v>
      </c>
      <c r="K317" s="11" t="s">
        <v>41</v>
      </c>
    </row>
    <row r="318" spans="1:11" x14ac:dyDescent="0.25">
      <c r="A318" s="13">
        <v>9.04299455212516E+16</v>
      </c>
      <c r="B318" s="20" t="s">
        <v>84</v>
      </c>
      <c r="C318" s="11" t="s">
        <v>16</v>
      </c>
      <c r="D318" s="13">
        <v>621701</v>
      </c>
      <c r="E318" s="13">
        <v>7117</v>
      </c>
      <c r="F318" s="11">
        <v>3</v>
      </c>
      <c r="G318" s="13">
        <v>158.252427184466</v>
      </c>
      <c r="H318" s="13">
        <v>4.7475728155339798</v>
      </c>
      <c r="I318" s="13">
        <f t="shared" si="4"/>
        <v>162.99999999999997</v>
      </c>
      <c r="J318" s="14">
        <v>58.252427184466001</v>
      </c>
      <c r="K318" s="11" t="s">
        <v>27</v>
      </c>
    </row>
    <row r="319" spans="1:11" x14ac:dyDescent="0.25">
      <c r="A319" s="13">
        <v>8.9366837535634208E+16</v>
      </c>
      <c r="B319" s="20" t="s">
        <v>78</v>
      </c>
      <c r="C319" s="11" t="s">
        <v>52</v>
      </c>
      <c r="D319" s="13">
        <v>244231</v>
      </c>
      <c r="E319" s="13">
        <v>7117</v>
      </c>
      <c r="F319" s="11">
        <v>3</v>
      </c>
      <c r="G319" s="13">
        <v>146.601941747572</v>
      </c>
      <c r="H319" s="13">
        <v>4.6893203883495103</v>
      </c>
      <c r="I319" s="13">
        <f t="shared" si="4"/>
        <v>151.2912621359215</v>
      </c>
      <c r="J319" s="14">
        <v>49.514563106796103</v>
      </c>
      <c r="K319" s="11" t="s">
        <v>10</v>
      </c>
    </row>
    <row r="320" spans="1:11" x14ac:dyDescent="0.25">
      <c r="A320" s="13">
        <v>8.6759472160821792E+16</v>
      </c>
      <c r="B320" s="20" t="s">
        <v>90</v>
      </c>
      <c r="C320" s="11" t="s">
        <v>16</v>
      </c>
      <c r="D320" s="13">
        <v>328001</v>
      </c>
      <c r="E320" s="13">
        <v>7117</v>
      </c>
      <c r="F320" s="11">
        <v>3</v>
      </c>
      <c r="G320" s="13">
        <v>125.242718446601</v>
      </c>
      <c r="H320" s="13">
        <v>4.4854368932038797</v>
      </c>
      <c r="I320" s="13">
        <f t="shared" si="4"/>
        <v>129.72815533980489</v>
      </c>
      <c r="J320" s="14">
        <v>34.951456310679603</v>
      </c>
      <c r="K320" s="11" t="s">
        <v>46</v>
      </c>
    </row>
    <row r="321" spans="1:11" x14ac:dyDescent="0.25">
      <c r="A321" s="13">
        <v>8.9575348435036992E+16</v>
      </c>
      <c r="B321" s="20" t="s">
        <v>77</v>
      </c>
      <c r="C321" s="11" t="s">
        <v>16</v>
      </c>
      <c r="D321" s="13">
        <v>412312</v>
      </c>
      <c r="E321" s="13">
        <v>7117</v>
      </c>
      <c r="F321" s="11">
        <v>3</v>
      </c>
      <c r="G321" s="13">
        <v>151.45631067961099</v>
      </c>
      <c r="H321" s="13">
        <v>4.5436893203883502</v>
      </c>
      <c r="I321" s="13">
        <f t="shared" si="4"/>
        <v>155.99999999999935</v>
      </c>
      <c r="J321" s="14">
        <v>59.223300970873801</v>
      </c>
      <c r="K321" s="11" t="s">
        <v>41</v>
      </c>
    </row>
    <row r="322" spans="1:11" x14ac:dyDescent="0.25">
      <c r="A322" s="13">
        <v>8.67951942313904E+16</v>
      </c>
      <c r="B322" s="20" t="s">
        <v>90</v>
      </c>
      <c r="C322" s="11" t="s">
        <v>52</v>
      </c>
      <c r="D322" s="13">
        <v>735220</v>
      </c>
      <c r="E322" s="13">
        <v>7117</v>
      </c>
      <c r="F322" s="11">
        <v>3</v>
      </c>
      <c r="G322" s="13">
        <v>158.252427184466</v>
      </c>
      <c r="H322" s="13">
        <v>4.7475728155339798</v>
      </c>
      <c r="I322" s="13">
        <f t="shared" si="4"/>
        <v>162.99999999999997</v>
      </c>
      <c r="J322" s="14">
        <v>58.252427184466001</v>
      </c>
      <c r="K322" s="11" t="s">
        <v>14</v>
      </c>
    </row>
    <row r="323" spans="1:11" x14ac:dyDescent="0.25">
      <c r="A323" s="13">
        <v>8.9104589971751104E+16</v>
      </c>
      <c r="B323" s="20" t="s">
        <v>78</v>
      </c>
      <c r="C323" s="11" t="s">
        <v>16</v>
      </c>
      <c r="D323" s="13">
        <v>131001</v>
      </c>
      <c r="E323" s="13">
        <v>7117</v>
      </c>
      <c r="F323" s="11">
        <v>3</v>
      </c>
      <c r="G323" s="13">
        <v>109.70873786407699</v>
      </c>
      <c r="H323" s="13">
        <v>3.5825242718446599</v>
      </c>
      <c r="I323" s="13">
        <f t="shared" ref="I323:I386" si="5">G323+H323</f>
        <v>113.29126213592166</v>
      </c>
      <c r="J323" s="14">
        <v>50.485436893203897</v>
      </c>
      <c r="K323" s="11" t="s">
        <v>63</v>
      </c>
    </row>
    <row r="324" spans="1:11" x14ac:dyDescent="0.25">
      <c r="A324" s="13">
        <v>9.1492765561134E+16</v>
      </c>
      <c r="B324" s="20" t="s">
        <v>92</v>
      </c>
      <c r="C324" s="11" t="s">
        <v>25</v>
      </c>
      <c r="D324" s="13">
        <v>852214</v>
      </c>
      <c r="E324" s="13">
        <v>7117</v>
      </c>
      <c r="F324" s="11">
        <v>3</v>
      </c>
      <c r="G324" s="13">
        <v>160.19417475728099</v>
      </c>
      <c r="H324" s="13">
        <v>4.8058252427184502</v>
      </c>
      <c r="I324" s="13">
        <f t="shared" si="5"/>
        <v>164.99999999999943</v>
      </c>
      <c r="J324" s="14">
        <v>59.223300970873801</v>
      </c>
      <c r="K324" s="11" t="s">
        <v>22</v>
      </c>
    </row>
    <row r="325" spans="1:11" x14ac:dyDescent="0.25">
      <c r="A325" s="13">
        <v>9.2510853938512896E+16</v>
      </c>
      <c r="B325" s="20" t="s">
        <v>80</v>
      </c>
      <c r="C325" s="11" t="s">
        <v>9</v>
      </c>
      <c r="D325" s="13">
        <v>243201</v>
      </c>
      <c r="E325" s="13">
        <v>7117</v>
      </c>
      <c r="F325" s="11">
        <v>3</v>
      </c>
      <c r="G325" s="13">
        <v>144.66019417475701</v>
      </c>
      <c r="H325" s="13">
        <v>4.6310679611650496</v>
      </c>
      <c r="I325" s="13">
        <f t="shared" si="5"/>
        <v>149.29126213592207</v>
      </c>
      <c r="J325" s="14">
        <v>47.572815533980602</v>
      </c>
      <c r="K325" s="11" t="s">
        <v>10</v>
      </c>
    </row>
    <row r="326" spans="1:11" x14ac:dyDescent="0.25">
      <c r="A326" s="13">
        <v>8.7460421212706096E+16</v>
      </c>
      <c r="B326" s="20" t="s">
        <v>75</v>
      </c>
      <c r="C326" s="11" t="s">
        <v>52</v>
      </c>
      <c r="D326" s="13">
        <v>802132</v>
      </c>
      <c r="E326" s="13">
        <v>7117</v>
      </c>
      <c r="F326" s="11">
        <v>3</v>
      </c>
      <c r="G326" s="13">
        <v>157.28155339805801</v>
      </c>
      <c r="H326" s="13">
        <v>5.2427184466019403</v>
      </c>
      <c r="I326" s="13">
        <f t="shared" si="5"/>
        <v>162.52427184465995</v>
      </c>
      <c r="J326" s="14">
        <v>41.747572815533999</v>
      </c>
      <c r="K326" s="11" t="s">
        <v>22</v>
      </c>
    </row>
    <row r="327" spans="1:11" x14ac:dyDescent="0.25">
      <c r="A327" s="13">
        <v>9.0302275847488496E+16</v>
      </c>
      <c r="B327" s="20" t="s">
        <v>84</v>
      </c>
      <c r="C327" s="11" t="s">
        <v>25</v>
      </c>
      <c r="D327" s="13">
        <v>362266</v>
      </c>
      <c r="E327" s="13">
        <v>340600</v>
      </c>
      <c r="F327" s="11">
        <v>12</v>
      </c>
      <c r="G327" s="13">
        <v>169.642857142857</v>
      </c>
      <c r="H327" s="13">
        <v>20.357142857142801</v>
      </c>
      <c r="I327" s="13">
        <f t="shared" si="5"/>
        <v>189.9999999999998</v>
      </c>
      <c r="J327" s="14">
        <v>66.964285714285694</v>
      </c>
      <c r="K327" s="11" t="s">
        <v>12</v>
      </c>
    </row>
    <row r="328" spans="1:11" x14ac:dyDescent="0.25">
      <c r="A328" s="13">
        <v>8.68392470883172E+16</v>
      </c>
      <c r="B328" s="20" t="s">
        <v>90</v>
      </c>
      <c r="C328" s="11" t="s">
        <v>25</v>
      </c>
      <c r="D328" s="13">
        <v>143001</v>
      </c>
      <c r="E328" s="13">
        <v>7117</v>
      </c>
      <c r="F328" s="11">
        <v>3</v>
      </c>
      <c r="G328" s="13">
        <v>156.31067961164999</v>
      </c>
      <c r="H328" s="13">
        <v>4.9805825242718402</v>
      </c>
      <c r="I328" s="13">
        <f t="shared" si="5"/>
        <v>161.29126213592184</v>
      </c>
      <c r="J328" s="14">
        <v>49.514563106796103</v>
      </c>
      <c r="K328" s="11" t="s">
        <v>17</v>
      </c>
    </row>
    <row r="329" spans="1:11" x14ac:dyDescent="0.25">
      <c r="A329" s="13">
        <v>8.7389530655167808E+16</v>
      </c>
      <c r="B329" s="20" t="s">
        <v>75</v>
      </c>
      <c r="C329" s="11" t="s">
        <v>21</v>
      </c>
      <c r="D329" s="13">
        <v>843313</v>
      </c>
      <c r="E329" s="13">
        <v>7117</v>
      </c>
      <c r="F329" s="11">
        <v>3</v>
      </c>
      <c r="G329" s="13">
        <v>139.80582524271799</v>
      </c>
      <c r="H329" s="13">
        <v>4.1941747572815498</v>
      </c>
      <c r="I329" s="13">
        <f t="shared" si="5"/>
        <v>143.99999999999955</v>
      </c>
      <c r="J329" s="14">
        <v>58.252427184466001</v>
      </c>
      <c r="K329" s="11" t="s">
        <v>22</v>
      </c>
    </row>
    <row r="330" spans="1:11" x14ac:dyDescent="0.25">
      <c r="A330" s="13">
        <v>8.8630739731474096E+16</v>
      </c>
      <c r="B330" s="20" t="s">
        <v>69</v>
      </c>
      <c r="C330" s="11" t="s">
        <v>16</v>
      </c>
      <c r="D330" s="13">
        <v>281004</v>
      </c>
      <c r="E330" s="13">
        <v>7117</v>
      </c>
      <c r="F330" s="11">
        <v>3</v>
      </c>
      <c r="G330" s="13">
        <v>148.54368932038801</v>
      </c>
      <c r="H330" s="13">
        <v>4.7475728155339798</v>
      </c>
      <c r="I330" s="13">
        <f t="shared" si="5"/>
        <v>153.29126213592198</v>
      </c>
      <c r="J330" s="14">
        <v>48.543689320388303</v>
      </c>
      <c r="K330" s="11" t="s">
        <v>10</v>
      </c>
    </row>
    <row r="331" spans="1:11" x14ac:dyDescent="0.25">
      <c r="A331" s="13">
        <v>8.9755784381956192E+16</v>
      </c>
      <c r="B331" s="20" t="s">
        <v>77</v>
      </c>
      <c r="C331" s="11" t="s">
        <v>16</v>
      </c>
      <c r="D331" s="13">
        <v>400037</v>
      </c>
      <c r="E331" s="13">
        <v>340600</v>
      </c>
      <c r="F331" s="11">
        <v>12</v>
      </c>
      <c r="G331" s="13">
        <v>190.17857142857099</v>
      </c>
      <c r="H331" s="13">
        <v>22.821428571428498</v>
      </c>
      <c r="I331" s="13">
        <f t="shared" si="5"/>
        <v>212.99999999999949</v>
      </c>
      <c r="J331" s="14">
        <v>53.571428571428598</v>
      </c>
      <c r="K331" s="11" t="s">
        <v>41</v>
      </c>
    </row>
    <row r="332" spans="1:11" x14ac:dyDescent="0.25">
      <c r="A332" s="13">
        <v>8.7436760967795296E+16</v>
      </c>
      <c r="B332" s="20" t="s">
        <v>75</v>
      </c>
      <c r="C332" s="11" t="s">
        <v>16</v>
      </c>
      <c r="D332" s="13">
        <v>560064</v>
      </c>
      <c r="E332" s="13">
        <v>7117</v>
      </c>
      <c r="F332" s="11">
        <v>3</v>
      </c>
      <c r="G332" s="13">
        <v>120.388349514563</v>
      </c>
      <c r="H332" s="13">
        <v>4.13592233009709</v>
      </c>
      <c r="I332" s="13">
        <f t="shared" si="5"/>
        <v>124.52427184466009</v>
      </c>
      <c r="J332" s="14">
        <v>40.776699029126199</v>
      </c>
      <c r="K332" s="11" t="s">
        <v>19</v>
      </c>
    </row>
    <row r="333" spans="1:11" x14ac:dyDescent="0.25">
      <c r="A333" s="13">
        <v>8.79469208919192E+16</v>
      </c>
      <c r="B333" s="20" t="s">
        <v>76</v>
      </c>
      <c r="C333" s="11" t="s">
        <v>16</v>
      </c>
      <c r="D333" s="13">
        <v>403720</v>
      </c>
      <c r="E333" s="13">
        <v>340600</v>
      </c>
      <c r="F333" s="11">
        <v>12</v>
      </c>
      <c r="G333" s="13">
        <v>179.46428571428501</v>
      </c>
      <c r="H333" s="13">
        <v>21.535714285714199</v>
      </c>
      <c r="I333" s="13">
        <f t="shared" si="5"/>
        <v>200.9999999999992</v>
      </c>
      <c r="J333" s="14">
        <v>66.964285714285694</v>
      </c>
      <c r="K333" s="11" t="s">
        <v>104</v>
      </c>
    </row>
    <row r="334" spans="1:11" x14ac:dyDescent="0.25">
      <c r="A334" s="13">
        <v>8.8984112085529408E+16</v>
      </c>
      <c r="B334" s="20" t="s">
        <v>70</v>
      </c>
      <c r="C334" s="11" t="s">
        <v>16</v>
      </c>
      <c r="D334" s="13">
        <v>110029</v>
      </c>
      <c r="E334" s="13">
        <v>7117</v>
      </c>
      <c r="F334" s="11">
        <v>3</v>
      </c>
      <c r="G334" s="13">
        <v>198.05825242718399</v>
      </c>
      <c r="H334" s="13">
        <v>6.6407766990291304</v>
      </c>
      <c r="I334" s="13">
        <f t="shared" si="5"/>
        <v>204.69902912621311</v>
      </c>
      <c r="J334" s="14">
        <v>36.893203883495197</v>
      </c>
      <c r="K334" s="11" t="s">
        <v>28</v>
      </c>
    </row>
    <row r="335" spans="1:11" x14ac:dyDescent="0.25">
      <c r="A335" s="13">
        <v>9.11850528432792E+16</v>
      </c>
      <c r="B335" s="20" t="s">
        <v>99</v>
      </c>
      <c r="C335" s="11" t="s">
        <v>16</v>
      </c>
      <c r="D335" s="13">
        <v>110019</v>
      </c>
      <c r="E335" s="13">
        <v>7117</v>
      </c>
      <c r="F335" s="11">
        <v>3</v>
      </c>
      <c r="G335" s="13">
        <v>150.485436893203</v>
      </c>
      <c r="H335" s="13">
        <v>4.8058252427184502</v>
      </c>
      <c r="I335" s="13">
        <f t="shared" si="5"/>
        <v>155.29126213592144</v>
      </c>
      <c r="J335" s="14">
        <v>47.572815533980602</v>
      </c>
      <c r="K335" s="11" t="s">
        <v>28</v>
      </c>
    </row>
    <row r="336" spans="1:11" x14ac:dyDescent="0.25">
      <c r="A336" s="13">
        <v>8.5027316368900192E+16</v>
      </c>
      <c r="B336" s="20" t="s">
        <v>89</v>
      </c>
      <c r="C336" s="11" t="s">
        <v>21</v>
      </c>
      <c r="D336" s="13">
        <v>140507</v>
      </c>
      <c r="E336" s="13">
        <v>7117</v>
      </c>
      <c r="F336" s="11">
        <v>3</v>
      </c>
      <c r="G336" s="13">
        <v>147.57281553397999</v>
      </c>
      <c r="H336" s="13">
        <v>4.7184466019417499</v>
      </c>
      <c r="I336" s="13">
        <f t="shared" si="5"/>
        <v>152.29126213592173</v>
      </c>
      <c r="J336" s="14">
        <v>49.514563106796103</v>
      </c>
      <c r="K336" s="11" t="s">
        <v>17</v>
      </c>
    </row>
    <row r="337" spans="1:11" x14ac:dyDescent="0.25">
      <c r="A337" s="13">
        <v>8.89474887335216E+16</v>
      </c>
      <c r="B337" s="20" t="s">
        <v>70</v>
      </c>
      <c r="C337" s="11" t="s">
        <v>16</v>
      </c>
      <c r="D337" s="13">
        <v>110084</v>
      </c>
      <c r="E337" s="13">
        <v>7117</v>
      </c>
      <c r="F337" s="11">
        <v>3</v>
      </c>
      <c r="G337" s="13">
        <v>127.184466019417</v>
      </c>
      <c r="H337" s="13">
        <v>4.4854368932038797</v>
      </c>
      <c r="I337" s="13">
        <f t="shared" si="5"/>
        <v>131.66990291262087</v>
      </c>
      <c r="J337" s="14">
        <v>36.893203883495197</v>
      </c>
      <c r="K337" s="11" t="s">
        <v>28</v>
      </c>
    </row>
    <row r="338" spans="1:11" x14ac:dyDescent="0.25">
      <c r="A338" s="13">
        <v>8.9440471605717792E+16</v>
      </c>
      <c r="B338" s="20" t="s">
        <v>77</v>
      </c>
      <c r="C338" s="11" t="s">
        <v>16</v>
      </c>
      <c r="D338" s="13">
        <v>500034</v>
      </c>
      <c r="E338" s="13">
        <v>340600</v>
      </c>
      <c r="F338" s="11">
        <v>12</v>
      </c>
      <c r="G338" s="13">
        <v>181.25</v>
      </c>
      <c r="H338" s="13">
        <v>21.75</v>
      </c>
      <c r="I338" s="13">
        <f t="shared" si="5"/>
        <v>203</v>
      </c>
      <c r="J338" s="14">
        <v>68.75</v>
      </c>
      <c r="K338" s="11" t="s">
        <v>53</v>
      </c>
    </row>
    <row r="339" spans="1:11" x14ac:dyDescent="0.25">
      <c r="A339" s="13">
        <v>9.3539328912716608E+16</v>
      </c>
      <c r="B339" s="20" t="s">
        <v>86</v>
      </c>
      <c r="C339" s="11" t="s">
        <v>9</v>
      </c>
      <c r="D339" s="13">
        <v>497220</v>
      </c>
      <c r="E339" s="13">
        <v>7117</v>
      </c>
      <c r="F339" s="11">
        <v>3</v>
      </c>
      <c r="G339" s="13">
        <v>160.19417475728099</v>
      </c>
      <c r="H339" s="13">
        <v>4.8058252427184502</v>
      </c>
      <c r="I339" s="13">
        <f t="shared" si="5"/>
        <v>164.99999999999943</v>
      </c>
      <c r="J339" s="14">
        <v>57.2815533980583</v>
      </c>
      <c r="K339" s="11" t="s">
        <v>23</v>
      </c>
    </row>
    <row r="340" spans="1:11" x14ac:dyDescent="0.25">
      <c r="A340" s="13">
        <v>8.8258744971919504E+16</v>
      </c>
      <c r="B340" s="20" t="s">
        <v>68</v>
      </c>
      <c r="C340" s="11" t="s">
        <v>21</v>
      </c>
      <c r="D340" s="13">
        <v>122001</v>
      </c>
      <c r="E340" s="13">
        <v>7117</v>
      </c>
      <c r="F340" s="11">
        <v>3</v>
      </c>
      <c r="G340" s="13">
        <v>156.31067961164999</v>
      </c>
      <c r="H340" s="13">
        <v>4.9805825242718402</v>
      </c>
      <c r="I340" s="13">
        <f t="shared" si="5"/>
        <v>161.29126213592184</v>
      </c>
      <c r="J340" s="14">
        <v>49.514563106796103</v>
      </c>
      <c r="K340" s="11" t="s">
        <v>63</v>
      </c>
    </row>
    <row r="341" spans="1:11" x14ac:dyDescent="0.25">
      <c r="A341" s="13">
        <v>8.9925866835928704E+16</v>
      </c>
      <c r="B341" s="20" t="s">
        <v>82</v>
      </c>
      <c r="C341" s="11" t="s">
        <v>16</v>
      </c>
      <c r="D341" s="13">
        <v>244412</v>
      </c>
      <c r="E341" s="13">
        <v>7117</v>
      </c>
      <c r="F341" s="11">
        <v>3</v>
      </c>
      <c r="G341" s="13">
        <v>158.252427184466</v>
      </c>
      <c r="H341" s="13">
        <v>5.0388349514563098</v>
      </c>
      <c r="I341" s="13">
        <f t="shared" si="5"/>
        <v>163.29126213592232</v>
      </c>
      <c r="J341" s="14">
        <v>49.514563106796103</v>
      </c>
      <c r="K341" s="11" t="s">
        <v>10</v>
      </c>
    </row>
    <row r="342" spans="1:11" x14ac:dyDescent="0.25">
      <c r="A342" s="13">
        <v>9.15056309930628E+16</v>
      </c>
      <c r="B342" s="20" t="s">
        <v>92</v>
      </c>
      <c r="C342" s="11" t="s">
        <v>16</v>
      </c>
      <c r="D342" s="13">
        <v>233303</v>
      </c>
      <c r="E342" s="13">
        <v>7117</v>
      </c>
      <c r="F342" s="11">
        <v>3</v>
      </c>
      <c r="G342" s="13">
        <v>147.57281553397999</v>
      </c>
      <c r="H342" s="13">
        <v>4.7184466019417499</v>
      </c>
      <c r="I342" s="13">
        <f t="shared" si="5"/>
        <v>152.29126213592173</v>
      </c>
      <c r="J342" s="14">
        <v>47.572815533980602</v>
      </c>
      <c r="K342" s="11" t="s">
        <v>10</v>
      </c>
    </row>
    <row r="343" spans="1:11" x14ac:dyDescent="0.25">
      <c r="A343" s="13">
        <v>8.6369948575721104E+16</v>
      </c>
      <c r="B343" s="20" t="s">
        <v>94</v>
      </c>
      <c r="C343" s="11" t="s">
        <v>25</v>
      </c>
      <c r="D343" s="13">
        <v>232102</v>
      </c>
      <c r="E343" s="13">
        <v>7117</v>
      </c>
      <c r="F343" s="11">
        <v>3</v>
      </c>
      <c r="G343" s="13">
        <v>156.31067961164999</v>
      </c>
      <c r="H343" s="13">
        <v>4.9805825242718402</v>
      </c>
      <c r="I343" s="13">
        <f t="shared" si="5"/>
        <v>161.29126213592184</v>
      </c>
      <c r="J343" s="14">
        <v>59.223300970873801</v>
      </c>
      <c r="K343" s="11" t="s">
        <v>10</v>
      </c>
    </row>
    <row r="344" spans="1:11" x14ac:dyDescent="0.25">
      <c r="A344" s="13">
        <v>1.0480269417545699E+17</v>
      </c>
      <c r="B344" s="20" t="s">
        <v>105</v>
      </c>
      <c r="C344" s="11" t="s">
        <v>33</v>
      </c>
      <c r="D344" s="13">
        <v>502110</v>
      </c>
      <c r="E344" s="13">
        <v>7117</v>
      </c>
      <c r="F344" s="11">
        <v>3</v>
      </c>
      <c r="G344" s="13">
        <v>210.67961165048499</v>
      </c>
      <c r="H344" s="13">
        <v>6.5825242718446599</v>
      </c>
      <c r="I344" s="13">
        <f t="shared" si="5"/>
        <v>217.26213592232963</v>
      </c>
      <c r="J344" s="14">
        <v>49.514563106796103</v>
      </c>
      <c r="K344" s="11" t="s">
        <v>53</v>
      </c>
    </row>
    <row r="345" spans="1:11" x14ac:dyDescent="0.25">
      <c r="A345" s="13">
        <v>9.7927382061319808E+16</v>
      </c>
      <c r="B345" s="20" t="s">
        <v>106</v>
      </c>
      <c r="C345" s="11" t="s">
        <v>16</v>
      </c>
      <c r="D345" s="13">
        <v>273402</v>
      </c>
      <c r="E345" s="13">
        <v>7117</v>
      </c>
      <c r="F345" s="11">
        <v>3</v>
      </c>
      <c r="G345" s="13">
        <v>151.45631067961099</v>
      </c>
      <c r="H345" s="13">
        <v>4.8058252427184502</v>
      </c>
      <c r="I345" s="13">
        <f t="shared" si="5"/>
        <v>156.26213592232943</v>
      </c>
      <c r="J345" s="14">
        <v>48.543689320388303</v>
      </c>
      <c r="K345" s="11" t="s">
        <v>10</v>
      </c>
    </row>
    <row r="346" spans="1:11" x14ac:dyDescent="0.25">
      <c r="A346" s="13">
        <v>1.00070552321848E+17</v>
      </c>
      <c r="B346" s="20" t="s">
        <v>107</v>
      </c>
      <c r="C346" s="11" t="s">
        <v>16</v>
      </c>
      <c r="D346" s="13">
        <v>761009</v>
      </c>
      <c r="E346" s="13">
        <v>7117</v>
      </c>
      <c r="F346" s="11">
        <v>3</v>
      </c>
      <c r="G346" s="13">
        <v>147.57281553397999</v>
      </c>
      <c r="H346" s="13">
        <v>4.42718446601942</v>
      </c>
      <c r="I346" s="13">
        <f t="shared" si="5"/>
        <v>151.9999999999994</v>
      </c>
      <c r="J346" s="14">
        <v>59.223300970873801</v>
      </c>
      <c r="K346" s="11" t="s">
        <v>54</v>
      </c>
    </row>
    <row r="347" spans="1:11" x14ac:dyDescent="0.25">
      <c r="A347" s="13">
        <v>1.01613131184366E+17</v>
      </c>
      <c r="B347" s="20" t="s">
        <v>108</v>
      </c>
      <c r="C347" s="11" t="s">
        <v>16</v>
      </c>
      <c r="D347" s="13">
        <v>500064</v>
      </c>
      <c r="E347" s="13">
        <v>7117</v>
      </c>
      <c r="F347" s="11">
        <v>3</v>
      </c>
      <c r="G347" s="13">
        <v>153.39805825242701</v>
      </c>
      <c r="H347" s="13">
        <v>5.1262135922330101</v>
      </c>
      <c r="I347" s="13">
        <f t="shared" si="5"/>
        <v>158.52427184466001</v>
      </c>
      <c r="J347" s="14">
        <v>42.7184466019418</v>
      </c>
      <c r="K347" s="11" t="s">
        <v>53</v>
      </c>
    </row>
    <row r="348" spans="1:11" x14ac:dyDescent="0.25">
      <c r="A348" s="13">
        <v>1.0450165419665E+17</v>
      </c>
      <c r="B348" s="20" t="s">
        <v>109</v>
      </c>
      <c r="C348" s="11" t="s">
        <v>16</v>
      </c>
      <c r="D348" s="13">
        <v>222303</v>
      </c>
      <c r="E348" s="13">
        <v>7117</v>
      </c>
      <c r="F348" s="11">
        <v>3</v>
      </c>
      <c r="G348" s="13">
        <v>140.77669902912601</v>
      </c>
      <c r="H348" s="13">
        <v>4.6601941747572804</v>
      </c>
      <c r="I348" s="13">
        <f t="shared" si="5"/>
        <v>145.4368932038833</v>
      </c>
      <c r="J348" s="14">
        <v>42.7184466019418</v>
      </c>
      <c r="K348" s="11" t="s">
        <v>10</v>
      </c>
    </row>
    <row r="349" spans="1:11" x14ac:dyDescent="0.25">
      <c r="A349" s="13">
        <v>9.5395989931620704E+16</v>
      </c>
      <c r="B349" s="20" t="s">
        <v>110</v>
      </c>
      <c r="C349" s="11" t="s">
        <v>21</v>
      </c>
      <c r="D349" s="13">
        <v>752111</v>
      </c>
      <c r="E349" s="13">
        <v>7117</v>
      </c>
      <c r="F349" s="11">
        <v>3</v>
      </c>
      <c r="G349" s="13">
        <v>165.04854368932001</v>
      </c>
      <c r="H349" s="13">
        <v>4.9514563106796103</v>
      </c>
      <c r="I349" s="13">
        <f t="shared" si="5"/>
        <v>169.99999999999963</v>
      </c>
      <c r="J349" s="14">
        <v>59.223300970873801</v>
      </c>
      <c r="K349" s="11" t="s">
        <v>54</v>
      </c>
    </row>
    <row r="350" spans="1:11" x14ac:dyDescent="0.25">
      <c r="A350" s="13">
        <v>9.76101756590464E+16</v>
      </c>
      <c r="B350" s="20" t="s">
        <v>111</v>
      </c>
      <c r="C350" s="11" t="s">
        <v>16</v>
      </c>
      <c r="D350" s="13">
        <v>854202</v>
      </c>
      <c r="E350" s="13">
        <v>7117</v>
      </c>
      <c r="F350" s="11">
        <v>3</v>
      </c>
      <c r="G350" s="13">
        <v>148.54368932038801</v>
      </c>
      <c r="H350" s="13">
        <v>4.4563106796116498</v>
      </c>
      <c r="I350" s="13">
        <f t="shared" si="5"/>
        <v>152.99999999999966</v>
      </c>
      <c r="J350" s="14">
        <v>58.252427184466001</v>
      </c>
      <c r="K350" s="11" t="s">
        <v>22</v>
      </c>
    </row>
    <row r="351" spans="1:11" x14ac:dyDescent="0.25">
      <c r="A351" s="13">
        <v>9.55748475519968E+16</v>
      </c>
      <c r="B351" s="20" t="s">
        <v>110</v>
      </c>
      <c r="C351" s="11" t="s">
        <v>25</v>
      </c>
      <c r="D351" s="13">
        <v>829144</v>
      </c>
      <c r="E351" s="13">
        <v>7117</v>
      </c>
      <c r="F351" s="11">
        <v>18</v>
      </c>
      <c r="G351" s="13">
        <v>172.88135593220301</v>
      </c>
      <c r="H351" s="13">
        <v>34.016949152542303</v>
      </c>
      <c r="I351" s="13">
        <f t="shared" si="5"/>
        <v>206.89830508474532</v>
      </c>
      <c r="J351" s="14">
        <v>37.288135593220296</v>
      </c>
      <c r="K351" s="11" t="s">
        <v>37</v>
      </c>
    </row>
    <row r="352" spans="1:11" x14ac:dyDescent="0.25">
      <c r="A352" s="13">
        <v>9.50147226480936E+16</v>
      </c>
      <c r="B352" s="20" t="s">
        <v>112</v>
      </c>
      <c r="C352" s="11" t="s">
        <v>16</v>
      </c>
      <c r="D352" s="13">
        <v>572101</v>
      </c>
      <c r="E352" s="13">
        <v>7117</v>
      </c>
      <c r="F352" s="11">
        <v>3</v>
      </c>
      <c r="G352" s="13">
        <v>179.611650485436</v>
      </c>
      <c r="H352" s="13">
        <v>5.3883495145631102</v>
      </c>
      <c r="I352" s="13">
        <f t="shared" si="5"/>
        <v>184.99999999999912</v>
      </c>
      <c r="J352" s="14">
        <v>59.223300970873801</v>
      </c>
      <c r="K352" s="11" t="s">
        <v>19</v>
      </c>
    </row>
    <row r="353" spans="1:11" x14ac:dyDescent="0.25">
      <c r="A353" s="13">
        <v>9.6516365373863296E+16</v>
      </c>
      <c r="B353" s="20" t="s">
        <v>113</v>
      </c>
      <c r="C353" s="11" t="s">
        <v>25</v>
      </c>
      <c r="D353" s="13">
        <v>229202</v>
      </c>
      <c r="E353" s="13">
        <v>7117</v>
      </c>
      <c r="F353" s="11">
        <v>3</v>
      </c>
      <c r="G353" s="13">
        <v>138.83495145630999</v>
      </c>
      <c r="H353" s="13">
        <v>4.4563106796116498</v>
      </c>
      <c r="I353" s="13">
        <f t="shared" si="5"/>
        <v>143.29126213592164</v>
      </c>
      <c r="J353" s="14">
        <v>48.543689320388303</v>
      </c>
      <c r="K353" s="11" t="s">
        <v>10</v>
      </c>
    </row>
    <row r="354" spans="1:11" x14ac:dyDescent="0.25">
      <c r="A354" s="13">
        <v>9.91538612228932E+16</v>
      </c>
      <c r="B354" s="20" t="s">
        <v>114</v>
      </c>
      <c r="C354" s="11" t="s">
        <v>52</v>
      </c>
      <c r="D354" s="13">
        <v>581118</v>
      </c>
      <c r="E354" s="13">
        <v>7117</v>
      </c>
      <c r="F354" s="11">
        <v>3</v>
      </c>
      <c r="G354" s="13">
        <v>151.45631067961099</v>
      </c>
      <c r="H354" s="13">
        <v>5.0679611650485397</v>
      </c>
      <c r="I354" s="13">
        <f t="shared" si="5"/>
        <v>156.52427184465952</v>
      </c>
      <c r="J354" s="14">
        <v>39.805825242718498</v>
      </c>
      <c r="K354" s="11" t="s">
        <v>19</v>
      </c>
    </row>
    <row r="355" spans="1:11" x14ac:dyDescent="0.25">
      <c r="A355" s="13">
        <v>9.7595403572016608E+16</v>
      </c>
      <c r="B355" s="20" t="s">
        <v>111</v>
      </c>
      <c r="C355" s="11" t="s">
        <v>25</v>
      </c>
      <c r="D355" s="13">
        <v>413112</v>
      </c>
      <c r="E355" s="13">
        <v>7117</v>
      </c>
      <c r="F355" s="11">
        <v>3</v>
      </c>
      <c r="G355" s="13">
        <v>189.32038834951399</v>
      </c>
      <c r="H355" s="13">
        <v>5.6796116504854401</v>
      </c>
      <c r="I355" s="13">
        <f t="shared" si="5"/>
        <v>194.99999999999943</v>
      </c>
      <c r="J355" s="14">
        <v>59.223300970873801</v>
      </c>
      <c r="K355" s="11" t="s">
        <v>41</v>
      </c>
    </row>
    <row r="356" spans="1:11" x14ac:dyDescent="0.25">
      <c r="A356" s="13">
        <v>9.5457450271897904E+16</v>
      </c>
      <c r="B356" s="20" t="s">
        <v>110</v>
      </c>
      <c r="C356" s="11" t="s">
        <v>16</v>
      </c>
      <c r="D356" s="13">
        <v>828130</v>
      </c>
      <c r="E356" s="13">
        <v>7117</v>
      </c>
      <c r="F356" s="11">
        <v>3</v>
      </c>
      <c r="G356" s="13">
        <v>179.611650485436</v>
      </c>
      <c r="H356" s="13">
        <v>5.3883495145631102</v>
      </c>
      <c r="I356" s="13">
        <f t="shared" si="5"/>
        <v>184.99999999999912</v>
      </c>
      <c r="J356" s="14">
        <v>59.223300970873801</v>
      </c>
      <c r="K356" s="11" t="s">
        <v>37</v>
      </c>
    </row>
    <row r="357" spans="1:11" x14ac:dyDescent="0.25">
      <c r="A357" s="13">
        <v>1.0115808220115E+17</v>
      </c>
      <c r="B357" s="20" t="s">
        <v>116</v>
      </c>
      <c r="C357" s="11" t="s">
        <v>16</v>
      </c>
      <c r="D357" s="13">
        <v>488333</v>
      </c>
      <c r="E357" s="13">
        <v>7117</v>
      </c>
      <c r="F357" s="11">
        <v>3</v>
      </c>
      <c r="G357" s="13">
        <v>156.31067961164999</v>
      </c>
      <c r="H357" s="13">
        <v>4.8058252427184502</v>
      </c>
      <c r="I357" s="13">
        <f t="shared" si="5"/>
        <v>161.11650485436843</v>
      </c>
      <c r="J357" s="14">
        <v>55.339805825242699</v>
      </c>
      <c r="K357" s="11" t="s">
        <v>26</v>
      </c>
    </row>
    <row r="358" spans="1:11" x14ac:dyDescent="0.25">
      <c r="A358" s="13">
        <v>1.00485662525816E+17</v>
      </c>
      <c r="B358" s="20" t="s">
        <v>117</v>
      </c>
      <c r="C358" s="11" t="s">
        <v>16</v>
      </c>
      <c r="D358" s="13">
        <v>440022</v>
      </c>
      <c r="E358" s="13">
        <v>7117</v>
      </c>
      <c r="F358" s="11">
        <v>3</v>
      </c>
      <c r="G358" s="13">
        <v>129.126213592233</v>
      </c>
      <c r="H358" s="13">
        <v>4.42718446601942</v>
      </c>
      <c r="I358" s="13">
        <f t="shared" si="5"/>
        <v>133.55339805825241</v>
      </c>
      <c r="J358" s="14">
        <v>40.776699029126199</v>
      </c>
      <c r="K358" s="11" t="s">
        <v>41</v>
      </c>
    </row>
    <row r="359" spans="1:11" x14ac:dyDescent="0.25">
      <c r="A359" s="13">
        <v>9.6438336572290592E+16</v>
      </c>
      <c r="B359" s="20" t="s">
        <v>113</v>
      </c>
      <c r="C359" s="11" t="s">
        <v>21</v>
      </c>
      <c r="D359" s="13">
        <v>805107</v>
      </c>
      <c r="E359" s="13">
        <v>7117</v>
      </c>
      <c r="F359" s="11">
        <v>3</v>
      </c>
      <c r="G359" s="13">
        <v>181.55339805825199</v>
      </c>
      <c r="H359" s="13">
        <v>5.44660194174757</v>
      </c>
      <c r="I359" s="13">
        <f t="shared" si="5"/>
        <v>186.99999999999955</v>
      </c>
      <c r="J359" s="14">
        <v>59.223300970873801</v>
      </c>
      <c r="K359" s="11" t="s">
        <v>22</v>
      </c>
    </row>
    <row r="360" spans="1:11" x14ac:dyDescent="0.25">
      <c r="A360" s="13">
        <v>9.52007153344316E+16</v>
      </c>
      <c r="B360" s="20" t="s">
        <v>112</v>
      </c>
      <c r="C360" s="11" t="s">
        <v>16</v>
      </c>
      <c r="D360" s="13">
        <v>305801</v>
      </c>
      <c r="E360" s="13">
        <v>7117</v>
      </c>
      <c r="F360" s="11">
        <v>3</v>
      </c>
      <c r="G360" s="13">
        <v>163.106796116504</v>
      </c>
      <c r="H360" s="13">
        <v>5.0679611650485397</v>
      </c>
      <c r="I360" s="13">
        <f t="shared" si="5"/>
        <v>168.17475728155253</v>
      </c>
      <c r="J360" s="14">
        <v>52.427184466019398</v>
      </c>
      <c r="K360" s="11" t="s">
        <v>46</v>
      </c>
    </row>
    <row r="361" spans="1:11" x14ac:dyDescent="0.25">
      <c r="A361" s="13">
        <v>9.9874292992722304E+16</v>
      </c>
      <c r="B361" s="20" t="s">
        <v>118</v>
      </c>
      <c r="C361" s="11" t="s">
        <v>16</v>
      </c>
      <c r="D361" s="13">
        <v>700018</v>
      </c>
      <c r="E361" s="13">
        <v>7117</v>
      </c>
      <c r="F361" s="11">
        <v>3</v>
      </c>
      <c r="G361" s="13">
        <v>159.223300970873</v>
      </c>
      <c r="H361" s="13">
        <v>4.7766990291262097</v>
      </c>
      <c r="I361" s="13">
        <f t="shared" si="5"/>
        <v>163.9999999999992</v>
      </c>
      <c r="J361" s="14">
        <v>57.2815533980583</v>
      </c>
      <c r="K361" s="11" t="s">
        <v>14</v>
      </c>
    </row>
    <row r="362" spans="1:11" x14ac:dyDescent="0.25">
      <c r="A362" s="13">
        <v>9.5093555023786896E+16</v>
      </c>
      <c r="B362" s="20" t="s">
        <v>112</v>
      </c>
      <c r="C362" s="11" t="s">
        <v>21</v>
      </c>
      <c r="D362" s="13">
        <v>302029</v>
      </c>
      <c r="E362" s="13">
        <v>7117</v>
      </c>
      <c r="F362" s="11">
        <v>3</v>
      </c>
      <c r="G362" s="13">
        <v>179.611650485436</v>
      </c>
      <c r="H362" s="13">
        <v>5.6796116504854401</v>
      </c>
      <c r="I362" s="13">
        <f t="shared" si="5"/>
        <v>185.29126213592144</v>
      </c>
      <c r="J362" s="14">
        <v>49.514563106796103</v>
      </c>
      <c r="K362" s="11" t="s">
        <v>46</v>
      </c>
    </row>
    <row r="363" spans="1:11" x14ac:dyDescent="0.25">
      <c r="A363" s="13">
        <v>9.5463692717455808E+16</v>
      </c>
      <c r="B363" s="20" t="s">
        <v>110</v>
      </c>
      <c r="C363" s="11" t="s">
        <v>16</v>
      </c>
      <c r="D363" s="13">
        <v>563127</v>
      </c>
      <c r="E363" s="13">
        <v>7117</v>
      </c>
      <c r="F363" s="11">
        <v>3</v>
      </c>
      <c r="G363" s="13">
        <v>181.55339805825199</v>
      </c>
      <c r="H363" s="13">
        <v>5.44660194174757</v>
      </c>
      <c r="I363" s="13">
        <f t="shared" si="5"/>
        <v>186.99999999999955</v>
      </c>
      <c r="J363" s="14">
        <v>59.223300970873801</v>
      </c>
      <c r="K363" s="11" t="s">
        <v>19</v>
      </c>
    </row>
    <row r="364" spans="1:11" x14ac:dyDescent="0.25">
      <c r="A364" s="13">
        <v>9.5904244185363904E+16</v>
      </c>
      <c r="B364" s="20" t="s">
        <v>119</v>
      </c>
      <c r="C364" s="11" t="s">
        <v>16</v>
      </c>
      <c r="D364" s="13">
        <v>444806</v>
      </c>
      <c r="E364" s="13">
        <v>7117</v>
      </c>
      <c r="F364" s="11">
        <v>3</v>
      </c>
      <c r="G364" s="13">
        <v>166.990291262135</v>
      </c>
      <c r="H364" s="13">
        <v>5.0097087378640799</v>
      </c>
      <c r="I364" s="13">
        <f t="shared" si="5"/>
        <v>171.99999999999909</v>
      </c>
      <c r="J364" s="14">
        <v>58.252427184466001</v>
      </c>
      <c r="K364" s="11" t="s">
        <v>41</v>
      </c>
    </row>
    <row r="365" spans="1:11" x14ac:dyDescent="0.25">
      <c r="A365" s="13">
        <v>9.7573064620848096E+16</v>
      </c>
      <c r="B365" s="20" t="s">
        <v>111</v>
      </c>
      <c r="C365" s="11" t="s">
        <v>16</v>
      </c>
      <c r="D365" s="13">
        <v>221304</v>
      </c>
      <c r="E365" s="13">
        <v>7117</v>
      </c>
      <c r="F365" s="11">
        <v>3</v>
      </c>
      <c r="G365" s="13">
        <v>171.844660194174</v>
      </c>
      <c r="H365" s="13">
        <v>5.44660194174757</v>
      </c>
      <c r="I365" s="13">
        <f t="shared" si="5"/>
        <v>177.29126213592156</v>
      </c>
      <c r="J365" s="14">
        <v>49.514563106796103</v>
      </c>
      <c r="K365" s="11" t="s">
        <v>10</v>
      </c>
    </row>
    <row r="366" spans="1:11" x14ac:dyDescent="0.25">
      <c r="A366" s="13">
        <v>9.7382439304754592E+16</v>
      </c>
      <c r="B366" s="20" t="s">
        <v>121</v>
      </c>
      <c r="C366" s="11" t="s">
        <v>25</v>
      </c>
      <c r="D366" s="13">
        <v>804432</v>
      </c>
      <c r="E366" s="13">
        <v>7117</v>
      </c>
      <c r="F366" s="11">
        <v>3</v>
      </c>
      <c r="G366" s="13">
        <v>157.28155339805801</v>
      </c>
      <c r="H366" s="13">
        <v>4.7184466019417499</v>
      </c>
      <c r="I366" s="13">
        <f t="shared" si="5"/>
        <v>161.99999999999977</v>
      </c>
      <c r="J366" s="14">
        <v>59.223300970873801</v>
      </c>
      <c r="K366" s="11" t="s">
        <v>22</v>
      </c>
    </row>
    <row r="367" spans="1:11" x14ac:dyDescent="0.25">
      <c r="A367" s="13">
        <v>9.952999168062E+16</v>
      </c>
      <c r="B367" s="20" t="s">
        <v>115</v>
      </c>
      <c r="C367" s="11" t="s">
        <v>71</v>
      </c>
      <c r="D367" s="13">
        <v>824211</v>
      </c>
      <c r="E367" s="13">
        <v>7117</v>
      </c>
      <c r="F367" s="11">
        <v>3</v>
      </c>
      <c r="G367" s="13">
        <v>142.718446601941</v>
      </c>
      <c r="H367" s="13">
        <v>4.42718446601942</v>
      </c>
      <c r="I367" s="13">
        <f t="shared" si="5"/>
        <v>147.14563106796041</v>
      </c>
      <c r="J367" s="14">
        <v>52.427184466019398</v>
      </c>
      <c r="K367" s="11" t="s">
        <v>22</v>
      </c>
    </row>
    <row r="368" spans="1:11" x14ac:dyDescent="0.25">
      <c r="A368" s="13">
        <v>9.6515865974863296E+16</v>
      </c>
      <c r="B368" s="20" t="s">
        <v>113</v>
      </c>
      <c r="C368" s="11" t="s">
        <v>21</v>
      </c>
      <c r="D368" s="13">
        <v>474006</v>
      </c>
      <c r="E368" s="13">
        <v>7117</v>
      </c>
      <c r="F368" s="11">
        <v>3</v>
      </c>
      <c r="G368" s="13">
        <v>168.93203883495099</v>
      </c>
      <c r="H368" s="13">
        <v>5.1262135922330101</v>
      </c>
      <c r="I368" s="13">
        <f t="shared" si="5"/>
        <v>174.05825242718399</v>
      </c>
      <c r="J368" s="14">
        <v>57.2815533980583</v>
      </c>
      <c r="K368" s="11" t="s">
        <v>26</v>
      </c>
    </row>
    <row r="369" spans="1:11" x14ac:dyDescent="0.25">
      <c r="A369" s="13">
        <v>9.68038178613016E+16</v>
      </c>
      <c r="B369" s="20" t="s">
        <v>122</v>
      </c>
      <c r="C369" s="11" t="s">
        <v>25</v>
      </c>
      <c r="D369" s="13">
        <v>524322</v>
      </c>
      <c r="E369" s="13">
        <v>7117</v>
      </c>
      <c r="F369" s="11">
        <v>3</v>
      </c>
      <c r="G369" s="13">
        <v>151.45631067961099</v>
      </c>
      <c r="H369" s="13">
        <v>4.5436893203883502</v>
      </c>
      <c r="I369" s="13">
        <f t="shared" si="5"/>
        <v>155.99999999999935</v>
      </c>
      <c r="J369" s="14">
        <v>59.223300970873801</v>
      </c>
      <c r="K369" s="11" t="s">
        <v>39</v>
      </c>
    </row>
    <row r="370" spans="1:11" x14ac:dyDescent="0.25">
      <c r="A370" s="13">
        <v>9.7343712723879296E+16</v>
      </c>
      <c r="B370" s="20" t="s">
        <v>121</v>
      </c>
      <c r="C370" s="11" t="s">
        <v>25</v>
      </c>
      <c r="D370" s="13">
        <v>802218</v>
      </c>
      <c r="E370" s="13">
        <v>7117</v>
      </c>
      <c r="F370" s="11">
        <v>3</v>
      </c>
      <c r="G370" s="13">
        <v>155.339805825242</v>
      </c>
      <c r="H370" s="13">
        <v>4.7184466019417499</v>
      </c>
      <c r="I370" s="13">
        <f t="shared" si="5"/>
        <v>160.05825242718373</v>
      </c>
      <c r="J370" s="14">
        <v>57.2815533980583</v>
      </c>
      <c r="K370" s="11" t="s">
        <v>22</v>
      </c>
    </row>
    <row r="371" spans="1:11" x14ac:dyDescent="0.25">
      <c r="A371" s="13">
        <v>1.0449941857035501E+17</v>
      </c>
      <c r="B371" s="20" t="s">
        <v>109</v>
      </c>
      <c r="C371" s="11" t="s">
        <v>9</v>
      </c>
      <c r="D371" s="13">
        <v>766018</v>
      </c>
      <c r="E371" s="13">
        <v>7117</v>
      </c>
      <c r="F371" s="11">
        <v>3</v>
      </c>
      <c r="G371" s="13">
        <v>267.96116504854302</v>
      </c>
      <c r="H371" s="13">
        <v>8.2718446601941693</v>
      </c>
      <c r="I371" s="13">
        <f t="shared" si="5"/>
        <v>276.2330097087372</v>
      </c>
      <c r="J371" s="14">
        <v>49.514563106796103</v>
      </c>
      <c r="K371" s="11" t="s">
        <v>54</v>
      </c>
    </row>
    <row r="372" spans="1:11" x14ac:dyDescent="0.25">
      <c r="A372" s="13">
        <v>1.0445798745600499E+17</v>
      </c>
      <c r="B372" s="20" t="s">
        <v>109</v>
      </c>
      <c r="C372" s="11" t="s">
        <v>9</v>
      </c>
      <c r="D372" s="13">
        <v>232110</v>
      </c>
      <c r="E372" s="13">
        <v>7117</v>
      </c>
      <c r="F372" s="11">
        <v>3</v>
      </c>
      <c r="G372" s="13">
        <v>268.93203883495102</v>
      </c>
      <c r="H372" s="13">
        <v>8.3300970873786397</v>
      </c>
      <c r="I372" s="13">
        <f t="shared" si="5"/>
        <v>277.26213592232966</v>
      </c>
      <c r="J372" s="14">
        <v>50.485436893203897</v>
      </c>
      <c r="K372" s="11" t="s">
        <v>10</v>
      </c>
    </row>
    <row r="373" spans="1:11" x14ac:dyDescent="0.25">
      <c r="A373" s="13">
        <v>1.0082887613908301E+17</v>
      </c>
      <c r="B373" s="20" t="s">
        <v>123</v>
      </c>
      <c r="C373" s="11" t="s">
        <v>52</v>
      </c>
      <c r="D373" s="13">
        <v>700145</v>
      </c>
      <c r="E373" s="13">
        <v>7117</v>
      </c>
      <c r="F373" s="11">
        <v>3</v>
      </c>
      <c r="G373" s="13">
        <v>140.77669902912601</v>
      </c>
      <c r="H373" s="13">
        <v>4.7766990291262097</v>
      </c>
      <c r="I373" s="13">
        <f t="shared" si="5"/>
        <v>145.55339805825221</v>
      </c>
      <c r="J373" s="14">
        <v>39.805825242718498</v>
      </c>
      <c r="K373" s="11" t="s">
        <v>14</v>
      </c>
    </row>
    <row r="374" spans="1:11" x14ac:dyDescent="0.25">
      <c r="A374" s="13">
        <v>9.7197157270718096E+16</v>
      </c>
      <c r="B374" s="20" t="s">
        <v>121</v>
      </c>
      <c r="C374" s="11" t="s">
        <v>25</v>
      </c>
      <c r="D374" s="13">
        <v>825412</v>
      </c>
      <c r="E374" s="13">
        <v>7117</v>
      </c>
      <c r="F374" s="11">
        <v>3</v>
      </c>
      <c r="G374" s="13">
        <v>166.990291262135</v>
      </c>
      <c r="H374" s="13">
        <v>5.0097087378640799</v>
      </c>
      <c r="I374" s="13">
        <f t="shared" si="5"/>
        <v>171.99999999999909</v>
      </c>
      <c r="J374" s="14">
        <v>58.252427184466001</v>
      </c>
      <c r="K374" s="11" t="s">
        <v>37</v>
      </c>
    </row>
    <row r="375" spans="1:11" x14ac:dyDescent="0.25">
      <c r="A375" s="13">
        <v>9.7932638381093904E+16</v>
      </c>
      <c r="B375" s="20" t="s">
        <v>106</v>
      </c>
      <c r="C375" s="11" t="s">
        <v>16</v>
      </c>
      <c r="D375" s="13">
        <v>847115</v>
      </c>
      <c r="E375" s="13">
        <v>7117</v>
      </c>
      <c r="F375" s="11">
        <v>3</v>
      </c>
      <c r="G375" s="13">
        <v>179.611650485436</v>
      </c>
      <c r="H375" s="13">
        <v>5.3883495145631102</v>
      </c>
      <c r="I375" s="13">
        <f t="shared" si="5"/>
        <v>184.99999999999912</v>
      </c>
      <c r="J375" s="14">
        <v>59.223300970873801</v>
      </c>
      <c r="K375" s="11" t="s">
        <v>22</v>
      </c>
    </row>
    <row r="376" spans="1:11" x14ac:dyDescent="0.25">
      <c r="A376" s="13">
        <v>1.0452658133011299E+17</v>
      </c>
      <c r="B376" s="20" t="s">
        <v>109</v>
      </c>
      <c r="C376" s="11" t="s">
        <v>9</v>
      </c>
      <c r="D376" s="13">
        <v>560026</v>
      </c>
      <c r="E376" s="13">
        <v>7117</v>
      </c>
      <c r="F376" s="11">
        <v>3</v>
      </c>
      <c r="G376" s="13">
        <v>174.757281553398</v>
      </c>
      <c r="H376" s="13">
        <v>5.2427184466019403</v>
      </c>
      <c r="I376" s="13">
        <f t="shared" si="5"/>
        <v>179.99999999999994</v>
      </c>
      <c r="J376" s="14">
        <v>58.252427184466001</v>
      </c>
      <c r="K376" s="11" t="s">
        <v>19</v>
      </c>
    </row>
    <row r="377" spans="1:11" x14ac:dyDescent="0.25">
      <c r="A377" s="13">
        <v>1.00019153718424E+17</v>
      </c>
      <c r="B377" s="20" t="s">
        <v>107</v>
      </c>
      <c r="C377" s="11" t="s">
        <v>16</v>
      </c>
      <c r="D377" s="13">
        <v>641654</v>
      </c>
      <c r="E377" s="13">
        <v>7117</v>
      </c>
      <c r="F377" s="11">
        <v>3</v>
      </c>
      <c r="G377" s="13">
        <v>166.01941747572801</v>
      </c>
      <c r="H377" s="13">
        <v>4.9805825242718402</v>
      </c>
      <c r="I377" s="13">
        <f t="shared" si="5"/>
        <v>170.99999999999986</v>
      </c>
      <c r="J377" s="14">
        <v>57.2815533980583</v>
      </c>
      <c r="K377" s="11" t="s">
        <v>27</v>
      </c>
    </row>
    <row r="378" spans="1:11" x14ac:dyDescent="0.25">
      <c r="A378" s="13">
        <v>9.6556086941484704E+16</v>
      </c>
      <c r="B378" s="20" t="s">
        <v>113</v>
      </c>
      <c r="C378" s="11" t="s">
        <v>16</v>
      </c>
      <c r="D378" s="13">
        <v>282007</v>
      </c>
      <c r="E378" s="13">
        <v>7117</v>
      </c>
      <c r="F378" s="11">
        <v>3</v>
      </c>
      <c r="G378" s="13">
        <v>169.90291262135901</v>
      </c>
      <c r="H378" s="13">
        <v>5.3883495145631102</v>
      </c>
      <c r="I378" s="13">
        <f t="shared" si="5"/>
        <v>175.29126213592212</v>
      </c>
      <c r="J378" s="14">
        <v>49.514563106796103</v>
      </c>
      <c r="K378" s="11" t="s">
        <v>10</v>
      </c>
    </row>
    <row r="379" spans="1:11" x14ac:dyDescent="0.25">
      <c r="A379" s="13">
        <v>1.01908670335352E+17</v>
      </c>
      <c r="B379" s="20" t="s">
        <v>124</v>
      </c>
      <c r="C379" s="11" t="s">
        <v>9</v>
      </c>
      <c r="D379" s="13">
        <v>285122</v>
      </c>
      <c r="E379" s="13">
        <v>7117</v>
      </c>
      <c r="F379" s="11">
        <v>3</v>
      </c>
      <c r="G379" s="13">
        <v>151.45631067961099</v>
      </c>
      <c r="H379" s="13">
        <v>4.8058252427184502</v>
      </c>
      <c r="I379" s="13">
        <f t="shared" si="5"/>
        <v>156.26213592232943</v>
      </c>
      <c r="J379" s="14">
        <v>48.543689320388303</v>
      </c>
      <c r="K379" s="11" t="s">
        <v>10</v>
      </c>
    </row>
    <row r="380" spans="1:11" x14ac:dyDescent="0.25">
      <c r="A380" s="13">
        <v>9.53775238245892E+16</v>
      </c>
      <c r="B380" s="20" t="s">
        <v>110</v>
      </c>
      <c r="C380" s="11" t="s">
        <v>16</v>
      </c>
      <c r="D380" s="13">
        <v>522257</v>
      </c>
      <c r="E380" s="13">
        <v>7117</v>
      </c>
      <c r="F380" s="11">
        <v>3</v>
      </c>
      <c r="G380" s="13">
        <v>165.04854368932001</v>
      </c>
      <c r="H380" s="13">
        <v>4.9514563106796103</v>
      </c>
      <c r="I380" s="13">
        <f t="shared" si="5"/>
        <v>169.99999999999963</v>
      </c>
      <c r="J380" s="14">
        <v>59.223300970873801</v>
      </c>
      <c r="K380" s="11" t="s">
        <v>39</v>
      </c>
    </row>
    <row r="381" spans="1:11" x14ac:dyDescent="0.25">
      <c r="A381" s="13">
        <v>9.7990609349834096E+16</v>
      </c>
      <c r="B381" s="20" t="s">
        <v>106</v>
      </c>
      <c r="C381" s="11" t="s">
        <v>25</v>
      </c>
      <c r="D381" s="13">
        <v>413112</v>
      </c>
      <c r="E381" s="13">
        <v>7117</v>
      </c>
      <c r="F381" s="11">
        <v>3</v>
      </c>
      <c r="G381" s="13">
        <v>179.611650485436</v>
      </c>
      <c r="H381" s="13">
        <v>5.3883495145631102</v>
      </c>
      <c r="I381" s="13">
        <f t="shared" si="5"/>
        <v>184.99999999999912</v>
      </c>
      <c r="J381" s="14">
        <v>59.223300970873801</v>
      </c>
      <c r="K381" s="11" t="s">
        <v>41</v>
      </c>
    </row>
    <row r="382" spans="1:11" x14ac:dyDescent="0.25">
      <c r="A382" s="13">
        <v>9.9772223276921904E+16</v>
      </c>
      <c r="B382" s="20" t="s">
        <v>118</v>
      </c>
      <c r="C382" s="11" t="s">
        <v>16</v>
      </c>
      <c r="D382" s="13">
        <v>841428</v>
      </c>
      <c r="E382" s="13">
        <v>7117</v>
      </c>
      <c r="F382" s="11">
        <v>3</v>
      </c>
      <c r="G382" s="13">
        <v>142.718446601941</v>
      </c>
      <c r="H382" s="13">
        <v>4.3980582524271803</v>
      </c>
      <c r="I382" s="13">
        <f t="shared" si="5"/>
        <v>147.11650485436817</v>
      </c>
      <c r="J382" s="14">
        <v>55.339805825242699</v>
      </c>
      <c r="K382" s="11" t="s">
        <v>22</v>
      </c>
    </row>
    <row r="383" spans="1:11" x14ac:dyDescent="0.25">
      <c r="A383" s="13">
        <v>9.5325343695274896E+16</v>
      </c>
      <c r="B383" s="20" t="s">
        <v>110</v>
      </c>
      <c r="C383" s="11" t="s">
        <v>16</v>
      </c>
      <c r="D383" s="13">
        <v>273304</v>
      </c>
      <c r="E383" s="13">
        <v>7117</v>
      </c>
      <c r="F383" s="11">
        <v>3</v>
      </c>
      <c r="G383" s="13">
        <v>169.90291262135901</v>
      </c>
      <c r="H383" s="13">
        <v>5.3883495145631102</v>
      </c>
      <c r="I383" s="13">
        <f t="shared" si="5"/>
        <v>175.29126213592212</v>
      </c>
      <c r="J383" s="14">
        <v>49.514563106796103</v>
      </c>
      <c r="K383" s="11" t="s">
        <v>10</v>
      </c>
    </row>
    <row r="384" spans="1:11" x14ac:dyDescent="0.25">
      <c r="A384" s="13">
        <v>9.6516943649736304E+16</v>
      </c>
      <c r="B384" s="20" t="s">
        <v>113</v>
      </c>
      <c r="C384" s="11" t="s">
        <v>16</v>
      </c>
      <c r="D384" s="13">
        <v>805111</v>
      </c>
      <c r="E384" s="13">
        <v>7117</v>
      </c>
      <c r="F384" s="11">
        <v>3</v>
      </c>
      <c r="G384" s="13">
        <v>168.93203883495099</v>
      </c>
      <c r="H384" s="13">
        <v>5.0679611650485397</v>
      </c>
      <c r="I384" s="13">
        <f t="shared" si="5"/>
        <v>173.99999999999952</v>
      </c>
      <c r="J384" s="14">
        <v>58.252427184466001</v>
      </c>
      <c r="K384" s="11" t="s">
        <v>22</v>
      </c>
    </row>
    <row r="385" spans="1:11" x14ac:dyDescent="0.25">
      <c r="A385" s="13">
        <v>9.5432182538893696E+16</v>
      </c>
      <c r="B385" s="20" t="s">
        <v>110</v>
      </c>
      <c r="C385" s="11" t="s">
        <v>21</v>
      </c>
      <c r="D385" s="13">
        <v>562138</v>
      </c>
      <c r="E385" s="13">
        <v>7117</v>
      </c>
      <c r="F385" s="11">
        <v>3</v>
      </c>
      <c r="G385" s="13">
        <v>151.45631067961099</v>
      </c>
      <c r="H385" s="13">
        <v>4.5436893203883502</v>
      </c>
      <c r="I385" s="13">
        <f t="shared" si="5"/>
        <v>155.99999999999935</v>
      </c>
      <c r="J385" s="14">
        <v>59.223300970873801</v>
      </c>
      <c r="K385" s="11" t="s">
        <v>19</v>
      </c>
    </row>
    <row r="386" spans="1:11" x14ac:dyDescent="0.25">
      <c r="A386" s="13">
        <v>1.04455113406742E+17</v>
      </c>
      <c r="B386" s="20" t="s">
        <v>109</v>
      </c>
      <c r="C386" s="11" t="s">
        <v>9</v>
      </c>
      <c r="D386" s="13">
        <v>843334</v>
      </c>
      <c r="E386" s="13">
        <v>7117</v>
      </c>
      <c r="F386" s="11">
        <v>3</v>
      </c>
      <c r="G386" s="13">
        <v>174.757281553398</v>
      </c>
      <c r="H386" s="13">
        <v>5.2427184466019403</v>
      </c>
      <c r="I386" s="13">
        <f t="shared" si="5"/>
        <v>179.99999999999994</v>
      </c>
      <c r="J386" s="14">
        <v>58.252427184466001</v>
      </c>
      <c r="K386" s="11" t="s">
        <v>22</v>
      </c>
    </row>
    <row r="387" spans="1:11" x14ac:dyDescent="0.25">
      <c r="A387" s="13">
        <v>9.7393014915150896E+16</v>
      </c>
      <c r="B387" s="20" t="s">
        <v>121</v>
      </c>
      <c r="C387" s="11" t="s">
        <v>71</v>
      </c>
      <c r="D387" s="13">
        <v>222136</v>
      </c>
      <c r="E387" s="13">
        <v>7117</v>
      </c>
      <c r="F387" s="11">
        <v>3</v>
      </c>
      <c r="G387" s="13">
        <v>171.844660194174</v>
      </c>
      <c r="H387" s="13">
        <v>5.44660194174757</v>
      </c>
      <c r="I387" s="13">
        <f t="shared" ref="I387:I450" si="6">G387+H387</f>
        <v>177.29126213592156</v>
      </c>
      <c r="J387" s="14">
        <v>49.514563106796103</v>
      </c>
      <c r="K387" s="11" t="s">
        <v>10</v>
      </c>
    </row>
    <row r="388" spans="1:11" x14ac:dyDescent="0.25">
      <c r="A388" s="13">
        <v>9.9516257121793408E+16</v>
      </c>
      <c r="B388" s="20" t="s">
        <v>115</v>
      </c>
      <c r="C388" s="11" t="s">
        <v>71</v>
      </c>
      <c r="D388" s="13">
        <v>581402</v>
      </c>
      <c r="E388" s="13">
        <v>7117</v>
      </c>
      <c r="F388" s="11">
        <v>3</v>
      </c>
      <c r="G388" s="13">
        <v>159.223300970873</v>
      </c>
      <c r="H388" s="13">
        <v>4.7766990291262097</v>
      </c>
      <c r="I388" s="13">
        <f t="shared" si="6"/>
        <v>163.9999999999992</v>
      </c>
      <c r="J388" s="14">
        <v>58.252427184466001</v>
      </c>
      <c r="K388" s="11" t="s">
        <v>19</v>
      </c>
    </row>
    <row r="389" spans="1:11" x14ac:dyDescent="0.25">
      <c r="A389" s="13">
        <v>9.5907101504648192E+16</v>
      </c>
      <c r="B389" s="20" t="s">
        <v>119</v>
      </c>
      <c r="C389" s="11" t="s">
        <v>21</v>
      </c>
      <c r="D389" s="13">
        <v>400607</v>
      </c>
      <c r="E389" s="13">
        <v>7117</v>
      </c>
      <c r="F389" s="11">
        <v>3</v>
      </c>
      <c r="G389" s="13">
        <v>181.55339805825199</v>
      </c>
      <c r="H389" s="13">
        <v>5.44660194174757</v>
      </c>
      <c r="I389" s="13">
        <f t="shared" si="6"/>
        <v>186.99999999999955</v>
      </c>
      <c r="J389" s="14">
        <v>59.223300970873801</v>
      </c>
      <c r="K389" s="11" t="s">
        <v>41</v>
      </c>
    </row>
    <row r="390" spans="1:11" x14ac:dyDescent="0.25">
      <c r="A390" s="13">
        <v>9.5199678682837904E+16</v>
      </c>
      <c r="B390" s="20" t="s">
        <v>112</v>
      </c>
      <c r="C390" s="11" t="s">
        <v>16</v>
      </c>
      <c r="D390" s="13">
        <v>522402</v>
      </c>
      <c r="E390" s="13">
        <v>7117</v>
      </c>
      <c r="F390" s="11">
        <v>3</v>
      </c>
      <c r="G390" s="13">
        <v>165.04854368932001</v>
      </c>
      <c r="H390" s="13">
        <v>4.9514563106796103</v>
      </c>
      <c r="I390" s="13">
        <f t="shared" si="6"/>
        <v>169.99999999999963</v>
      </c>
      <c r="J390" s="14">
        <v>59.223300970873801</v>
      </c>
      <c r="K390" s="11" t="s">
        <v>39</v>
      </c>
    </row>
    <row r="391" spans="1:11" x14ac:dyDescent="0.25">
      <c r="A391" s="13">
        <v>9.5175923684276608E+16</v>
      </c>
      <c r="B391" s="20" t="s">
        <v>112</v>
      </c>
      <c r="C391" s="11" t="s">
        <v>16</v>
      </c>
      <c r="D391" s="13">
        <v>516454</v>
      </c>
      <c r="E391" s="13">
        <v>7117</v>
      </c>
      <c r="F391" s="11">
        <v>3</v>
      </c>
      <c r="G391" s="13">
        <v>179.611650485436</v>
      </c>
      <c r="H391" s="13">
        <v>5.3883495145631102</v>
      </c>
      <c r="I391" s="13">
        <f t="shared" si="6"/>
        <v>184.99999999999912</v>
      </c>
      <c r="J391" s="14">
        <v>59.223300970873801</v>
      </c>
      <c r="K391" s="11" t="s">
        <v>39</v>
      </c>
    </row>
    <row r="392" spans="1:11" x14ac:dyDescent="0.25">
      <c r="A392" s="13">
        <v>9.76689529559628E+16</v>
      </c>
      <c r="B392" s="20" t="s">
        <v>111</v>
      </c>
      <c r="C392" s="11" t="s">
        <v>16</v>
      </c>
      <c r="D392" s="13">
        <v>533105</v>
      </c>
      <c r="E392" s="13">
        <v>7117</v>
      </c>
      <c r="F392" s="11">
        <v>3</v>
      </c>
      <c r="G392" s="13">
        <v>158.252427184466</v>
      </c>
      <c r="H392" s="13">
        <v>4.7475728155339798</v>
      </c>
      <c r="I392" s="13">
        <f t="shared" si="6"/>
        <v>162.99999999999997</v>
      </c>
      <c r="J392" s="14">
        <v>58.252427184466001</v>
      </c>
      <c r="K392" s="11" t="s">
        <v>39</v>
      </c>
    </row>
    <row r="393" spans="1:11" x14ac:dyDescent="0.25">
      <c r="A393" s="13">
        <v>1.0407042389720701E+17</v>
      </c>
      <c r="B393" s="20" t="s">
        <v>125</v>
      </c>
      <c r="C393" s="11" t="s">
        <v>9</v>
      </c>
      <c r="D393" s="13">
        <v>496111</v>
      </c>
      <c r="E393" s="13">
        <v>7117</v>
      </c>
      <c r="F393" s="11">
        <v>3</v>
      </c>
      <c r="G393" s="13">
        <v>130.09708737864</v>
      </c>
      <c r="H393" s="13">
        <v>4.42718446601942</v>
      </c>
      <c r="I393" s="13">
        <f t="shared" si="6"/>
        <v>134.52427184465941</v>
      </c>
      <c r="J393" s="14">
        <v>39.805825242718498</v>
      </c>
      <c r="K393" s="11" t="s">
        <v>23</v>
      </c>
    </row>
    <row r="394" spans="1:11" x14ac:dyDescent="0.25">
      <c r="A394" s="13">
        <v>9.5867622131692896E+16</v>
      </c>
      <c r="B394" s="20" t="s">
        <v>119</v>
      </c>
      <c r="C394" s="11" t="s">
        <v>16</v>
      </c>
      <c r="D394" s="13">
        <v>845459</v>
      </c>
      <c r="E394" s="13">
        <v>7117</v>
      </c>
      <c r="F394" s="11">
        <v>3</v>
      </c>
      <c r="G394" s="13">
        <v>177.66990291262101</v>
      </c>
      <c r="H394" s="13">
        <v>5.3883495145631102</v>
      </c>
      <c r="I394" s="13">
        <f t="shared" si="6"/>
        <v>183.05825242718413</v>
      </c>
      <c r="J394" s="14">
        <v>57.2815533980583</v>
      </c>
      <c r="K394" s="11" t="s">
        <v>22</v>
      </c>
    </row>
    <row r="395" spans="1:11" x14ac:dyDescent="0.25">
      <c r="A395" s="13">
        <v>1.0385692466324701E+17</v>
      </c>
      <c r="B395" s="20" t="s">
        <v>126</v>
      </c>
      <c r="C395" s="11" t="s">
        <v>16</v>
      </c>
      <c r="D395" s="13">
        <v>852214</v>
      </c>
      <c r="E395" s="13">
        <v>7117</v>
      </c>
      <c r="F395" s="11">
        <v>3</v>
      </c>
      <c r="G395" s="13">
        <v>156.31067961164999</v>
      </c>
      <c r="H395" s="13">
        <v>4.6893203883495103</v>
      </c>
      <c r="I395" s="13">
        <f t="shared" si="6"/>
        <v>160.99999999999949</v>
      </c>
      <c r="J395" s="14">
        <v>58.252427184466001</v>
      </c>
      <c r="K395" s="11" t="s">
        <v>22</v>
      </c>
    </row>
    <row r="396" spans="1:11" x14ac:dyDescent="0.25">
      <c r="A396" s="13">
        <v>1.0445177878717699E+17</v>
      </c>
      <c r="B396" s="20" t="s">
        <v>109</v>
      </c>
      <c r="C396" s="11" t="s">
        <v>9</v>
      </c>
      <c r="D396" s="13">
        <v>600039</v>
      </c>
      <c r="E396" s="13">
        <v>7117</v>
      </c>
      <c r="F396" s="11">
        <v>3</v>
      </c>
      <c r="G396" s="13">
        <v>277.66990291262101</v>
      </c>
      <c r="H396" s="13">
        <v>8.3300970873786397</v>
      </c>
      <c r="I396" s="13">
        <f t="shared" si="6"/>
        <v>285.99999999999966</v>
      </c>
      <c r="J396" s="14">
        <v>59.223300970873801</v>
      </c>
      <c r="K396" s="11" t="s">
        <v>27</v>
      </c>
    </row>
    <row r="397" spans="1:11" x14ac:dyDescent="0.25">
      <c r="A397" s="13">
        <v>9.8898165194765296E+16</v>
      </c>
      <c r="B397" s="20" t="s">
        <v>114</v>
      </c>
      <c r="C397" s="11" t="s">
        <v>25</v>
      </c>
      <c r="D397" s="13">
        <v>841428</v>
      </c>
      <c r="E397" s="13">
        <v>7117</v>
      </c>
      <c r="F397" s="11">
        <v>3</v>
      </c>
      <c r="G397" s="13">
        <v>152.42718446601901</v>
      </c>
      <c r="H397" s="13">
        <v>4.6893203883495103</v>
      </c>
      <c r="I397" s="13">
        <f t="shared" si="6"/>
        <v>157.11650485436851</v>
      </c>
      <c r="J397" s="14">
        <v>54.368932038834998</v>
      </c>
      <c r="K397" s="11" t="s">
        <v>22</v>
      </c>
    </row>
    <row r="398" spans="1:11" x14ac:dyDescent="0.25">
      <c r="A398" s="13">
        <v>9.6174073429554592E+16</v>
      </c>
      <c r="B398" s="20" t="s">
        <v>120</v>
      </c>
      <c r="C398" s="11" t="s">
        <v>16</v>
      </c>
      <c r="D398" s="13">
        <v>502307</v>
      </c>
      <c r="E398" s="13">
        <v>7117</v>
      </c>
      <c r="F398" s="11">
        <v>3</v>
      </c>
      <c r="G398" s="13">
        <v>157.28155339805801</v>
      </c>
      <c r="H398" s="13">
        <v>4.7184466019417499</v>
      </c>
      <c r="I398" s="13">
        <f t="shared" si="6"/>
        <v>161.99999999999977</v>
      </c>
      <c r="J398" s="14">
        <v>59.223300970873801</v>
      </c>
      <c r="K398" s="11" t="s">
        <v>53</v>
      </c>
    </row>
    <row r="399" spans="1:11" x14ac:dyDescent="0.25">
      <c r="A399" s="13">
        <v>1.04858822419346E+17</v>
      </c>
      <c r="B399" s="20" t="s">
        <v>105</v>
      </c>
      <c r="C399" s="11" t="s">
        <v>9</v>
      </c>
      <c r="D399" s="13">
        <v>700150</v>
      </c>
      <c r="E399" s="13">
        <v>7117</v>
      </c>
      <c r="F399" s="11">
        <v>3</v>
      </c>
      <c r="G399" s="13">
        <v>174.757281553398</v>
      </c>
      <c r="H399" s="13">
        <v>5.2427184466019403</v>
      </c>
      <c r="I399" s="13">
        <f t="shared" si="6"/>
        <v>179.99999999999994</v>
      </c>
      <c r="J399" s="14">
        <v>58.252427184466001</v>
      </c>
      <c r="K399" s="11" t="s">
        <v>14</v>
      </c>
    </row>
    <row r="400" spans="1:11" x14ac:dyDescent="0.25">
      <c r="A400" s="13">
        <v>9.6153861267338304E+16</v>
      </c>
      <c r="B400" s="20" t="s">
        <v>120</v>
      </c>
      <c r="C400" s="11" t="s">
        <v>16</v>
      </c>
      <c r="D400" s="13">
        <v>229127</v>
      </c>
      <c r="E400" s="13">
        <v>7117</v>
      </c>
      <c r="F400" s="11">
        <v>3</v>
      </c>
      <c r="G400" s="13">
        <v>141.747572815534</v>
      </c>
      <c r="H400" s="13">
        <v>4.5436893203883502</v>
      </c>
      <c r="I400" s="13">
        <f t="shared" si="6"/>
        <v>146.29126213592235</v>
      </c>
      <c r="J400" s="14">
        <v>49.514563106796103</v>
      </c>
      <c r="K400" s="11" t="s">
        <v>10</v>
      </c>
    </row>
    <row r="401" spans="1:11" x14ac:dyDescent="0.25">
      <c r="A401" s="13">
        <v>9.4674197092956496E+16</v>
      </c>
      <c r="B401" s="20" t="s">
        <v>79</v>
      </c>
      <c r="C401" s="11" t="s">
        <v>16</v>
      </c>
      <c r="D401" s="13">
        <v>276201</v>
      </c>
      <c r="E401" s="13">
        <v>7117</v>
      </c>
      <c r="F401" s="11">
        <v>3</v>
      </c>
      <c r="G401" s="13">
        <v>101.941747572815</v>
      </c>
      <c r="H401" s="13">
        <v>3.4660194174757302</v>
      </c>
      <c r="I401" s="13">
        <f t="shared" si="6"/>
        <v>105.40776699029074</v>
      </c>
      <c r="J401" s="14">
        <v>53.398058252427198</v>
      </c>
      <c r="K401" s="11" t="s">
        <v>10</v>
      </c>
    </row>
    <row r="402" spans="1:11" x14ac:dyDescent="0.25">
      <c r="A402" s="13">
        <v>1.0527796856529699E+17</v>
      </c>
      <c r="B402" s="20" t="s">
        <v>127</v>
      </c>
      <c r="C402" s="11" t="s">
        <v>9</v>
      </c>
      <c r="D402" s="13">
        <v>721305</v>
      </c>
      <c r="E402" s="13">
        <v>7117</v>
      </c>
      <c r="F402" s="11">
        <v>3</v>
      </c>
      <c r="G402" s="13">
        <v>233.009708737864</v>
      </c>
      <c r="H402" s="13">
        <v>6.9902912621359201</v>
      </c>
      <c r="I402" s="13">
        <f t="shared" si="6"/>
        <v>239.99999999999991</v>
      </c>
      <c r="J402" s="14">
        <v>57.2815533980583</v>
      </c>
      <c r="K402" s="11" t="s">
        <v>14</v>
      </c>
    </row>
    <row r="403" spans="1:11" x14ac:dyDescent="0.25">
      <c r="A403" s="13">
        <v>1.0451791153164301E+17</v>
      </c>
      <c r="B403" s="20" t="s">
        <v>109</v>
      </c>
      <c r="C403" s="11" t="s">
        <v>9</v>
      </c>
      <c r="D403" s="13">
        <v>560076</v>
      </c>
      <c r="E403" s="13">
        <v>7117</v>
      </c>
      <c r="F403" s="11">
        <v>3</v>
      </c>
      <c r="G403" s="13">
        <v>103.883495145631</v>
      </c>
      <c r="H403" s="13">
        <v>3.6699029126213598</v>
      </c>
      <c r="I403" s="13">
        <f t="shared" si="6"/>
        <v>107.55339805825236</v>
      </c>
      <c r="J403" s="14">
        <v>40.776699029126199</v>
      </c>
      <c r="K403" s="11" t="s">
        <v>19</v>
      </c>
    </row>
    <row r="404" spans="1:11" x14ac:dyDescent="0.25">
      <c r="A404" s="13">
        <v>9.8497040327046592E+16</v>
      </c>
      <c r="B404" s="20" t="s">
        <v>130</v>
      </c>
      <c r="C404" s="11" t="s">
        <v>16</v>
      </c>
      <c r="D404" s="13">
        <v>400011</v>
      </c>
      <c r="E404" s="13">
        <v>7117</v>
      </c>
      <c r="F404" s="11">
        <v>3</v>
      </c>
      <c r="G404" s="13">
        <v>185.43689320388299</v>
      </c>
      <c r="H404" s="13">
        <v>5.5631067961165002</v>
      </c>
      <c r="I404" s="13">
        <f t="shared" si="6"/>
        <v>190.99999999999949</v>
      </c>
      <c r="J404" s="14">
        <v>59.223300970873801</v>
      </c>
      <c r="K404" s="11" t="s">
        <v>41</v>
      </c>
    </row>
    <row r="405" spans="1:11" x14ac:dyDescent="0.25">
      <c r="A405" s="13">
        <v>9.9856227514644E+16</v>
      </c>
      <c r="B405" s="20" t="s">
        <v>118</v>
      </c>
      <c r="C405" s="11" t="s">
        <v>21</v>
      </c>
      <c r="D405" s="13">
        <v>842002</v>
      </c>
      <c r="E405" s="13">
        <v>7117</v>
      </c>
      <c r="F405" s="11">
        <v>3</v>
      </c>
      <c r="G405" s="13">
        <v>170.873786407767</v>
      </c>
      <c r="H405" s="13">
        <v>5.1262135922330101</v>
      </c>
      <c r="I405" s="13">
        <f t="shared" si="6"/>
        <v>176</v>
      </c>
      <c r="J405" s="14">
        <v>59.223300970873801</v>
      </c>
      <c r="K405" s="11" t="s">
        <v>22</v>
      </c>
    </row>
    <row r="406" spans="1:11" x14ac:dyDescent="0.25">
      <c r="A406" s="13">
        <v>9.84130021909596E+16</v>
      </c>
      <c r="B406" s="20" t="s">
        <v>131</v>
      </c>
      <c r="C406" s="11" t="s">
        <v>25</v>
      </c>
      <c r="D406" s="13">
        <v>413211</v>
      </c>
      <c r="E406" s="13">
        <v>7117</v>
      </c>
      <c r="F406" s="11">
        <v>3</v>
      </c>
      <c r="G406" s="13">
        <v>179.611650485436</v>
      </c>
      <c r="H406" s="13">
        <v>5.3883495145631102</v>
      </c>
      <c r="I406" s="13">
        <f t="shared" si="6"/>
        <v>184.99999999999912</v>
      </c>
      <c r="J406" s="14">
        <v>59.223300970873801</v>
      </c>
      <c r="K406" s="11" t="s">
        <v>41</v>
      </c>
    </row>
    <row r="407" spans="1:11" x14ac:dyDescent="0.25">
      <c r="A407" s="13">
        <v>9.5181694663689104E+16</v>
      </c>
      <c r="B407" s="20" t="s">
        <v>112</v>
      </c>
      <c r="C407" s="11" t="s">
        <v>21</v>
      </c>
      <c r="D407" s="13">
        <v>136026</v>
      </c>
      <c r="E407" s="13">
        <v>7117</v>
      </c>
      <c r="F407" s="11">
        <v>3</v>
      </c>
      <c r="G407" s="13">
        <v>155.339805825242</v>
      </c>
      <c r="H407" s="13">
        <v>4.9514563106796103</v>
      </c>
      <c r="I407" s="13">
        <f t="shared" si="6"/>
        <v>160.29126213592161</v>
      </c>
      <c r="J407" s="14">
        <v>49.514563106796103</v>
      </c>
      <c r="K407" s="11" t="s">
        <v>63</v>
      </c>
    </row>
    <row r="408" spans="1:11" x14ac:dyDescent="0.25">
      <c r="A408" s="13">
        <v>1.0166932852456701E+17</v>
      </c>
      <c r="B408" s="20" t="s">
        <v>108</v>
      </c>
      <c r="C408" s="11" t="s">
        <v>16</v>
      </c>
      <c r="D408" s="13">
        <v>210126</v>
      </c>
      <c r="E408" s="13">
        <v>7117</v>
      </c>
      <c r="F408" s="11">
        <v>3</v>
      </c>
      <c r="G408" s="13">
        <v>146.601941747572</v>
      </c>
      <c r="H408" s="13">
        <v>4.6310679611650496</v>
      </c>
      <c r="I408" s="13">
        <f t="shared" si="6"/>
        <v>151.23300970873706</v>
      </c>
      <c r="J408" s="14">
        <v>51.456310679611697</v>
      </c>
      <c r="K408" s="11" t="s">
        <v>10</v>
      </c>
    </row>
    <row r="409" spans="1:11" x14ac:dyDescent="0.25">
      <c r="A409" s="13">
        <v>9.7318644792374304E+16</v>
      </c>
      <c r="B409" s="20" t="s">
        <v>121</v>
      </c>
      <c r="C409" s="11" t="s">
        <v>25</v>
      </c>
      <c r="D409" s="13">
        <v>535593</v>
      </c>
      <c r="E409" s="13">
        <v>7117</v>
      </c>
      <c r="F409" s="11">
        <v>3</v>
      </c>
      <c r="G409" s="13">
        <v>157.28155339805801</v>
      </c>
      <c r="H409" s="13">
        <v>4.7184466019417499</v>
      </c>
      <c r="I409" s="13">
        <f t="shared" si="6"/>
        <v>161.99999999999977</v>
      </c>
      <c r="J409" s="14">
        <v>59.223300970873801</v>
      </c>
      <c r="K409" s="11" t="s">
        <v>39</v>
      </c>
    </row>
    <row r="410" spans="1:11" x14ac:dyDescent="0.25">
      <c r="A410" s="13">
        <v>1.0449527911881101E+17</v>
      </c>
      <c r="B410" s="20" t="s">
        <v>109</v>
      </c>
      <c r="C410" s="11" t="s">
        <v>25</v>
      </c>
      <c r="D410" s="13">
        <v>203396</v>
      </c>
      <c r="E410" s="13">
        <v>7117</v>
      </c>
      <c r="F410" s="11">
        <v>3</v>
      </c>
      <c r="G410" s="13">
        <v>243.68932038834899</v>
      </c>
      <c r="H410" s="13">
        <v>7.57281553398058</v>
      </c>
      <c r="I410" s="13">
        <f t="shared" si="6"/>
        <v>251.26213592232958</v>
      </c>
      <c r="J410" s="14">
        <v>49.514563106796103</v>
      </c>
      <c r="K410" s="11" t="s">
        <v>10</v>
      </c>
    </row>
    <row r="411" spans="1:11" x14ac:dyDescent="0.25">
      <c r="A411" s="13">
        <v>1.05311383339692E+17</v>
      </c>
      <c r="B411" s="20" t="s">
        <v>127</v>
      </c>
      <c r="C411" s="11" t="s">
        <v>25</v>
      </c>
      <c r="D411" s="13">
        <v>855108</v>
      </c>
      <c r="E411" s="13">
        <v>7117</v>
      </c>
      <c r="F411" s="11">
        <v>3</v>
      </c>
      <c r="G411" s="13">
        <v>156.31067961164999</v>
      </c>
      <c r="H411" s="13">
        <v>4.6893203883495103</v>
      </c>
      <c r="I411" s="13">
        <f t="shared" si="6"/>
        <v>160.99999999999949</v>
      </c>
      <c r="J411" s="14">
        <v>58.252427184466001</v>
      </c>
      <c r="K411" s="11" t="s">
        <v>22</v>
      </c>
    </row>
    <row r="412" spans="1:11" x14ac:dyDescent="0.25">
      <c r="A412" s="13">
        <v>1.0012271771834899E+17</v>
      </c>
      <c r="B412" s="20" t="s">
        <v>107</v>
      </c>
      <c r="C412" s="11" t="s">
        <v>21</v>
      </c>
      <c r="D412" s="13">
        <v>271801</v>
      </c>
      <c r="E412" s="13">
        <v>7117</v>
      </c>
      <c r="F412" s="11">
        <v>3</v>
      </c>
      <c r="G412" s="13">
        <v>150.485436893203</v>
      </c>
      <c r="H412" s="13">
        <v>4.7766990291262097</v>
      </c>
      <c r="I412" s="13">
        <f t="shared" si="6"/>
        <v>155.26213592232921</v>
      </c>
      <c r="J412" s="14">
        <v>49.514563106796103</v>
      </c>
      <c r="K412" s="11" t="s">
        <v>10</v>
      </c>
    </row>
    <row r="413" spans="1:11" x14ac:dyDescent="0.25">
      <c r="A413" s="13">
        <v>1.0487207900194E+17</v>
      </c>
      <c r="B413" s="20" t="s">
        <v>105</v>
      </c>
      <c r="C413" s="11" t="s">
        <v>9</v>
      </c>
      <c r="D413" s="13">
        <v>122508</v>
      </c>
      <c r="E413" s="13">
        <v>7117</v>
      </c>
      <c r="F413" s="11">
        <v>3</v>
      </c>
      <c r="G413" s="13">
        <v>249.514563106796</v>
      </c>
      <c r="H413" s="13">
        <v>7.7475728155339798</v>
      </c>
      <c r="I413" s="13">
        <f t="shared" si="6"/>
        <v>257.26213592233</v>
      </c>
      <c r="J413" s="14">
        <v>50.485436893203897</v>
      </c>
      <c r="K413" s="11" t="s">
        <v>63</v>
      </c>
    </row>
    <row r="414" spans="1:11" x14ac:dyDescent="0.25">
      <c r="A414" s="13">
        <v>9.7693181253973408E+16</v>
      </c>
      <c r="B414" s="20" t="s">
        <v>111</v>
      </c>
      <c r="C414" s="11" t="s">
        <v>25</v>
      </c>
      <c r="D414" s="13">
        <v>444806</v>
      </c>
      <c r="E414" s="13">
        <v>7117</v>
      </c>
      <c r="F414" s="11">
        <v>3</v>
      </c>
      <c r="G414" s="13">
        <v>166.990291262135</v>
      </c>
      <c r="H414" s="13">
        <v>5.0097087378640799</v>
      </c>
      <c r="I414" s="13">
        <f t="shared" si="6"/>
        <v>171.99999999999909</v>
      </c>
      <c r="J414" s="14">
        <v>58.252427184466001</v>
      </c>
      <c r="K414" s="11" t="s">
        <v>41</v>
      </c>
    </row>
    <row r="415" spans="1:11" x14ac:dyDescent="0.25">
      <c r="A415" s="13">
        <v>1.0460107070534099E+17</v>
      </c>
      <c r="B415" s="20" t="s">
        <v>109</v>
      </c>
      <c r="C415" s="11" t="s">
        <v>9</v>
      </c>
      <c r="D415" s="13">
        <v>361315</v>
      </c>
      <c r="E415" s="13">
        <v>7117</v>
      </c>
      <c r="F415" s="11">
        <v>3</v>
      </c>
      <c r="G415" s="13">
        <v>239.80582524271799</v>
      </c>
      <c r="H415" s="13">
        <v>7.7475728155339798</v>
      </c>
      <c r="I415" s="13">
        <f t="shared" si="6"/>
        <v>247.55339805825196</v>
      </c>
      <c r="J415" s="14">
        <v>40.776699029126199</v>
      </c>
      <c r="K415" s="11" t="s">
        <v>12</v>
      </c>
    </row>
    <row r="416" spans="1:11" x14ac:dyDescent="0.25">
      <c r="A416" s="13">
        <v>9.4690290015437696E+16</v>
      </c>
      <c r="B416" s="20" t="s">
        <v>79</v>
      </c>
      <c r="C416" s="11" t="s">
        <v>16</v>
      </c>
      <c r="D416" s="13">
        <v>324001</v>
      </c>
      <c r="E416" s="13">
        <v>711790</v>
      </c>
      <c r="F416" s="11">
        <v>3</v>
      </c>
      <c r="G416" s="13">
        <v>135.92233009708701</v>
      </c>
      <c r="H416" s="13">
        <v>4.3689320388349504</v>
      </c>
      <c r="I416" s="13">
        <f t="shared" si="6"/>
        <v>140.29126213592195</v>
      </c>
      <c r="J416" s="14">
        <v>49.514563106796103</v>
      </c>
      <c r="K416" s="11" t="s">
        <v>46</v>
      </c>
    </row>
    <row r="417" spans="1:11" x14ac:dyDescent="0.25">
      <c r="A417" s="13">
        <v>1.00154616819168E+17</v>
      </c>
      <c r="B417" s="20" t="s">
        <v>107</v>
      </c>
      <c r="C417" s="11" t="s">
        <v>16</v>
      </c>
      <c r="D417" s="13">
        <v>516127</v>
      </c>
      <c r="E417" s="13">
        <v>7117</v>
      </c>
      <c r="F417" s="11">
        <v>3</v>
      </c>
      <c r="G417" s="13">
        <v>169.90291262135901</v>
      </c>
      <c r="H417" s="13">
        <v>5.0970873786407802</v>
      </c>
      <c r="I417" s="13">
        <f t="shared" si="6"/>
        <v>174.9999999999998</v>
      </c>
      <c r="J417" s="14">
        <v>59.223300970873801</v>
      </c>
      <c r="K417" s="11" t="s">
        <v>39</v>
      </c>
    </row>
    <row r="418" spans="1:11" x14ac:dyDescent="0.25">
      <c r="A418" s="13">
        <v>1.0448559660049699E+17</v>
      </c>
      <c r="B418" s="20" t="s">
        <v>109</v>
      </c>
      <c r="C418" s="11" t="s">
        <v>25</v>
      </c>
      <c r="D418" s="13">
        <v>532001</v>
      </c>
      <c r="E418" s="13">
        <v>7117</v>
      </c>
      <c r="F418" s="11">
        <v>3</v>
      </c>
      <c r="G418" s="13">
        <v>174.757281553398</v>
      </c>
      <c r="H418" s="13">
        <v>5.2427184466019403</v>
      </c>
      <c r="I418" s="13">
        <f t="shared" si="6"/>
        <v>179.99999999999994</v>
      </c>
      <c r="J418" s="14">
        <v>58.252427184466001</v>
      </c>
      <c r="K418" s="11" t="s">
        <v>39</v>
      </c>
    </row>
    <row r="419" spans="1:11" x14ac:dyDescent="0.25">
      <c r="A419" s="13">
        <v>9.7362037840999904E+16</v>
      </c>
      <c r="B419" s="20" t="s">
        <v>121</v>
      </c>
      <c r="C419" s="11" t="s">
        <v>16</v>
      </c>
      <c r="D419" s="13">
        <v>209729</v>
      </c>
      <c r="E419" s="13">
        <v>7117</v>
      </c>
      <c r="F419" s="11">
        <v>3</v>
      </c>
      <c r="G419" s="13">
        <v>171.844660194174</v>
      </c>
      <c r="H419" s="13">
        <v>5.44660194174757</v>
      </c>
      <c r="I419" s="13">
        <f t="shared" si="6"/>
        <v>177.29126213592156</v>
      </c>
      <c r="J419" s="14">
        <v>49.514563106796103</v>
      </c>
      <c r="K419" s="11" t="s">
        <v>10</v>
      </c>
    </row>
    <row r="420" spans="1:11" x14ac:dyDescent="0.25">
      <c r="A420" s="13">
        <v>1.0175232047122899E+17</v>
      </c>
      <c r="B420" s="20" t="s">
        <v>124</v>
      </c>
      <c r="C420" s="11" t="s">
        <v>16</v>
      </c>
      <c r="D420" s="13">
        <v>400103</v>
      </c>
      <c r="E420" s="13">
        <v>7117</v>
      </c>
      <c r="F420" s="11">
        <v>3</v>
      </c>
      <c r="G420" s="13">
        <v>161.16504854368901</v>
      </c>
      <c r="H420" s="13">
        <v>5.3883495145631102</v>
      </c>
      <c r="I420" s="13">
        <f t="shared" si="6"/>
        <v>166.55339805825213</v>
      </c>
      <c r="J420" s="14">
        <v>40.776699029126199</v>
      </c>
      <c r="K420" s="11" t="s">
        <v>41</v>
      </c>
    </row>
    <row r="421" spans="1:11" x14ac:dyDescent="0.25">
      <c r="A421" s="13">
        <v>9.9358534904263696E+16</v>
      </c>
      <c r="B421" s="20" t="s">
        <v>115</v>
      </c>
      <c r="C421" s="11" t="s">
        <v>21</v>
      </c>
      <c r="D421" s="13">
        <v>852210</v>
      </c>
      <c r="E421" s="13">
        <v>7117</v>
      </c>
      <c r="F421" s="11">
        <v>3</v>
      </c>
      <c r="G421" s="13">
        <v>147.57281553397999</v>
      </c>
      <c r="H421" s="13">
        <v>4.42718446601942</v>
      </c>
      <c r="I421" s="13">
        <f t="shared" si="6"/>
        <v>151.9999999999994</v>
      </c>
      <c r="J421" s="14">
        <v>57.2815533980583</v>
      </c>
      <c r="K421" s="11" t="s">
        <v>22</v>
      </c>
    </row>
    <row r="422" spans="1:11" x14ac:dyDescent="0.25">
      <c r="A422" s="13">
        <v>9.5077218426585904E+16</v>
      </c>
      <c r="B422" s="20" t="s">
        <v>112</v>
      </c>
      <c r="C422" s="11" t="s">
        <v>16</v>
      </c>
      <c r="D422" s="13">
        <v>284002</v>
      </c>
      <c r="E422" s="13">
        <v>7117</v>
      </c>
      <c r="F422" s="11">
        <v>3</v>
      </c>
      <c r="G422" s="13">
        <v>124.27184466019401</v>
      </c>
      <c r="H422" s="13">
        <v>4.4563106796116498</v>
      </c>
      <c r="I422" s="13">
        <f t="shared" si="6"/>
        <v>128.72815533980565</v>
      </c>
      <c r="J422" s="14">
        <v>33.980582524271803</v>
      </c>
      <c r="K422" s="11" t="s">
        <v>10</v>
      </c>
    </row>
    <row r="423" spans="1:11" x14ac:dyDescent="0.25">
      <c r="A423" s="13">
        <v>9.9194866735285904E+16</v>
      </c>
      <c r="B423" s="20" t="s">
        <v>114</v>
      </c>
      <c r="C423" s="11" t="s">
        <v>16</v>
      </c>
      <c r="D423" s="13">
        <v>261001</v>
      </c>
      <c r="E423" s="13">
        <v>7117</v>
      </c>
      <c r="F423" s="11">
        <v>3</v>
      </c>
      <c r="G423" s="13">
        <v>151.45631067961099</v>
      </c>
      <c r="H423" s="13">
        <v>4.8058252427184502</v>
      </c>
      <c r="I423" s="13">
        <f t="shared" si="6"/>
        <v>156.26213592232943</v>
      </c>
      <c r="J423" s="14">
        <v>48.543689320388303</v>
      </c>
      <c r="K423" s="11" t="s">
        <v>10</v>
      </c>
    </row>
    <row r="424" spans="1:11" x14ac:dyDescent="0.25">
      <c r="A424" s="13">
        <v>9.5413960699738496E+16</v>
      </c>
      <c r="B424" s="20" t="s">
        <v>110</v>
      </c>
      <c r="C424" s="11" t="s">
        <v>52</v>
      </c>
      <c r="D424" s="13">
        <v>228001</v>
      </c>
      <c r="E424" s="13">
        <v>7117</v>
      </c>
      <c r="F424" s="11">
        <v>3</v>
      </c>
      <c r="G424" s="13">
        <v>179.611650485436</v>
      </c>
      <c r="H424" s="13">
        <v>5.6796116504854401</v>
      </c>
      <c r="I424" s="13">
        <f t="shared" si="6"/>
        <v>185.29126213592144</v>
      </c>
      <c r="J424" s="14">
        <v>49.514563106796103</v>
      </c>
      <c r="K424" s="11" t="s">
        <v>10</v>
      </c>
    </row>
    <row r="425" spans="1:11" x14ac:dyDescent="0.25">
      <c r="A425" s="13">
        <v>1.05198537729668E+17</v>
      </c>
      <c r="B425" s="20" t="s">
        <v>127</v>
      </c>
      <c r="C425" s="11" t="s">
        <v>33</v>
      </c>
      <c r="D425" s="13">
        <v>560066</v>
      </c>
      <c r="E425" s="13">
        <v>7117</v>
      </c>
      <c r="F425" s="11">
        <v>3</v>
      </c>
      <c r="G425" s="13">
        <v>200.970873786407</v>
      </c>
      <c r="H425" s="13">
        <v>6.5825242718446599</v>
      </c>
      <c r="I425" s="13">
        <f t="shared" si="6"/>
        <v>207.55339805825164</v>
      </c>
      <c r="J425" s="14">
        <v>39.805825242718498</v>
      </c>
      <c r="K425" s="11" t="s">
        <v>19</v>
      </c>
    </row>
    <row r="426" spans="1:11" x14ac:dyDescent="0.25">
      <c r="A426" s="13">
        <v>9.8641301320168992E+16</v>
      </c>
      <c r="B426" s="20" t="s">
        <v>130</v>
      </c>
      <c r="C426" s="11" t="s">
        <v>16</v>
      </c>
      <c r="D426" s="13">
        <v>276403</v>
      </c>
      <c r="E426" s="13">
        <v>7117</v>
      </c>
      <c r="F426" s="11">
        <v>3</v>
      </c>
      <c r="G426" s="13">
        <v>170.873786407767</v>
      </c>
      <c r="H426" s="13">
        <v>5.3883495145631102</v>
      </c>
      <c r="I426" s="13">
        <f t="shared" si="6"/>
        <v>176.26213592233012</v>
      </c>
      <c r="J426" s="14">
        <v>50.485436893203897</v>
      </c>
      <c r="K426" s="11" t="s">
        <v>10</v>
      </c>
    </row>
    <row r="427" spans="1:11" x14ac:dyDescent="0.25">
      <c r="A427" s="13">
        <v>1.0532301151905E+17</v>
      </c>
      <c r="B427" s="20" t="s">
        <v>127</v>
      </c>
      <c r="C427" s="11" t="s">
        <v>9</v>
      </c>
      <c r="D427" s="13">
        <v>845426</v>
      </c>
      <c r="E427" s="13">
        <v>7117</v>
      </c>
      <c r="F427" s="11">
        <v>3</v>
      </c>
      <c r="G427" s="13">
        <v>170.873786407767</v>
      </c>
      <c r="H427" s="13">
        <v>5.2427184466019403</v>
      </c>
      <c r="I427" s="13">
        <f t="shared" si="6"/>
        <v>176.11650485436894</v>
      </c>
      <c r="J427" s="14">
        <v>54.368932038834998</v>
      </c>
      <c r="K427" s="11" t="s">
        <v>22</v>
      </c>
    </row>
    <row r="428" spans="1:11" x14ac:dyDescent="0.25">
      <c r="A428" s="13">
        <v>1.0455403525180301E+17</v>
      </c>
      <c r="B428" s="20" t="s">
        <v>109</v>
      </c>
      <c r="C428" s="11" t="s">
        <v>9</v>
      </c>
      <c r="D428" s="13">
        <v>560058</v>
      </c>
      <c r="E428" s="13">
        <v>7117</v>
      </c>
      <c r="F428" s="11">
        <v>3</v>
      </c>
      <c r="G428" s="13">
        <v>156.31067961164999</v>
      </c>
      <c r="H428" s="13">
        <v>5.2427184466019403</v>
      </c>
      <c r="I428" s="13">
        <f t="shared" si="6"/>
        <v>161.55339805825193</v>
      </c>
      <c r="J428" s="14">
        <v>39.805825242718498</v>
      </c>
      <c r="K428" s="11" t="s">
        <v>19</v>
      </c>
    </row>
    <row r="429" spans="1:11" x14ac:dyDescent="0.25">
      <c r="A429" s="13">
        <v>9.6949600050411008E+16</v>
      </c>
      <c r="B429" s="20" t="s">
        <v>122</v>
      </c>
      <c r="C429" s="11" t="s">
        <v>21</v>
      </c>
      <c r="D429" s="13">
        <v>144004</v>
      </c>
      <c r="E429" s="13">
        <v>7117</v>
      </c>
      <c r="F429" s="11">
        <v>3</v>
      </c>
      <c r="G429" s="13">
        <v>159.223300970873</v>
      </c>
      <c r="H429" s="13">
        <v>5.0679611650485397</v>
      </c>
      <c r="I429" s="13">
        <f t="shared" si="6"/>
        <v>164.29126213592153</v>
      </c>
      <c r="J429" s="14">
        <v>48.543689320388303</v>
      </c>
      <c r="K429" s="11" t="s">
        <v>17</v>
      </c>
    </row>
    <row r="430" spans="1:11" x14ac:dyDescent="0.25">
      <c r="A430" s="13">
        <v>9.58381725937156E+16</v>
      </c>
      <c r="B430" s="20" t="s">
        <v>119</v>
      </c>
      <c r="C430" s="11" t="s">
        <v>16</v>
      </c>
      <c r="D430" s="13">
        <v>284202</v>
      </c>
      <c r="E430" s="13">
        <v>7117</v>
      </c>
      <c r="F430" s="11">
        <v>3</v>
      </c>
      <c r="G430" s="13">
        <v>138.83495145630999</v>
      </c>
      <c r="H430" s="13">
        <v>4.4563106796116498</v>
      </c>
      <c r="I430" s="13">
        <f t="shared" si="6"/>
        <v>143.29126213592164</v>
      </c>
      <c r="J430" s="14">
        <v>48.543689320388303</v>
      </c>
      <c r="K430" s="11" t="s">
        <v>10</v>
      </c>
    </row>
    <row r="431" spans="1:11" x14ac:dyDescent="0.25">
      <c r="A431" s="13">
        <v>9.7954334165104E+16</v>
      </c>
      <c r="B431" s="20" t="s">
        <v>106</v>
      </c>
      <c r="C431" s="11" t="s">
        <v>16</v>
      </c>
      <c r="D431" s="13">
        <v>222137</v>
      </c>
      <c r="E431" s="13">
        <v>7117</v>
      </c>
      <c r="F431" s="11">
        <v>3</v>
      </c>
      <c r="G431" s="13">
        <v>155.339805825242</v>
      </c>
      <c r="H431" s="13">
        <v>5.3883495145631102</v>
      </c>
      <c r="I431" s="13">
        <f t="shared" si="6"/>
        <v>160.72815533980511</v>
      </c>
      <c r="J431" s="14">
        <v>34.951456310679603</v>
      </c>
      <c r="K431" s="11" t="s">
        <v>10</v>
      </c>
    </row>
    <row r="432" spans="1:11" x14ac:dyDescent="0.25">
      <c r="A432" s="13">
        <v>9.8075946959390096E+16</v>
      </c>
      <c r="B432" s="20" t="s">
        <v>106</v>
      </c>
      <c r="C432" s="11" t="s">
        <v>16</v>
      </c>
      <c r="D432" s="13">
        <v>143001</v>
      </c>
      <c r="E432" s="13">
        <v>7117</v>
      </c>
      <c r="F432" s="11">
        <v>3</v>
      </c>
      <c r="G432" s="13">
        <v>170.873786407767</v>
      </c>
      <c r="H432" s="13">
        <v>5.3883495145631102</v>
      </c>
      <c r="I432" s="13">
        <f t="shared" si="6"/>
        <v>176.26213592233012</v>
      </c>
      <c r="J432" s="14">
        <v>50.485436893203897</v>
      </c>
      <c r="K432" s="11" t="s">
        <v>17</v>
      </c>
    </row>
    <row r="433" spans="1:11" x14ac:dyDescent="0.25">
      <c r="A433" s="13">
        <v>9.46662772098016E+16</v>
      </c>
      <c r="B433" s="20" t="s">
        <v>79</v>
      </c>
      <c r="C433" s="11" t="s">
        <v>16</v>
      </c>
      <c r="D433" s="13">
        <v>455336</v>
      </c>
      <c r="E433" s="13">
        <v>7117</v>
      </c>
      <c r="F433" s="11">
        <v>3</v>
      </c>
      <c r="G433" s="13">
        <v>161.16504854368901</v>
      </c>
      <c r="H433" s="13">
        <v>4.8349514563106801</v>
      </c>
      <c r="I433" s="13">
        <f t="shared" si="6"/>
        <v>165.99999999999969</v>
      </c>
      <c r="J433" s="14">
        <v>58.252427184466001</v>
      </c>
      <c r="K433" s="11" t="s">
        <v>26</v>
      </c>
    </row>
    <row r="434" spans="1:11" x14ac:dyDescent="0.25">
      <c r="A434" s="13">
        <v>9.47022158909408E+16</v>
      </c>
      <c r="B434" s="20" t="s">
        <v>79</v>
      </c>
      <c r="C434" s="11" t="s">
        <v>16</v>
      </c>
      <c r="D434" s="13">
        <v>276404</v>
      </c>
      <c r="E434" s="13">
        <v>7117</v>
      </c>
      <c r="F434" s="11">
        <v>3</v>
      </c>
      <c r="G434" s="13">
        <v>142.718446601941</v>
      </c>
      <c r="H434" s="13">
        <v>5.0097087378640799</v>
      </c>
      <c r="I434" s="13">
        <f t="shared" si="6"/>
        <v>147.72815533980508</v>
      </c>
      <c r="J434" s="14">
        <v>33.980582524271803</v>
      </c>
      <c r="K434" s="11" t="s">
        <v>10</v>
      </c>
    </row>
    <row r="435" spans="1:11" x14ac:dyDescent="0.25">
      <c r="A435" s="13">
        <v>1.03406415210544E+17</v>
      </c>
      <c r="B435" s="20" t="s">
        <v>132</v>
      </c>
      <c r="C435" s="11" t="s">
        <v>16</v>
      </c>
      <c r="D435" s="13">
        <v>485666</v>
      </c>
      <c r="E435" s="13">
        <v>7117</v>
      </c>
      <c r="F435" s="11">
        <v>3</v>
      </c>
      <c r="G435" s="13">
        <v>155.339805825242</v>
      </c>
      <c r="H435" s="13">
        <v>4.8058252427184502</v>
      </c>
      <c r="I435" s="13">
        <f t="shared" si="6"/>
        <v>160.14563106796044</v>
      </c>
      <c r="J435" s="14">
        <v>52.427184466019398</v>
      </c>
      <c r="K435" s="11" t="s">
        <v>26</v>
      </c>
    </row>
    <row r="436" spans="1:11" x14ac:dyDescent="0.25">
      <c r="A436" s="13">
        <v>1.0556658159013E+17</v>
      </c>
      <c r="B436" s="20" t="s">
        <v>129</v>
      </c>
      <c r="C436" s="11" t="s">
        <v>9</v>
      </c>
      <c r="D436" s="13">
        <v>221005</v>
      </c>
      <c r="E436" s="13">
        <v>7117</v>
      </c>
      <c r="F436" s="11">
        <v>3</v>
      </c>
      <c r="G436" s="13">
        <v>132.03883495145601</v>
      </c>
      <c r="H436" s="13">
        <v>4.6893203883495103</v>
      </c>
      <c r="I436" s="13">
        <f t="shared" si="6"/>
        <v>136.72815533980551</v>
      </c>
      <c r="J436" s="14">
        <v>33.980582524271803</v>
      </c>
      <c r="K436" s="11" t="s">
        <v>10</v>
      </c>
    </row>
    <row r="437" spans="1:11" x14ac:dyDescent="0.25">
      <c r="A437" s="13">
        <v>9.51559769292128E+16</v>
      </c>
      <c r="B437" s="20" t="s">
        <v>112</v>
      </c>
      <c r="C437" s="11" t="s">
        <v>52</v>
      </c>
      <c r="D437" s="13">
        <v>743126</v>
      </c>
      <c r="E437" s="13">
        <v>7117</v>
      </c>
      <c r="F437" s="11">
        <v>3</v>
      </c>
      <c r="G437" s="13">
        <v>161.16504854368901</v>
      </c>
      <c r="H437" s="13">
        <v>4.8349514563106801</v>
      </c>
      <c r="I437" s="13">
        <f t="shared" si="6"/>
        <v>165.99999999999969</v>
      </c>
      <c r="J437" s="14">
        <v>58.252427184466001</v>
      </c>
      <c r="K437" s="11" t="s">
        <v>14</v>
      </c>
    </row>
    <row r="438" spans="1:11" x14ac:dyDescent="0.25">
      <c r="A438" s="13">
        <v>1.0047340805111E+17</v>
      </c>
      <c r="B438" s="20" t="s">
        <v>117</v>
      </c>
      <c r="C438" s="11" t="s">
        <v>16</v>
      </c>
      <c r="D438" s="13">
        <v>246149</v>
      </c>
      <c r="E438" s="13">
        <v>7117</v>
      </c>
      <c r="F438" s="11">
        <v>3</v>
      </c>
      <c r="G438" s="13">
        <v>136.893203883495</v>
      </c>
      <c r="H438" s="13">
        <v>4.7766990291262097</v>
      </c>
      <c r="I438" s="13">
        <f t="shared" si="6"/>
        <v>141.66990291262121</v>
      </c>
      <c r="J438" s="14">
        <v>35.922330097087404</v>
      </c>
      <c r="K438" s="11" t="s">
        <v>49</v>
      </c>
    </row>
    <row r="439" spans="1:11" x14ac:dyDescent="0.25">
      <c r="A439" s="13">
        <v>1.049953980491E+17</v>
      </c>
      <c r="B439" s="20" t="s">
        <v>105</v>
      </c>
      <c r="C439" s="11" t="s">
        <v>9</v>
      </c>
      <c r="D439" s="13">
        <v>743234</v>
      </c>
      <c r="E439" s="13">
        <v>7117</v>
      </c>
      <c r="F439" s="11">
        <v>3</v>
      </c>
      <c r="G439" s="13">
        <v>155.339805825242</v>
      </c>
      <c r="H439" s="13">
        <v>5.2135922330097104</v>
      </c>
      <c r="I439" s="13">
        <f t="shared" si="6"/>
        <v>160.5533980582517</v>
      </c>
      <c r="J439" s="14">
        <v>38.834951456310698</v>
      </c>
      <c r="K439" s="11" t="s">
        <v>14</v>
      </c>
    </row>
    <row r="440" spans="1:11" x14ac:dyDescent="0.25">
      <c r="A440" s="13">
        <v>1.04986925493842E+17</v>
      </c>
      <c r="B440" s="20" t="s">
        <v>105</v>
      </c>
      <c r="C440" s="11" t="s">
        <v>9</v>
      </c>
      <c r="D440" s="13">
        <v>276207</v>
      </c>
      <c r="E440" s="13">
        <v>7117</v>
      </c>
      <c r="F440" s="11">
        <v>3</v>
      </c>
      <c r="G440" s="13">
        <v>147.57281553397999</v>
      </c>
      <c r="H440" s="13">
        <v>4.6893203883495103</v>
      </c>
      <c r="I440" s="13">
        <f t="shared" si="6"/>
        <v>152.26213592232949</v>
      </c>
      <c r="J440" s="14">
        <v>50.485436893203897</v>
      </c>
      <c r="K440" s="11" t="s">
        <v>10</v>
      </c>
    </row>
    <row r="441" spans="1:11" x14ac:dyDescent="0.25">
      <c r="A441" s="13">
        <v>9.9111710116054704E+16</v>
      </c>
      <c r="B441" s="20" t="s">
        <v>114</v>
      </c>
      <c r="C441" s="11" t="s">
        <v>16</v>
      </c>
      <c r="D441" s="13">
        <v>743312</v>
      </c>
      <c r="E441" s="13">
        <v>7117</v>
      </c>
      <c r="F441" s="11">
        <v>3</v>
      </c>
      <c r="G441" s="13">
        <v>144.66019417475701</v>
      </c>
      <c r="H441" s="13">
        <v>4.3398058252427196</v>
      </c>
      <c r="I441" s="13">
        <f t="shared" si="6"/>
        <v>148.99999999999972</v>
      </c>
      <c r="J441" s="14">
        <v>57.2815533980583</v>
      </c>
      <c r="K441" s="11" t="s">
        <v>14</v>
      </c>
    </row>
    <row r="442" spans="1:11" x14ac:dyDescent="0.25">
      <c r="A442" s="13">
        <v>1.03381569609072E+17</v>
      </c>
      <c r="B442" s="20" t="s">
        <v>132</v>
      </c>
      <c r="C442" s="11" t="s">
        <v>52</v>
      </c>
      <c r="D442" s="13">
        <v>121005</v>
      </c>
      <c r="E442" s="13">
        <v>7117</v>
      </c>
      <c r="F442" s="11">
        <v>3</v>
      </c>
      <c r="G442" s="13">
        <v>277.66990291262101</v>
      </c>
      <c r="H442" s="13">
        <v>9.6116504854368898</v>
      </c>
      <c r="I442" s="13">
        <f t="shared" si="6"/>
        <v>287.28155339805789</v>
      </c>
      <c r="J442" s="14">
        <v>71.844660194174807</v>
      </c>
      <c r="K442" s="11" t="s">
        <v>63</v>
      </c>
    </row>
    <row r="443" spans="1:11" x14ac:dyDescent="0.25">
      <c r="A443" s="13">
        <v>9.76168930449996E+16</v>
      </c>
      <c r="B443" s="20" t="s">
        <v>111</v>
      </c>
      <c r="C443" s="11" t="s">
        <v>21</v>
      </c>
      <c r="D443" s="13">
        <v>801503</v>
      </c>
      <c r="E443" s="13">
        <v>7117</v>
      </c>
      <c r="F443" s="11">
        <v>3</v>
      </c>
      <c r="G443" s="13">
        <v>187.378640776699</v>
      </c>
      <c r="H443" s="13">
        <v>5.6796116504854401</v>
      </c>
      <c r="I443" s="13">
        <f t="shared" si="6"/>
        <v>193.05825242718444</v>
      </c>
      <c r="J443" s="14">
        <v>57.2815533980583</v>
      </c>
      <c r="K443" s="11" t="s">
        <v>22</v>
      </c>
    </row>
    <row r="444" spans="1:11" x14ac:dyDescent="0.25">
      <c r="A444" s="13">
        <v>1.0411800464382E+17</v>
      </c>
      <c r="B444" s="20" t="s">
        <v>125</v>
      </c>
      <c r="C444" s="11" t="s">
        <v>9</v>
      </c>
      <c r="D444" s="13">
        <v>392001</v>
      </c>
      <c r="E444" s="13">
        <v>7117</v>
      </c>
      <c r="F444" s="11">
        <v>3</v>
      </c>
      <c r="G444" s="13">
        <v>137.864077669902</v>
      </c>
      <c r="H444" s="13">
        <v>4.6893203883495103</v>
      </c>
      <c r="I444" s="13">
        <f t="shared" si="6"/>
        <v>142.5533980582515</v>
      </c>
      <c r="J444" s="14">
        <v>39.805825242718498</v>
      </c>
      <c r="K444" s="11" t="s">
        <v>12</v>
      </c>
    </row>
    <row r="445" spans="1:11" x14ac:dyDescent="0.25">
      <c r="A445" s="13">
        <v>1.0570430181847501E+17</v>
      </c>
      <c r="B445" s="20" t="s">
        <v>129</v>
      </c>
      <c r="C445" s="11" t="s">
        <v>9</v>
      </c>
      <c r="D445" s="13">
        <v>123001</v>
      </c>
      <c r="E445" s="13">
        <v>7117</v>
      </c>
      <c r="F445" s="11">
        <v>3</v>
      </c>
      <c r="G445" s="13">
        <v>199.02912621359201</v>
      </c>
      <c r="H445" s="13">
        <v>5.2135922330097104</v>
      </c>
      <c r="I445" s="13">
        <f t="shared" si="6"/>
        <v>204.24271844660171</v>
      </c>
      <c r="J445" s="14">
        <v>82.524271844660205</v>
      </c>
      <c r="K445" s="11" t="s">
        <v>63</v>
      </c>
    </row>
    <row r="446" spans="1:11" x14ac:dyDescent="0.25">
      <c r="A446" s="13">
        <v>9.7397963329844192E+16</v>
      </c>
      <c r="B446" s="20" t="s">
        <v>121</v>
      </c>
      <c r="C446" s="11" t="s">
        <v>16</v>
      </c>
      <c r="D446" s="13">
        <v>180010</v>
      </c>
      <c r="E446" s="13">
        <v>7117</v>
      </c>
      <c r="F446" s="11">
        <v>3</v>
      </c>
      <c r="G446" s="13">
        <v>200.970873786407</v>
      </c>
      <c r="H446" s="13">
        <v>6.0291262135922299</v>
      </c>
      <c r="I446" s="13">
        <f t="shared" si="6"/>
        <v>206.99999999999923</v>
      </c>
      <c r="J446" s="14">
        <v>80.582524271844704</v>
      </c>
      <c r="K446" s="11" t="s">
        <v>56</v>
      </c>
    </row>
    <row r="447" spans="1:11" x14ac:dyDescent="0.25">
      <c r="A447" s="13">
        <v>9.5431658799137696E+16</v>
      </c>
      <c r="B447" s="20" t="s">
        <v>110</v>
      </c>
      <c r="C447" s="11" t="s">
        <v>25</v>
      </c>
      <c r="D447" s="13">
        <v>560027</v>
      </c>
      <c r="E447" s="13">
        <v>7117</v>
      </c>
      <c r="F447" s="11">
        <v>3</v>
      </c>
      <c r="G447" s="13">
        <v>151.45631067961099</v>
      </c>
      <c r="H447" s="13">
        <v>4.5436893203883502</v>
      </c>
      <c r="I447" s="13">
        <f t="shared" si="6"/>
        <v>155.99999999999935</v>
      </c>
      <c r="J447" s="14">
        <v>59.223300970873801</v>
      </c>
      <c r="K447" s="11" t="s">
        <v>19</v>
      </c>
    </row>
    <row r="448" spans="1:11" x14ac:dyDescent="0.25">
      <c r="A448" s="13">
        <v>9.6131101195433408E+16</v>
      </c>
      <c r="B448" s="20" t="s">
        <v>120</v>
      </c>
      <c r="C448" s="11" t="s">
        <v>21</v>
      </c>
      <c r="D448" s="13">
        <v>228001</v>
      </c>
      <c r="E448" s="13">
        <v>7117</v>
      </c>
      <c r="F448" s="11">
        <v>3</v>
      </c>
      <c r="G448" s="13">
        <v>141.747572815534</v>
      </c>
      <c r="H448" s="13">
        <v>4.5436893203883502</v>
      </c>
      <c r="I448" s="13">
        <f t="shared" si="6"/>
        <v>146.29126213592235</v>
      </c>
      <c r="J448" s="14">
        <v>49.514563106796103</v>
      </c>
      <c r="K448" s="11" t="s">
        <v>10</v>
      </c>
    </row>
    <row r="449" spans="1:11" x14ac:dyDescent="0.25">
      <c r="A449" s="13">
        <v>1.0515202937011901E+17</v>
      </c>
      <c r="B449" s="20" t="s">
        <v>127</v>
      </c>
      <c r="C449" s="11" t="s">
        <v>9</v>
      </c>
      <c r="D449" s="13">
        <v>423203</v>
      </c>
      <c r="E449" s="13">
        <v>7117</v>
      </c>
      <c r="F449" s="11">
        <v>3</v>
      </c>
      <c r="G449" s="13">
        <v>174.757281553398</v>
      </c>
      <c r="H449" s="13">
        <v>5.2427184466019403</v>
      </c>
      <c r="I449" s="13">
        <f t="shared" si="6"/>
        <v>179.99999999999994</v>
      </c>
      <c r="J449" s="14">
        <v>58.252427184466001</v>
      </c>
      <c r="K449" s="11" t="s">
        <v>41</v>
      </c>
    </row>
    <row r="450" spans="1:11" x14ac:dyDescent="0.25">
      <c r="A450" s="13">
        <v>9.7033231232550304E+16</v>
      </c>
      <c r="B450" s="20" t="s">
        <v>122</v>
      </c>
      <c r="C450" s="11" t="s">
        <v>25</v>
      </c>
      <c r="D450" s="13">
        <v>416122</v>
      </c>
      <c r="E450" s="13">
        <v>7117</v>
      </c>
      <c r="F450" s="11">
        <v>3</v>
      </c>
      <c r="G450" s="13">
        <v>181.55339805825199</v>
      </c>
      <c r="H450" s="13">
        <v>5.44660194174757</v>
      </c>
      <c r="I450" s="13">
        <f t="shared" si="6"/>
        <v>186.99999999999955</v>
      </c>
      <c r="J450" s="14">
        <v>59.223300970873801</v>
      </c>
      <c r="K450" s="11" t="s">
        <v>41</v>
      </c>
    </row>
    <row r="451" spans="1:11" x14ac:dyDescent="0.25">
      <c r="A451" s="13">
        <v>9.68736093156776E+16</v>
      </c>
      <c r="B451" s="20" t="s">
        <v>122</v>
      </c>
      <c r="C451" s="11" t="s">
        <v>16</v>
      </c>
      <c r="D451" s="13">
        <v>788101</v>
      </c>
      <c r="E451" s="13">
        <v>7117</v>
      </c>
      <c r="F451" s="11">
        <v>3</v>
      </c>
      <c r="G451" s="13">
        <v>177.66990291262101</v>
      </c>
      <c r="H451" s="13">
        <v>5.3300970873786397</v>
      </c>
      <c r="I451" s="13">
        <f t="shared" ref="I451:I514" si="7">G451+H451</f>
        <v>182.99999999999966</v>
      </c>
      <c r="J451" s="14">
        <v>80.582524271844704</v>
      </c>
      <c r="K451" s="11" t="s">
        <v>35</v>
      </c>
    </row>
    <row r="452" spans="1:11" x14ac:dyDescent="0.25">
      <c r="A452" s="13">
        <v>9.4733051599029104E+16</v>
      </c>
      <c r="B452" s="20" t="s">
        <v>79</v>
      </c>
      <c r="C452" s="11" t="s">
        <v>16</v>
      </c>
      <c r="D452" s="13">
        <v>600077</v>
      </c>
      <c r="E452" s="13">
        <v>7117</v>
      </c>
      <c r="F452" s="11">
        <v>3</v>
      </c>
      <c r="G452" s="13">
        <v>144.66019417475701</v>
      </c>
      <c r="H452" s="13">
        <v>4.8932038834951497</v>
      </c>
      <c r="I452" s="13">
        <f t="shared" si="7"/>
        <v>149.55339805825216</v>
      </c>
      <c r="J452" s="14">
        <v>42.7184466019418</v>
      </c>
      <c r="K452" s="11" t="s">
        <v>27</v>
      </c>
    </row>
    <row r="453" spans="1:11" x14ac:dyDescent="0.25">
      <c r="A453" s="13">
        <v>9.5793795383984992E+16</v>
      </c>
      <c r="B453" s="20" t="s">
        <v>119</v>
      </c>
      <c r="C453" s="11" t="s">
        <v>16</v>
      </c>
      <c r="D453" s="13">
        <v>176092</v>
      </c>
      <c r="E453" s="13">
        <v>7117</v>
      </c>
      <c r="F453" s="11">
        <v>3</v>
      </c>
      <c r="G453" s="13">
        <v>159.223300970873</v>
      </c>
      <c r="H453" s="13">
        <v>5.0679611650485397</v>
      </c>
      <c r="I453" s="13">
        <f t="shared" si="7"/>
        <v>164.29126213592153</v>
      </c>
      <c r="J453" s="14">
        <v>48.543689320388303</v>
      </c>
      <c r="K453" s="11" t="s">
        <v>44</v>
      </c>
    </row>
    <row r="454" spans="1:11" x14ac:dyDescent="0.25">
      <c r="A454" s="13">
        <v>9.5433761644032896E+16</v>
      </c>
      <c r="B454" s="20" t="s">
        <v>110</v>
      </c>
      <c r="C454" s="11" t="s">
        <v>25</v>
      </c>
      <c r="D454" s="13">
        <v>562138</v>
      </c>
      <c r="E454" s="13">
        <v>7117</v>
      </c>
      <c r="F454" s="11">
        <v>3</v>
      </c>
      <c r="G454" s="13">
        <v>151.45631067961099</v>
      </c>
      <c r="H454" s="13">
        <v>4.5436893203883502</v>
      </c>
      <c r="I454" s="13">
        <f t="shared" si="7"/>
        <v>155.99999999999935</v>
      </c>
      <c r="J454" s="14">
        <v>59.223300970873801</v>
      </c>
      <c r="K454" s="11" t="s">
        <v>19</v>
      </c>
    </row>
    <row r="455" spans="1:11" x14ac:dyDescent="0.25">
      <c r="A455" s="13">
        <v>9.5821250103802304E+16</v>
      </c>
      <c r="B455" s="20" t="s">
        <v>119</v>
      </c>
      <c r="C455" s="11" t="s">
        <v>25</v>
      </c>
      <c r="D455" s="13">
        <v>284202</v>
      </c>
      <c r="E455" s="13">
        <v>7117</v>
      </c>
      <c r="F455" s="11">
        <v>3</v>
      </c>
      <c r="G455" s="13">
        <v>138.83495145630999</v>
      </c>
      <c r="H455" s="13">
        <v>4.4563106796116498</v>
      </c>
      <c r="I455" s="13">
        <f t="shared" si="7"/>
        <v>143.29126213592164</v>
      </c>
      <c r="J455" s="14">
        <v>48.543689320388303</v>
      </c>
      <c r="K455" s="11" t="s">
        <v>10</v>
      </c>
    </row>
    <row r="456" spans="1:11" x14ac:dyDescent="0.25">
      <c r="A456" s="13">
        <v>9.6953757142561792E+16</v>
      </c>
      <c r="B456" s="20" t="s">
        <v>122</v>
      </c>
      <c r="C456" s="11" t="s">
        <v>25</v>
      </c>
      <c r="D456" s="13">
        <v>412306</v>
      </c>
      <c r="E456" s="13">
        <v>7117</v>
      </c>
      <c r="F456" s="11">
        <v>3</v>
      </c>
      <c r="G456" s="13">
        <v>148.54368932038801</v>
      </c>
      <c r="H456" s="13">
        <v>4.4563106796116498</v>
      </c>
      <c r="I456" s="13">
        <f t="shared" si="7"/>
        <v>152.99999999999966</v>
      </c>
      <c r="J456" s="14">
        <v>58.252427184466001</v>
      </c>
      <c r="K456" s="11" t="s">
        <v>41</v>
      </c>
    </row>
    <row r="457" spans="1:11" x14ac:dyDescent="0.25">
      <c r="A457" s="13">
        <v>9.6961135565010304E+16</v>
      </c>
      <c r="B457" s="20" t="s">
        <v>122</v>
      </c>
      <c r="C457" s="11" t="s">
        <v>25</v>
      </c>
      <c r="D457" s="13">
        <v>516127</v>
      </c>
      <c r="E457" s="13">
        <v>7117</v>
      </c>
      <c r="F457" s="11">
        <v>3</v>
      </c>
      <c r="G457" s="13">
        <v>169.90291262135901</v>
      </c>
      <c r="H457" s="13">
        <v>5.0970873786407802</v>
      </c>
      <c r="I457" s="13">
        <f t="shared" si="7"/>
        <v>174.9999999999998</v>
      </c>
      <c r="J457" s="14">
        <v>59.223300970873801</v>
      </c>
      <c r="K457" s="11" t="s">
        <v>39</v>
      </c>
    </row>
    <row r="458" spans="1:11" x14ac:dyDescent="0.25">
      <c r="A458" s="13">
        <v>9.47456329675252E+16</v>
      </c>
      <c r="B458" s="20" t="s">
        <v>79</v>
      </c>
      <c r="C458" s="11" t="s">
        <v>25</v>
      </c>
      <c r="D458" s="13">
        <v>441210</v>
      </c>
      <c r="E458" s="13">
        <v>7117</v>
      </c>
      <c r="F458" s="11">
        <v>3</v>
      </c>
      <c r="G458" s="13">
        <v>146.601941747572</v>
      </c>
      <c r="H458" s="13">
        <v>4.3980582524271803</v>
      </c>
      <c r="I458" s="13">
        <f t="shared" si="7"/>
        <v>150.99999999999918</v>
      </c>
      <c r="J458" s="14">
        <v>59.223300970873801</v>
      </c>
      <c r="K458" s="11" t="s">
        <v>41</v>
      </c>
    </row>
    <row r="459" spans="1:11" x14ac:dyDescent="0.25">
      <c r="A459" s="13">
        <v>1.0131546041865901E+17</v>
      </c>
      <c r="B459" s="20" t="s">
        <v>116</v>
      </c>
      <c r="C459" s="11" t="s">
        <v>52</v>
      </c>
      <c r="D459" s="13">
        <v>206001</v>
      </c>
      <c r="E459" s="13">
        <v>7117</v>
      </c>
      <c r="F459" s="11">
        <v>3</v>
      </c>
      <c r="G459" s="13">
        <v>156.31067961164999</v>
      </c>
      <c r="H459" s="13">
        <v>5.2135922330097104</v>
      </c>
      <c r="I459" s="13">
        <f t="shared" si="7"/>
        <v>161.52427184465969</v>
      </c>
      <c r="J459" s="14">
        <v>39.805825242718498</v>
      </c>
      <c r="K459" s="11" t="s">
        <v>10</v>
      </c>
    </row>
    <row r="460" spans="1:11" x14ac:dyDescent="0.25">
      <c r="A460" s="13">
        <v>9.9853071376381504E+16</v>
      </c>
      <c r="B460" s="20" t="s">
        <v>118</v>
      </c>
      <c r="C460" s="11" t="s">
        <v>16</v>
      </c>
      <c r="D460" s="13">
        <v>131102</v>
      </c>
      <c r="E460" s="13">
        <v>7117</v>
      </c>
      <c r="F460" s="11">
        <v>3</v>
      </c>
      <c r="G460" s="13">
        <v>151.45631067961099</v>
      </c>
      <c r="H460" s="13">
        <v>4.8058252427184502</v>
      </c>
      <c r="I460" s="13">
        <f t="shared" si="7"/>
        <v>156.26213592232943</v>
      </c>
      <c r="J460" s="14">
        <v>50.485436893203897</v>
      </c>
      <c r="K460" s="11" t="s">
        <v>63</v>
      </c>
    </row>
    <row r="461" spans="1:11" x14ac:dyDescent="0.25">
      <c r="A461" s="13">
        <v>1.0240359835415299E+17</v>
      </c>
      <c r="B461" s="20" t="s">
        <v>133</v>
      </c>
      <c r="C461" s="11" t="s">
        <v>16</v>
      </c>
      <c r="D461" s="13">
        <v>835207</v>
      </c>
      <c r="E461" s="13">
        <v>7117</v>
      </c>
      <c r="F461" s="11">
        <v>3</v>
      </c>
      <c r="G461" s="13">
        <v>140.77669902912601</v>
      </c>
      <c r="H461" s="13">
        <v>4.7766990291262097</v>
      </c>
      <c r="I461" s="13">
        <f t="shared" si="7"/>
        <v>145.55339805825221</v>
      </c>
      <c r="J461" s="14">
        <v>39.805825242718498</v>
      </c>
      <c r="K461" s="11" t="s">
        <v>37</v>
      </c>
    </row>
    <row r="462" spans="1:11" x14ac:dyDescent="0.25">
      <c r="A462" s="13">
        <v>9.9091548911645696E+16</v>
      </c>
      <c r="B462" s="20" t="s">
        <v>114</v>
      </c>
      <c r="C462" s="11" t="s">
        <v>16</v>
      </c>
      <c r="D462" s="13">
        <v>361325</v>
      </c>
      <c r="E462" s="13">
        <v>7117</v>
      </c>
      <c r="F462" s="11">
        <v>3</v>
      </c>
      <c r="G462" s="13">
        <v>146.601941747572</v>
      </c>
      <c r="H462" s="13">
        <v>4.9514563106796103</v>
      </c>
      <c r="I462" s="13">
        <f t="shared" si="7"/>
        <v>151.55339805825162</v>
      </c>
      <c r="J462" s="14">
        <v>39.805825242718498</v>
      </c>
      <c r="K462" s="11" t="s">
        <v>12</v>
      </c>
    </row>
    <row r="463" spans="1:11" x14ac:dyDescent="0.25">
      <c r="A463" s="13">
        <v>9.5158463013618496E+16</v>
      </c>
      <c r="B463" s="20" t="s">
        <v>112</v>
      </c>
      <c r="C463" s="11" t="s">
        <v>25</v>
      </c>
      <c r="D463" s="13">
        <v>462041</v>
      </c>
      <c r="E463" s="13">
        <v>7117</v>
      </c>
      <c r="F463" s="11">
        <v>3</v>
      </c>
      <c r="G463" s="13">
        <v>181.55339805825199</v>
      </c>
      <c r="H463" s="13">
        <v>5.44660194174757</v>
      </c>
      <c r="I463" s="13">
        <f t="shared" si="7"/>
        <v>186.99999999999955</v>
      </c>
      <c r="J463" s="14">
        <v>59.223300970873801</v>
      </c>
      <c r="K463" s="11" t="s">
        <v>26</v>
      </c>
    </row>
    <row r="464" spans="1:11" x14ac:dyDescent="0.25">
      <c r="A464" s="13">
        <v>9.6519277789524992E+16</v>
      </c>
      <c r="B464" s="20" t="s">
        <v>113</v>
      </c>
      <c r="C464" s="11" t="s">
        <v>25</v>
      </c>
      <c r="D464" s="13">
        <v>614303</v>
      </c>
      <c r="E464" s="13">
        <v>7117</v>
      </c>
      <c r="F464" s="11">
        <v>3</v>
      </c>
      <c r="G464" s="13">
        <v>147.57281553397999</v>
      </c>
      <c r="H464" s="13">
        <v>4.9514563106796103</v>
      </c>
      <c r="I464" s="13">
        <f t="shared" si="7"/>
        <v>152.52427184465961</v>
      </c>
      <c r="J464" s="14">
        <v>41.747572815533999</v>
      </c>
      <c r="K464" s="11" t="s">
        <v>27</v>
      </c>
    </row>
    <row r="465" spans="1:11" x14ac:dyDescent="0.25">
      <c r="A465" s="13">
        <v>9.5410541011174304E+16</v>
      </c>
      <c r="B465" s="20" t="s">
        <v>110</v>
      </c>
      <c r="C465" s="11" t="s">
        <v>16</v>
      </c>
      <c r="D465" s="13">
        <v>841424</v>
      </c>
      <c r="E465" s="13">
        <v>7117</v>
      </c>
      <c r="F465" s="11">
        <v>3</v>
      </c>
      <c r="G465" s="13">
        <v>185.43689320388299</v>
      </c>
      <c r="H465" s="13">
        <v>5.5631067961165002</v>
      </c>
      <c r="I465" s="13">
        <f t="shared" si="7"/>
        <v>190.99999999999949</v>
      </c>
      <c r="J465" s="14">
        <v>59.223300970873801</v>
      </c>
      <c r="K465" s="11" t="s">
        <v>22</v>
      </c>
    </row>
    <row r="466" spans="1:11" x14ac:dyDescent="0.25">
      <c r="A466" s="13">
        <v>9.6560518793676192E+16</v>
      </c>
      <c r="B466" s="20" t="s">
        <v>113</v>
      </c>
      <c r="C466" s="11" t="s">
        <v>16</v>
      </c>
      <c r="D466" s="13">
        <v>752094</v>
      </c>
      <c r="E466" s="13">
        <v>7117</v>
      </c>
      <c r="F466" s="11">
        <v>3</v>
      </c>
      <c r="G466" s="13">
        <v>157.28155339805801</v>
      </c>
      <c r="H466" s="13">
        <v>4.7184466019417499</v>
      </c>
      <c r="I466" s="13">
        <f t="shared" si="7"/>
        <v>161.99999999999977</v>
      </c>
      <c r="J466" s="14">
        <v>59.223300970873801</v>
      </c>
      <c r="K466" s="11" t="s">
        <v>54</v>
      </c>
    </row>
    <row r="467" spans="1:11" x14ac:dyDescent="0.25">
      <c r="A467" s="13">
        <v>9.5474598008533792E+16</v>
      </c>
      <c r="B467" s="20" t="s">
        <v>110</v>
      </c>
      <c r="C467" s="11" t="s">
        <v>25</v>
      </c>
      <c r="D467" s="13">
        <v>440001</v>
      </c>
      <c r="E467" s="13">
        <v>7117</v>
      </c>
      <c r="F467" s="11">
        <v>3</v>
      </c>
      <c r="G467" s="13">
        <v>174.757281553398</v>
      </c>
      <c r="H467" s="13">
        <v>5.2427184466019403</v>
      </c>
      <c r="I467" s="13">
        <f t="shared" si="7"/>
        <v>179.99999999999994</v>
      </c>
      <c r="J467" s="14">
        <v>58.252427184466001</v>
      </c>
      <c r="K467" s="11" t="s">
        <v>41</v>
      </c>
    </row>
    <row r="468" spans="1:11" x14ac:dyDescent="0.25">
      <c r="A468" s="13">
        <v>1.0496605615374E+17</v>
      </c>
      <c r="B468" s="20" t="s">
        <v>105</v>
      </c>
      <c r="C468" s="11" t="s">
        <v>33</v>
      </c>
      <c r="D468" s="13">
        <v>533468</v>
      </c>
      <c r="E468" s="13">
        <v>7117</v>
      </c>
      <c r="F468" s="11">
        <v>3</v>
      </c>
      <c r="G468" s="13">
        <v>148.54368932038801</v>
      </c>
      <c r="H468" s="13">
        <v>4.9805825242718402</v>
      </c>
      <c r="I468" s="13">
        <f t="shared" si="7"/>
        <v>153.52427184465986</v>
      </c>
      <c r="J468" s="14">
        <v>39.805825242718498</v>
      </c>
      <c r="K468" s="11" t="s">
        <v>39</v>
      </c>
    </row>
    <row r="469" spans="1:11" x14ac:dyDescent="0.25">
      <c r="A469" s="13">
        <v>1.00837769751978E+17</v>
      </c>
      <c r="B469" s="20" t="s">
        <v>123</v>
      </c>
      <c r="C469" s="11" t="s">
        <v>16</v>
      </c>
      <c r="D469" s="13">
        <v>522101</v>
      </c>
      <c r="E469" s="13">
        <v>7117</v>
      </c>
      <c r="F469" s="11">
        <v>3</v>
      </c>
      <c r="G469" s="13">
        <v>179.611650485436</v>
      </c>
      <c r="H469" s="13">
        <v>5.3883495145631102</v>
      </c>
      <c r="I469" s="13">
        <f t="shared" si="7"/>
        <v>184.99999999999912</v>
      </c>
      <c r="J469" s="14">
        <v>59.223300970873801</v>
      </c>
      <c r="K469" s="11" t="s">
        <v>39</v>
      </c>
    </row>
    <row r="470" spans="1:11" x14ac:dyDescent="0.25">
      <c r="A470" s="13">
        <v>9.7319624640508896E+16</v>
      </c>
      <c r="B470" s="20" t="s">
        <v>121</v>
      </c>
      <c r="C470" s="11" t="s">
        <v>71</v>
      </c>
      <c r="D470" s="13">
        <v>535593</v>
      </c>
      <c r="E470" s="13">
        <v>7117</v>
      </c>
      <c r="F470" s="11">
        <v>3</v>
      </c>
      <c r="G470" s="13">
        <v>157.28155339805801</v>
      </c>
      <c r="H470" s="13">
        <v>4.7184466019417499</v>
      </c>
      <c r="I470" s="13">
        <f t="shared" si="7"/>
        <v>161.99999999999977</v>
      </c>
      <c r="J470" s="14">
        <v>59.223300970873801</v>
      </c>
      <c r="K470" s="11" t="s">
        <v>39</v>
      </c>
    </row>
    <row r="471" spans="1:11" x14ac:dyDescent="0.25">
      <c r="A471" s="13">
        <v>1.01579358474272E+17</v>
      </c>
      <c r="B471" s="20" t="s">
        <v>108</v>
      </c>
      <c r="C471" s="11" t="s">
        <v>16</v>
      </c>
      <c r="D471" s="13">
        <v>201201</v>
      </c>
      <c r="E471" s="13">
        <v>7117</v>
      </c>
      <c r="F471" s="11">
        <v>3</v>
      </c>
      <c r="G471" s="13">
        <v>155.339805825242</v>
      </c>
      <c r="H471" s="13">
        <v>4.8058252427184502</v>
      </c>
      <c r="I471" s="13">
        <f t="shared" si="7"/>
        <v>160.14563106796044</v>
      </c>
      <c r="J471" s="14">
        <v>54.368932038834998</v>
      </c>
      <c r="K471" s="11" t="s">
        <v>10</v>
      </c>
    </row>
    <row r="472" spans="1:11" x14ac:dyDescent="0.25">
      <c r="A472" s="13">
        <v>9.73850916735524E+16</v>
      </c>
      <c r="B472" s="20" t="s">
        <v>121</v>
      </c>
      <c r="C472" s="11" t="s">
        <v>16</v>
      </c>
      <c r="D472" s="13">
        <v>151001</v>
      </c>
      <c r="E472" s="13">
        <v>7117</v>
      </c>
      <c r="F472" s="11">
        <v>3</v>
      </c>
      <c r="G472" s="13">
        <v>158.252427184466</v>
      </c>
      <c r="H472" s="13">
        <v>5.44660194174757</v>
      </c>
      <c r="I472" s="13">
        <f t="shared" si="7"/>
        <v>163.69902912621356</v>
      </c>
      <c r="J472" s="14">
        <v>35.922330097087404</v>
      </c>
      <c r="K472" s="11" t="s">
        <v>17</v>
      </c>
    </row>
    <row r="473" spans="1:11" x14ac:dyDescent="0.25">
      <c r="A473" s="13">
        <v>9.7901449960158704E+16</v>
      </c>
      <c r="B473" s="20" t="s">
        <v>106</v>
      </c>
      <c r="C473" s="11" t="s">
        <v>21</v>
      </c>
      <c r="D473" s="13">
        <v>852214</v>
      </c>
      <c r="E473" s="13">
        <v>7117</v>
      </c>
      <c r="F473" s="11">
        <v>3</v>
      </c>
      <c r="G473" s="13">
        <v>164.07766990291199</v>
      </c>
      <c r="H473" s="13">
        <v>4.9223300970873796</v>
      </c>
      <c r="I473" s="13">
        <f t="shared" si="7"/>
        <v>168.99999999999937</v>
      </c>
      <c r="J473" s="14">
        <v>58.252427184466001</v>
      </c>
      <c r="K473" s="11" t="s">
        <v>22</v>
      </c>
    </row>
    <row r="474" spans="1:11" x14ac:dyDescent="0.25">
      <c r="A474" s="13">
        <v>1.0010044860611101E+17</v>
      </c>
      <c r="B474" s="20" t="s">
        <v>107</v>
      </c>
      <c r="C474" s="11" t="s">
        <v>16</v>
      </c>
      <c r="D474" s="13">
        <v>126115</v>
      </c>
      <c r="E474" s="13">
        <v>7117</v>
      </c>
      <c r="F474" s="11">
        <v>3</v>
      </c>
      <c r="G474" s="13">
        <v>166.01941747572801</v>
      </c>
      <c r="H474" s="13">
        <v>5.2427184466019403</v>
      </c>
      <c r="I474" s="13">
        <f t="shared" si="7"/>
        <v>171.26213592232995</v>
      </c>
      <c r="J474" s="14">
        <v>49.514563106796103</v>
      </c>
      <c r="K474" s="11" t="s">
        <v>63</v>
      </c>
    </row>
    <row r="475" spans="1:11" x14ac:dyDescent="0.25">
      <c r="A475" s="13">
        <v>9.7749333122516608E+16</v>
      </c>
      <c r="B475" s="20" t="s">
        <v>111</v>
      </c>
      <c r="C475" s="11" t="s">
        <v>25</v>
      </c>
      <c r="D475" s="13">
        <v>841426</v>
      </c>
      <c r="E475" s="13">
        <v>7117</v>
      </c>
      <c r="F475" s="11">
        <v>3</v>
      </c>
      <c r="G475" s="13">
        <v>155.339805825242</v>
      </c>
      <c r="H475" s="13">
        <v>4.7184466019417499</v>
      </c>
      <c r="I475" s="13">
        <f t="shared" si="7"/>
        <v>160.05825242718373</v>
      </c>
      <c r="J475" s="14">
        <v>57.2815533980583</v>
      </c>
      <c r="K475" s="11" t="s">
        <v>22</v>
      </c>
    </row>
    <row r="476" spans="1:11" x14ac:dyDescent="0.25">
      <c r="A476" s="13">
        <v>1.0155314922719699E+17</v>
      </c>
      <c r="B476" s="20" t="s">
        <v>108</v>
      </c>
      <c r="C476" s="11" t="s">
        <v>21</v>
      </c>
      <c r="D476" s="13">
        <v>184143</v>
      </c>
      <c r="E476" s="13">
        <v>7117</v>
      </c>
      <c r="F476" s="11">
        <v>3</v>
      </c>
      <c r="G476" s="13">
        <v>166.01941747572801</v>
      </c>
      <c r="H476" s="13">
        <v>4.9805825242718402</v>
      </c>
      <c r="I476" s="13">
        <f t="shared" si="7"/>
        <v>170.99999999999986</v>
      </c>
      <c r="J476" s="14">
        <v>78.640776699029104</v>
      </c>
      <c r="K476" s="11" t="s">
        <v>56</v>
      </c>
    </row>
    <row r="477" spans="1:11" x14ac:dyDescent="0.25">
      <c r="A477" s="13">
        <v>1.0486599006371501E+17</v>
      </c>
      <c r="B477" s="20" t="s">
        <v>105</v>
      </c>
      <c r="C477" s="11" t="s">
        <v>33</v>
      </c>
      <c r="D477" s="13">
        <v>532430</v>
      </c>
      <c r="E477" s="13">
        <v>7117</v>
      </c>
      <c r="F477" s="11">
        <v>3</v>
      </c>
      <c r="G477" s="13">
        <v>174.757281553398</v>
      </c>
      <c r="H477" s="13">
        <v>5.2427184466019403</v>
      </c>
      <c r="I477" s="13">
        <f t="shared" si="7"/>
        <v>179.99999999999994</v>
      </c>
      <c r="J477" s="14">
        <v>58.252427184466001</v>
      </c>
      <c r="K477" s="11" t="s">
        <v>39</v>
      </c>
    </row>
    <row r="478" spans="1:11" x14ac:dyDescent="0.25">
      <c r="A478" s="13">
        <v>9.6731599250323008E+16</v>
      </c>
      <c r="B478" s="20" t="s">
        <v>122</v>
      </c>
      <c r="C478" s="11" t="s">
        <v>25</v>
      </c>
      <c r="D478" s="13">
        <v>829119</v>
      </c>
      <c r="E478" s="13">
        <v>7117</v>
      </c>
      <c r="F478" s="11">
        <v>3</v>
      </c>
      <c r="G478" s="13">
        <v>156.31067961164999</v>
      </c>
      <c r="H478" s="13">
        <v>4.6893203883495103</v>
      </c>
      <c r="I478" s="13">
        <f t="shared" si="7"/>
        <v>160.99999999999949</v>
      </c>
      <c r="J478" s="14">
        <v>59.223300970873801</v>
      </c>
      <c r="K478" s="11" t="s">
        <v>37</v>
      </c>
    </row>
    <row r="479" spans="1:11" x14ac:dyDescent="0.25">
      <c r="A479" s="13">
        <v>9.66004009162684E+16</v>
      </c>
      <c r="B479" s="20" t="s">
        <v>113</v>
      </c>
      <c r="C479" s="11" t="s">
        <v>16</v>
      </c>
      <c r="D479" s="13">
        <v>143001</v>
      </c>
      <c r="E479" s="13">
        <v>7117</v>
      </c>
      <c r="F479" s="11">
        <v>3</v>
      </c>
      <c r="G479" s="13">
        <v>141.747572815534</v>
      </c>
      <c r="H479" s="13">
        <v>4.5436893203883502</v>
      </c>
      <c r="I479" s="13">
        <f t="shared" si="7"/>
        <v>146.29126213592235</v>
      </c>
      <c r="J479" s="14">
        <v>49.514563106796103</v>
      </c>
      <c r="K479" s="11" t="s">
        <v>17</v>
      </c>
    </row>
    <row r="480" spans="1:11" x14ac:dyDescent="0.25">
      <c r="A480" s="13">
        <v>1.05148777082716E+17</v>
      </c>
      <c r="B480" s="20" t="s">
        <v>127</v>
      </c>
      <c r="C480" s="11" t="s">
        <v>9</v>
      </c>
      <c r="D480" s="13">
        <v>803201</v>
      </c>
      <c r="E480" s="13">
        <v>7117</v>
      </c>
      <c r="F480" s="11">
        <v>3</v>
      </c>
      <c r="G480" s="13">
        <v>253.39805825242701</v>
      </c>
      <c r="H480" s="13">
        <v>7.7184466019417499</v>
      </c>
      <c r="I480" s="13">
        <f t="shared" si="7"/>
        <v>261.11650485436877</v>
      </c>
      <c r="J480" s="14">
        <v>55.339805825242699</v>
      </c>
      <c r="K480" s="11" t="s">
        <v>22</v>
      </c>
    </row>
    <row r="481" spans="1:11" x14ac:dyDescent="0.25">
      <c r="A481" s="13">
        <v>9.6516537139016704E+16</v>
      </c>
      <c r="B481" s="20" t="s">
        <v>113</v>
      </c>
      <c r="C481" s="11" t="s">
        <v>25</v>
      </c>
      <c r="D481" s="13">
        <v>533435</v>
      </c>
      <c r="E481" s="13">
        <v>7117</v>
      </c>
      <c r="F481" s="11">
        <v>3</v>
      </c>
      <c r="G481" s="13">
        <v>168.93203883495099</v>
      </c>
      <c r="H481" s="13">
        <v>5.0679611650485397</v>
      </c>
      <c r="I481" s="13">
        <f t="shared" si="7"/>
        <v>173.99999999999952</v>
      </c>
      <c r="J481" s="14">
        <v>58.252427184466001</v>
      </c>
      <c r="K481" s="11" t="s">
        <v>39</v>
      </c>
    </row>
    <row r="482" spans="1:11" x14ac:dyDescent="0.25">
      <c r="A482" s="13">
        <v>9.6651093857830496E+16</v>
      </c>
      <c r="B482" s="20" t="s">
        <v>113</v>
      </c>
      <c r="C482" s="11" t="s">
        <v>16</v>
      </c>
      <c r="D482" s="13">
        <v>132103</v>
      </c>
      <c r="E482" s="13">
        <v>7117</v>
      </c>
      <c r="F482" s="11">
        <v>3</v>
      </c>
      <c r="G482" s="13">
        <v>161.16504854368901</v>
      </c>
      <c r="H482" s="13">
        <v>5.1262135922330101</v>
      </c>
      <c r="I482" s="13">
        <f t="shared" si="7"/>
        <v>166.29126213592201</v>
      </c>
      <c r="J482" s="14">
        <v>49.514563106796103</v>
      </c>
      <c r="K482" s="11" t="s">
        <v>63</v>
      </c>
    </row>
    <row r="483" spans="1:11" x14ac:dyDescent="0.25">
      <c r="A483" s="13">
        <v>1.0276753196757699E+17</v>
      </c>
      <c r="B483" s="20" t="s">
        <v>134</v>
      </c>
      <c r="C483" s="11" t="s">
        <v>71</v>
      </c>
      <c r="D483" s="13">
        <v>711106</v>
      </c>
      <c r="E483" s="13">
        <v>7117</v>
      </c>
      <c r="F483" s="11">
        <v>3</v>
      </c>
      <c r="G483" s="13">
        <v>146.601941747572</v>
      </c>
      <c r="H483" s="13">
        <v>4.3980582524271803</v>
      </c>
      <c r="I483" s="13">
        <f t="shared" si="7"/>
        <v>150.99999999999918</v>
      </c>
      <c r="J483" s="14">
        <v>59.223300970873801</v>
      </c>
      <c r="K483" s="11" t="s">
        <v>14</v>
      </c>
    </row>
    <row r="484" spans="1:11" x14ac:dyDescent="0.25">
      <c r="A484" s="13">
        <v>9.5104906240668496E+16</v>
      </c>
      <c r="B484" s="20" t="s">
        <v>112</v>
      </c>
      <c r="C484" s="11" t="s">
        <v>16</v>
      </c>
      <c r="D484" s="13">
        <v>560067</v>
      </c>
      <c r="E484" s="13">
        <v>7117</v>
      </c>
      <c r="F484" s="11">
        <v>3</v>
      </c>
      <c r="G484" s="13">
        <v>179.611650485436</v>
      </c>
      <c r="H484" s="13">
        <v>5.3883495145631102</v>
      </c>
      <c r="I484" s="13">
        <f t="shared" si="7"/>
        <v>184.99999999999912</v>
      </c>
      <c r="J484" s="14">
        <v>59.223300970873801</v>
      </c>
      <c r="K484" s="11" t="s">
        <v>19</v>
      </c>
    </row>
    <row r="485" spans="1:11" x14ac:dyDescent="0.25">
      <c r="A485" s="13">
        <v>1.05172147504308E+17</v>
      </c>
      <c r="B485" s="20" t="s">
        <v>127</v>
      </c>
      <c r="C485" s="11" t="s">
        <v>9</v>
      </c>
      <c r="D485" s="13">
        <v>390001</v>
      </c>
      <c r="E485" s="13">
        <v>7117</v>
      </c>
      <c r="F485" s="11">
        <v>3</v>
      </c>
      <c r="G485" s="13">
        <v>197.087378640776</v>
      </c>
      <c r="H485" s="13">
        <v>5.2135922330097104</v>
      </c>
      <c r="I485" s="13">
        <f t="shared" si="7"/>
        <v>202.3009708737857</v>
      </c>
      <c r="J485" s="14">
        <v>80.582524271844704</v>
      </c>
      <c r="K485" s="11" t="s">
        <v>12</v>
      </c>
    </row>
    <row r="486" spans="1:11" x14ac:dyDescent="0.25">
      <c r="A486" s="13">
        <v>9.87727417897752E+16</v>
      </c>
      <c r="B486" s="20" t="s">
        <v>130</v>
      </c>
      <c r="C486" s="11" t="s">
        <v>25</v>
      </c>
      <c r="D486" s="13">
        <v>413112</v>
      </c>
      <c r="E486" s="13">
        <v>7117</v>
      </c>
      <c r="F486" s="11">
        <v>3</v>
      </c>
      <c r="G486" s="13">
        <v>179.611650485436</v>
      </c>
      <c r="H486" s="13">
        <v>5.3883495145631102</v>
      </c>
      <c r="I486" s="13">
        <f t="shared" si="7"/>
        <v>184.99999999999912</v>
      </c>
      <c r="J486" s="14">
        <v>59.223300970873801</v>
      </c>
      <c r="K486" s="11" t="s">
        <v>41</v>
      </c>
    </row>
    <row r="487" spans="1:11" x14ac:dyDescent="0.25">
      <c r="A487" s="13">
        <v>9.90162689604296E+16</v>
      </c>
      <c r="B487" s="20" t="s">
        <v>114</v>
      </c>
      <c r="C487" s="11" t="s">
        <v>16</v>
      </c>
      <c r="D487" s="13">
        <v>413112</v>
      </c>
      <c r="E487" s="13">
        <v>7117</v>
      </c>
      <c r="F487" s="11">
        <v>3</v>
      </c>
      <c r="G487" s="13">
        <v>179.611650485436</v>
      </c>
      <c r="H487" s="13">
        <v>5.3883495145631102</v>
      </c>
      <c r="I487" s="13">
        <f t="shared" si="7"/>
        <v>184.99999999999912</v>
      </c>
      <c r="J487" s="14">
        <v>59.223300970873801</v>
      </c>
      <c r="K487" s="11" t="s">
        <v>41</v>
      </c>
    </row>
    <row r="488" spans="1:11" x14ac:dyDescent="0.25">
      <c r="A488" s="13">
        <v>9.5428260357142896E+16</v>
      </c>
      <c r="B488" s="20" t="s">
        <v>110</v>
      </c>
      <c r="C488" s="11" t="s">
        <v>25</v>
      </c>
      <c r="D488" s="13">
        <v>813106</v>
      </c>
      <c r="E488" s="13">
        <v>7117</v>
      </c>
      <c r="F488" s="11">
        <v>3</v>
      </c>
      <c r="G488" s="13">
        <v>151.45631067961099</v>
      </c>
      <c r="H488" s="13">
        <v>4.5436893203883502</v>
      </c>
      <c r="I488" s="13">
        <f t="shared" si="7"/>
        <v>155.99999999999935</v>
      </c>
      <c r="J488" s="14">
        <v>59.223300970873801</v>
      </c>
      <c r="K488" s="11" t="s">
        <v>22</v>
      </c>
    </row>
    <row r="489" spans="1:11" x14ac:dyDescent="0.25">
      <c r="A489" s="13">
        <v>9.5499712459473696E+16</v>
      </c>
      <c r="B489" s="20" t="s">
        <v>110</v>
      </c>
      <c r="C489" s="11" t="s">
        <v>16</v>
      </c>
      <c r="D489" s="13">
        <v>500008</v>
      </c>
      <c r="E489" s="13">
        <v>7117</v>
      </c>
      <c r="F489" s="11">
        <v>3</v>
      </c>
      <c r="G489" s="13">
        <v>180.58252427184399</v>
      </c>
      <c r="H489" s="13">
        <v>5.4174757281553401</v>
      </c>
      <c r="I489" s="13">
        <f t="shared" si="7"/>
        <v>185.99999999999935</v>
      </c>
      <c r="J489" s="14">
        <v>60.194174757281601</v>
      </c>
      <c r="K489" s="11" t="s">
        <v>53</v>
      </c>
    </row>
    <row r="490" spans="1:11" x14ac:dyDescent="0.25">
      <c r="A490" s="13">
        <v>1.0078920891396099E+17</v>
      </c>
      <c r="B490" s="20" t="s">
        <v>123</v>
      </c>
      <c r="C490" s="11" t="s">
        <v>16</v>
      </c>
      <c r="D490" s="13">
        <v>670611</v>
      </c>
      <c r="E490" s="13">
        <v>7117</v>
      </c>
      <c r="F490" s="11">
        <v>3</v>
      </c>
      <c r="G490" s="13">
        <v>154.368932038834</v>
      </c>
      <c r="H490" s="13">
        <v>4.6310679611650496</v>
      </c>
      <c r="I490" s="13">
        <f t="shared" si="7"/>
        <v>158.99999999999906</v>
      </c>
      <c r="J490" s="14">
        <v>66.990291262135898</v>
      </c>
      <c r="K490" s="11" t="s">
        <v>98</v>
      </c>
    </row>
    <row r="491" spans="1:11" x14ac:dyDescent="0.25">
      <c r="A491" s="13">
        <v>9.8752605733188992E+16</v>
      </c>
      <c r="B491" s="20" t="s">
        <v>130</v>
      </c>
      <c r="C491" s="11" t="s">
        <v>16</v>
      </c>
      <c r="D491" s="13">
        <v>152021</v>
      </c>
      <c r="E491" s="13">
        <v>7117</v>
      </c>
      <c r="F491" s="11">
        <v>3</v>
      </c>
      <c r="G491" s="13">
        <v>132.03883495145601</v>
      </c>
      <c r="H491" s="13">
        <v>4.6893203883495103</v>
      </c>
      <c r="I491" s="13">
        <f t="shared" si="7"/>
        <v>136.72815533980551</v>
      </c>
      <c r="J491" s="14">
        <v>33.980582524271803</v>
      </c>
      <c r="K491" s="11" t="s">
        <v>17</v>
      </c>
    </row>
    <row r="492" spans="1:11" x14ac:dyDescent="0.25">
      <c r="A492" s="13">
        <v>9.5439597228295104E+16</v>
      </c>
      <c r="B492" s="20" t="s">
        <v>110</v>
      </c>
      <c r="C492" s="11" t="s">
        <v>16</v>
      </c>
      <c r="D492" s="13">
        <v>813106</v>
      </c>
      <c r="E492" s="13">
        <v>7117</v>
      </c>
      <c r="F492" s="11">
        <v>3</v>
      </c>
      <c r="G492" s="13">
        <v>151.45631067961099</v>
      </c>
      <c r="H492" s="13">
        <v>4.5436893203883502</v>
      </c>
      <c r="I492" s="13">
        <f t="shared" si="7"/>
        <v>155.99999999999935</v>
      </c>
      <c r="J492" s="14">
        <v>59.223300970873801</v>
      </c>
      <c r="K492" s="11" t="s">
        <v>22</v>
      </c>
    </row>
    <row r="493" spans="1:11" x14ac:dyDescent="0.25">
      <c r="A493" s="13">
        <v>1.01036511132072E+17</v>
      </c>
      <c r="B493" s="20" t="s">
        <v>116</v>
      </c>
      <c r="C493" s="11" t="s">
        <v>21</v>
      </c>
      <c r="D493" s="13">
        <v>284002</v>
      </c>
      <c r="E493" s="13">
        <v>7117</v>
      </c>
      <c r="F493" s="11">
        <v>3</v>
      </c>
      <c r="G493" s="13">
        <v>137.864077669902</v>
      </c>
      <c r="H493" s="13">
        <v>4.3980582524271803</v>
      </c>
      <c r="I493" s="13">
        <f t="shared" si="7"/>
        <v>142.26213592232918</v>
      </c>
      <c r="J493" s="14">
        <v>50.485436893203897</v>
      </c>
      <c r="K493" s="11" t="s">
        <v>10</v>
      </c>
    </row>
    <row r="494" spans="1:11" x14ac:dyDescent="0.25">
      <c r="A494" s="13">
        <v>9.95145659364776E+16</v>
      </c>
      <c r="B494" s="20" t="s">
        <v>115</v>
      </c>
      <c r="C494" s="11" t="s">
        <v>16</v>
      </c>
      <c r="D494" s="13">
        <v>509210</v>
      </c>
      <c r="E494" s="13">
        <v>7117</v>
      </c>
      <c r="F494" s="11">
        <v>3</v>
      </c>
      <c r="G494" s="13">
        <v>167.96116504854299</v>
      </c>
      <c r="H494" s="13">
        <v>5.0388349514563098</v>
      </c>
      <c r="I494" s="13">
        <f t="shared" si="7"/>
        <v>172.99999999999932</v>
      </c>
      <c r="J494" s="14">
        <v>57.2815533980583</v>
      </c>
      <c r="K494" s="11" t="s">
        <v>53</v>
      </c>
    </row>
    <row r="495" spans="1:11" x14ac:dyDescent="0.25">
      <c r="A495" s="13">
        <v>9.5827499549668304E+16</v>
      </c>
      <c r="B495" s="20" t="s">
        <v>119</v>
      </c>
      <c r="C495" s="11" t="s">
        <v>25</v>
      </c>
      <c r="D495" s="13">
        <v>751024</v>
      </c>
      <c r="E495" s="13">
        <v>340600</v>
      </c>
      <c r="F495" s="11">
        <v>12</v>
      </c>
      <c r="G495" s="13">
        <v>200.892857142857</v>
      </c>
      <c r="H495" s="13">
        <v>24.107142857142801</v>
      </c>
      <c r="I495" s="13">
        <f t="shared" si="7"/>
        <v>224.9999999999998</v>
      </c>
      <c r="J495" s="14">
        <v>53.571428571428598</v>
      </c>
      <c r="K495" s="11" t="s">
        <v>54</v>
      </c>
    </row>
    <row r="496" spans="1:11" x14ac:dyDescent="0.25">
      <c r="A496" s="13">
        <v>1.0521177521487501E+17</v>
      </c>
      <c r="B496" s="20" t="s">
        <v>127</v>
      </c>
      <c r="C496" s="11" t="s">
        <v>33</v>
      </c>
      <c r="D496" s="13">
        <v>845451</v>
      </c>
      <c r="E496" s="13">
        <v>7117</v>
      </c>
      <c r="F496" s="11">
        <v>3</v>
      </c>
      <c r="G496" s="13">
        <v>185.43689320388299</v>
      </c>
      <c r="H496" s="13">
        <v>5.2135922330097104</v>
      </c>
      <c r="I496" s="13">
        <f t="shared" si="7"/>
        <v>190.65048543689269</v>
      </c>
      <c r="J496" s="14">
        <v>68.932038834951499</v>
      </c>
      <c r="K496" s="11" t="s">
        <v>22</v>
      </c>
    </row>
    <row r="497" spans="1:11" x14ac:dyDescent="0.25">
      <c r="A497" s="13">
        <v>9.6654307731911696E+16</v>
      </c>
      <c r="B497" s="20" t="s">
        <v>113</v>
      </c>
      <c r="C497" s="11" t="s">
        <v>21</v>
      </c>
      <c r="D497" s="13">
        <v>600055</v>
      </c>
      <c r="E497" s="13">
        <v>7117</v>
      </c>
      <c r="F497" s="11">
        <v>3</v>
      </c>
      <c r="G497" s="13">
        <v>161.16504854368901</v>
      </c>
      <c r="H497" s="13">
        <v>4.8349514563106801</v>
      </c>
      <c r="I497" s="13">
        <f t="shared" si="7"/>
        <v>165.99999999999969</v>
      </c>
      <c r="J497" s="14">
        <v>59.223300970873801</v>
      </c>
      <c r="K497" s="11" t="s">
        <v>27</v>
      </c>
    </row>
    <row r="498" spans="1:11" x14ac:dyDescent="0.25">
      <c r="A498" s="13">
        <v>9.5802812840999296E+16</v>
      </c>
      <c r="B498" s="20" t="s">
        <v>119</v>
      </c>
      <c r="C498" s="11" t="s">
        <v>21</v>
      </c>
      <c r="D498" s="13">
        <v>825336</v>
      </c>
      <c r="E498" s="13">
        <v>7117</v>
      </c>
      <c r="F498" s="11">
        <v>3</v>
      </c>
      <c r="G498" s="13">
        <v>179.611650485436</v>
      </c>
      <c r="H498" s="13">
        <v>5.3883495145631102</v>
      </c>
      <c r="I498" s="13">
        <f t="shared" si="7"/>
        <v>184.99999999999912</v>
      </c>
      <c r="J498" s="14">
        <v>59.223300970873801</v>
      </c>
      <c r="K498" s="11" t="s">
        <v>37</v>
      </c>
    </row>
    <row r="499" spans="1:11" x14ac:dyDescent="0.25">
      <c r="A499" s="13">
        <v>9.54302384664216E+16</v>
      </c>
      <c r="B499" s="20" t="s">
        <v>110</v>
      </c>
      <c r="C499" s="11" t="s">
        <v>25</v>
      </c>
      <c r="D499" s="13">
        <v>813106</v>
      </c>
      <c r="E499" s="13">
        <v>7117</v>
      </c>
      <c r="F499" s="11">
        <v>3</v>
      </c>
      <c r="G499" s="13">
        <v>170.873786407767</v>
      </c>
      <c r="H499" s="13">
        <v>5.1262135922330101</v>
      </c>
      <c r="I499" s="13">
        <f t="shared" si="7"/>
        <v>176</v>
      </c>
      <c r="J499" s="14">
        <v>59.223300970873801</v>
      </c>
      <c r="K499" s="11" t="s">
        <v>22</v>
      </c>
    </row>
    <row r="500" spans="1:11" x14ac:dyDescent="0.25">
      <c r="A500" s="13">
        <v>1.0388424453498099E+17</v>
      </c>
      <c r="B500" s="20" t="s">
        <v>126</v>
      </c>
      <c r="C500" s="11" t="s">
        <v>9</v>
      </c>
      <c r="D500" s="13">
        <v>301020</v>
      </c>
      <c r="E500" s="13">
        <v>7117</v>
      </c>
      <c r="F500" s="11">
        <v>3</v>
      </c>
      <c r="G500" s="13">
        <v>149.514563106796</v>
      </c>
      <c r="H500" s="13">
        <v>4.6601941747572804</v>
      </c>
      <c r="I500" s="13">
        <f t="shared" si="7"/>
        <v>154.1747572815533</v>
      </c>
      <c r="J500" s="14">
        <v>51.456310679611697</v>
      </c>
      <c r="K500" s="11" t="s">
        <v>46</v>
      </c>
    </row>
    <row r="501" spans="1:11" x14ac:dyDescent="0.25">
      <c r="A501" s="13">
        <v>9.5309235403654E+16</v>
      </c>
      <c r="B501" s="20" t="s">
        <v>110</v>
      </c>
      <c r="C501" s="11" t="s">
        <v>16</v>
      </c>
      <c r="D501" s="13">
        <v>534112</v>
      </c>
      <c r="E501" s="13">
        <v>7117</v>
      </c>
      <c r="F501" s="11">
        <v>3</v>
      </c>
      <c r="G501" s="13">
        <v>151.45631067961099</v>
      </c>
      <c r="H501" s="13">
        <v>4.5436893203883502</v>
      </c>
      <c r="I501" s="13">
        <f t="shared" si="7"/>
        <v>155.99999999999935</v>
      </c>
      <c r="J501" s="14">
        <v>59.223300970873801</v>
      </c>
      <c r="K501" s="11" t="s">
        <v>39</v>
      </c>
    </row>
    <row r="502" spans="1:11" x14ac:dyDescent="0.25">
      <c r="A502" s="13">
        <v>9.5552885832319904E+16</v>
      </c>
      <c r="B502" s="20" t="s">
        <v>110</v>
      </c>
      <c r="C502" s="11" t="s">
        <v>16</v>
      </c>
      <c r="D502" s="13">
        <v>110059</v>
      </c>
      <c r="E502" s="13">
        <v>7117</v>
      </c>
      <c r="F502" s="11">
        <v>3</v>
      </c>
      <c r="G502" s="13">
        <v>179.611650485436</v>
      </c>
      <c r="H502" s="13">
        <v>5.6796116504854401</v>
      </c>
      <c r="I502" s="13">
        <f t="shared" si="7"/>
        <v>185.29126213592144</v>
      </c>
      <c r="J502" s="14">
        <v>49.514563106796103</v>
      </c>
      <c r="K502" s="11" t="s">
        <v>10</v>
      </c>
    </row>
    <row r="503" spans="1:11" x14ac:dyDescent="0.25">
      <c r="A503" s="13">
        <v>9.7010291024103104E+16</v>
      </c>
      <c r="B503" s="20" t="s">
        <v>122</v>
      </c>
      <c r="C503" s="11" t="s">
        <v>16</v>
      </c>
      <c r="D503" s="13">
        <v>828112</v>
      </c>
      <c r="E503" s="13">
        <v>7117</v>
      </c>
      <c r="F503" s="11">
        <v>3</v>
      </c>
      <c r="G503" s="13">
        <v>181.55339805825199</v>
      </c>
      <c r="H503" s="13">
        <v>5.44660194174757</v>
      </c>
      <c r="I503" s="13">
        <f t="shared" si="7"/>
        <v>186.99999999999955</v>
      </c>
      <c r="J503" s="14">
        <v>59.223300970873801</v>
      </c>
      <c r="K503" s="11" t="s">
        <v>135</v>
      </c>
    </row>
    <row r="504" spans="1:11" x14ac:dyDescent="0.25">
      <c r="A504" s="13">
        <v>1.01584820854798E+17</v>
      </c>
      <c r="B504" s="20" t="s">
        <v>108</v>
      </c>
      <c r="C504" s="11" t="s">
        <v>16</v>
      </c>
      <c r="D504" s="13">
        <v>500030</v>
      </c>
      <c r="E504" s="13">
        <v>7117</v>
      </c>
      <c r="F504" s="11">
        <v>3</v>
      </c>
      <c r="G504" s="13">
        <v>180.58252427184399</v>
      </c>
      <c r="H504" s="13">
        <v>5.4174757281553401</v>
      </c>
      <c r="I504" s="13">
        <f t="shared" si="7"/>
        <v>185.99999999999935</v>
      </c>
      <c r="J504" s="14">
        <v>60.194174757281601</v>
      </c>
      <c r="K504" s="11" t="s">
        <v>53</v>
      </c>
    </row>
    <row r="505" spans="1:11" x14ac:dyDescent="0.25">
      <c r="A505" s="13">
        <v>9.6510859506824192E+16</v>
      </c>
      <c r="B505" s="20" t="s">
        <v>113</v>
      </c>
      <c r="C505" s="11" t="s">
        <v>25</v>
      </c>
      <c r="D505" s="13">
        <v>486331</v>
      </c>
      <c r="E505" s="13">
        <v>7117</v>
      </c>
      <c r="F505" s="11">
        <v>3</v>
      </c>
      <c r="G505" s="13">
        <v>155.339805825242</v>
      </c>
      <c r="H505" s="13">
        <v>4.7475728155339798</v>
      </c>
      <c r="I505" s="13">
        <f t="shared" si="7"/>
        <v>160.08737864077597</v>
      </c>
      <c r="J505" s="14">
        <v>55.339805825242699</v>
      </c>
      <c r="K505" s="11" t="s">
        <v>26</v>
      </c>
    </row>
    <row r="506" spans="1:11" x14ac:dyDescent="0.25">
      <c r="A506" s="13">
        <v>9.67959728480928E+16</v>
      </c>
      <c r="B506" s="20" t="s">
        <v>122</v>
      </c>
      <c r="C506" s="11" t="s">
        <v>16</v>
      </c>
      <c r="D506" s="13">
        <v>841226</v>
      </c>
      <c r="E506" s="13">
        <v>7117</v>
      </c>
      <c r="F506" s="11">
        <v>3</v>
      </c>
      <c r="G506" s="13">
        <v>144.66019417475701</v>
      </c>
      <c r="H506" s="13">
        <v>4.3980582524271803</v>
      </c>
      <c r="I506" s="13">
        <f t="shared" si="7"/>
        <v>149.05825242718419</v>
      </c>
      <c r="J506" s="14">
        <v>57.2815533980583</v>
      </c>
      <c r="K506" s="11" t="s">
        <v>22</v>
      </c>
    </row>
    <row r="507" spans="1:11" x14ac:dyDescent="0.25">
      <c r="A507" s="13">
        <v>9.5470979749020608E+16</v>
      </c>
      <c r="B507" s="20" t="s">
        <v>110</v>
      </c>
      <c r="C507" s="11" t="s">
        <v>16</v>
      </c>
      <c r="D507" s="13">
        <v>421002</v>
      </c>
      <c r="E507" s="13">
        <v>7117</v>
      </c>
      <c r="F507" s="11">
        <v>3</v>
      </c>
      <c r="G507" s="13">
        <v>166.01941747572801</v>
      </c>
      <c r="H507" s="13">
        <v>4.9805825242718402</v>
      </c>
      <c r="I507" s="13">
        <f t="shared" si="7"/>
        <v>170.99999999999986</v>
      </c>
      <c r="J507" s="14">
        <v>59.223300970873801</v>
      </c>
      <c r="K507" s="11" t="s">
        <v>41</v>
      </c>
    </row>
    <row r="508" spans="1:11" x14ac:dyDescent="0.25">
      <c r="A508" s="13">
        <v>9.69633729901052E+16</v>
      </c>
      <c r="B508" s="20" t="s">
        <v>122</v>
      </c>
      <c r="C508" s="11" t="s">
        <v>16</v>
      </c>
      <c r="D508" s="13">
        <v>852109</v>
      </c>
      <c r="E508" s="13">
        <v>7117</v>
      </c>
      <c r="F508" s="11">
        <v>3</v>
      </c>
      <c r="G508" s="13">
        <v>166.990291262135</v>
      </c>
      <c r="H508" s="13">
        <v>5.0097087378640799</v>
      </c>
      <c r="I508" s="13">
        <f t="shared" si="7"/>
        <v>171.99999999999909</v>
      </c>
      <c r="J508" s="14">
        <v>58.252427184466001</v>
      </c>
      <c r="K508" s="11" t="s">
        <v>22</v>
      </c>
    </row>
    <row r="509" spans="1:11" x14ac:dyDescent="0.25">
      <c r="A509" s="13">
        <v>9.61259742108236E+16</v>
      </c>
      <c r="B509" s="20" t="s">
        <v>120</v>
      </c>
      <c r="C509" s="11" t="s">
        <v>25</v>
      </c>
      <c r="D509" s="13">
        <v>403521</v>
      </c>
      <c r="E509" s="13">
        <v>7117</v>
      </c>
      <c r="F509" s="11">
        <v>3</v>
      </c>
      <c r="G509" s="13">
        <v>137.864077669902</v>
      </c>
      <c r="H509" s="13">
        <v>4.13592233009709</v>
      </c>
      <c r="I509" s="13">
        <f t="shared" si="7"/>
        <v>141.99999999999909</v>
      </c>
      <c r="J509" s="14">
        <v>58.252427184466001</v>
      </c>
      <c r="K509" s="11" t="s">
        <v>104</v>
      </c>
    </row>
    <row r="510" spans="1:11" x14ac:dyDescent="0.25">
      <c r="A510" s="13">
        <v>9.7382441123464608E+16</v>
      </c>
      <c r="B510" s="20" t="s">
        <v>121</v>
      </c>
      <c r="C510" s="11" t="s">
        <v>16</v>
      </c>
      <c r="D510" s="13">
        <v>804432</v>
      </c>
      <c r="E510" s="13">
        <v>7117</v>
      </c>
      <c r="F510" s="11">
        <v>3</v>
      </c>
      <c r="G510" s="13">
        <v>157.28155339805801</v>
      </c>
      <c r="H510" s="13">
        <v>4.7184466019417499</v>
      </c>
      <c r="I510" s="13">
        <f t="shared" si="7"/>
        <v>161.99999999999977</v>
      </c>
      <c r="J510" s="14">
        <v>59.223300970873801</v>
      </c>
      <c r="K510" s="11" t="s">
        <v>22</v>
      </c>
    </row>
    <row r="511" spans="1:11" x14ac:dyDescent="0.25">
      <c r="A511" s="13">
        <v>1.00577383240852E+17</v>
      </c>
      <c r="B511" s="20" t="s">
        <v>117</v>
      </c>
      <c r="C511" s="11" t="s">
        <v>52</v>
      </c>
      <c r="D511" s="13">
        <v>495004</v>
      </c>
      <c r="E511" s="13">
        <v>7117</v>
      </c>
      <c r="F511" s="11">
        <v>3</v>
      </c>
      <c r="G511" s="13">
        <v>159.223300970873</v>
      </c>
      <c r="H511" s="13">
        <v>4.7766990291262097</v>
      </c>
      <c r="I511" s="13">
        <f t="shared" si="7"/>
        <v>163.9999999999992</v>
      </c>
      <c r="J511" s="14">
        <v>58.252427184466001</v>
      </c>
      <c r="K511" s="11" t="s">
        <v>23</v>
      </c>
    </row>
    <row r="512" spans="1:11" x14ac:dyDescent="0.25">
      <c r="A512" s="13">
        <v>9.67647892182928E+16</v>
      </c>
      <c r="B512" s="20" t="s">
        <v>122</v>
      </c>
      <c r="C512" s="11" t="s">
        <v>16</v>
      </c>
      <c r="D512" s="13">
        <v>335501</v>
      </c>
      <c r="E512" s="13">
        <v>7117</v>
      </c>
      <c r="F512" s="11">
        <v>3</v>
      </c>
      <c r="G512" s="13">
        <v>179.611650485436</v>
      </c>
      <c r="H512" s="13">
        <v>5.6796116504854401</v>
      </c>
      <c r="I512" s="13">
        <f t="shared" si="7"/>
        <v>185.29126213592144</v>
      </c>
      <c r="J512" s="14">
        <v>49.514563106796103</v>
      </c>
      <c r="K512" s="11" t="s">
        <v>46</v>
      </c>
    </row>
    <row r="513" spans="1:11" x14ac:dyDescent="0.25">
      <c r="A513" s="13">
        <v>1.04443127239344E+17</v>
      </c>
      <c r="B513" s="20" t="s">
        <v>109</v>
      </c>
      <c r="C513" s="11" t="s">
        <v>9</v>
      </c>
      <c r="D513" s="13">
        <v>829301</v>
      </c>
      <c r="E513" s="13">
        <v>7117</v>
      </c>
      <c r="F513" s="11">
        <v>3</v>
      </c>
      <c r="G513" s="13">
        <v>162.135922330097</v>
      </c>
      <c r="H513" s="13">
        <v>4.9805825242718402</v>
      </c>
      <c r="I513" s="13">
        <f t="shared" si="7"/>
        <v>167.11650485436886</v>
      </c>
      <c r="J513" s="14">
        <v>53.398058252427198</v>
      </c>
      <c r="K513" s="11" t="s">
        <v>37</v>
      </c>
    </row>
    <row r="514" spans="1:11" x14ac:dyDescent="0.25">
      <c r="A514" s="13">
        <v>9.76406501213444E+16</v>
      </c>
      <c r="B514" s="20" t="s">
        <v>111</v>
      </c>
      <c r="C514" s="11" t="s">
        <v>16</v>
      </c>
      <c r="D514" s="13">
        <v>534437</v>
      </c>
      <c r="E514" s="13">
        <v>7117</v>
      </c>
      <c r="F514" s="11">
        <v>3</v>
      </c>
      <c r="G514" s="13">
        <v>170.873786407767</v>
      </c>
      <c r="H514" s="13">
        <v>5.1262135922330101</v>
      </c>
      <c r="I514" s="13">
        <f t="shared" si="7"/>
        <v>176</v>
      </c>
      <c r="J514" s="14">
        <v>59.223300970873801</v>
      </c>
      <c r="K514" s="11" t="s">
        <v>39</v>
      </c>
    </row>
    <row r="515" spans="1:11" x14ac:dyDescent="0.25">
      <c r="A515" s="13">
        <v>9.5831088665917792E+16</v>
      </c>
      <c r="B515" s="20" t="s">
        <v>119</v>
      </c>
      <c r="C515" s="11" t="s">
        <v>16</v>
      </c>
      <c r="D515" s="13">
        <v>811315</v>
      </c>
      <c r="E515" s="13">
        <v>7117</v>
      </c>
      <c r="F515" s="11">
        <v>3</v>
      </c>
      <c r="G515" s="13">
        <v>166.990291262135</v>
      </c>
      <c r="H515" s="13">
        <v>5.0097087378640799</v>
      </c>
      <c r="I515" s="13">
        <f t="shared" ref="I515:I578" si="8">G515+H515</f>
        <v>171.99999999999909</v>
      </c>
      <c r="J515" s="14">
        <v>58.252427184466001</v>
      </c>
      <c r="K515" s="11" t="s">
        <v>22</v>
      </c>
    </row>
    <row r="516" spans="1:11" x14ac:dyDescent="0.25">
      <c r="A516" s="13">
        <v>1.0496767449831501E+17</v>
      </c>
      <c r="B516" s="20" t="s">
        <v>105</v>
      </c>
      <c r="C516" s="11" t="s">
        <v>9</v>
      </c>
      <c r="D516" s="13">
        <v>281501</v>
      </c>
      <c r="E516" s="13">
        <v>7117</v>
      </c>
      <c r="F516" s="11">
        <v>3</v>
      </c>
      <c r="G516" s="13">
        <v>157.28155339805801</v>
      </c>
      <c r="H516" s="13">
        <v>4.9805825242718402</v>
      </c>
      <c r="I516" s="13">
        <f t="shared" si="8"/>
        <v>162.26213592232986</v>
      </c>
      <c r="J516" s="14">
        <v>48.543689320388303</v>
      </c>
      <c r="K516" s="11" t="s">
        <v>10</v>
      </c>
    </row>
    <row r="517" spans="1:11" x14ac:dyDescent="0.25">
      <c r="A517" s="13">
        <v>1.1543917314142499E+17</v>
      </c>
      <c r="B517" s="20" t="s">
        <v>136</v>
      </c>
      <c r="C517" s="11" t="s">
        <v>9</v>
      </c>
      <c r="D517" s="13">
        <v>814152</v>
      </c>
      <c r="E517" s="13">
        <v>7117</v>
      </c>
      <c r="F517" s="11">
        <v>3</v>
      </c>
      <c r="G517" s="13">
        <v>154.368932038834</v>
      </c>
      <c r="H517" s="13">
        <v>4.6310679611650496</v>
      </c>
      <c r="I517" s="13">
        <f t="shared" si="8"/>
        <v>158.99999999999906</v>
      </c>
      <c r="J517" s="14">
        <v>56.3106796116505</v>
      </c>
      <c r="K517" s="11" t="s">
        <v>37</v>
      </c>
    </row>
    <row r="518" spans="1:11" x14ac:dyDescent="0.25">
      <c r="A518" s="13">
        <v>1.14314028800622E+17</v>
      </c>
      <c r="B518" s="20" t="s">
        <v>138</v>
      </c>
      <c r="C518" s="11" t="s">
        <v>9</v>
      </c>
      <c r="D518" s="13">
        <v>531024</v>
      </c>
      <c r="E518" s="13">
        <v>7117</v>
      </c>
      <c r="F518" s="11">
        <v>3</v>
      </c>
      <c r="G518" s="13">
        <v>158.252427184466</v>
      </c>
      <c r="H518" s="13">
        <v>5.1844660194174796</v>
      </c>
      <c r="I518" s="13">
        <f t="shared" si="8"/>
        <v>163.43689320388347</v>
      </c>
      <c r="J518" s="14">
        <v>41.747572815533999</v>
      </c>
      <c r="K518" s="11" t="s">
        <v>39</v>
      </c>
    </row>
    <row r="519" spans="1:11" x14ac:dyDescent="0.25">
      <c r="A519" s="13">
        <v>1.0748736035857699E+17</v>
      </c>
      <c r="B519" s="20" t="s">
        <v>140</v>
      </c>
      <c r="C519" s="11" t="s">
        <v>16</v>
      </c>
      <c r="D519" s="13">
        <v>431501</v>
      </c>
      <c r="E519" s="13">
        <v>7117</v>
      </c>
      <c r="F519" s="11">
        <v>3</v>
      </c>
      <c r="G519" s="13">
        <v>144.66019417475701</v>
      </c>
      <c r="H519" s="13">
        <v>4.8349514563106801</v>
      </c>
      <c r="I519" s="13">
        <f t="shared" si="8"/>
        <v>149.49514563106769</v>
      </c>
      <c r="J519" s="14">
        <v>40.776699029126199</v>
      </c>
      <c r="K519" s="11" t="s">
        <v>41</v>
      </c>
    </row>
    <row r="520" spans="1:11" x14ac:dyDescent="0.25">
      <c r="A520" s="13">
        <v>1.0752307162087E+17</v>
      </c>
      <c r="B520" s="20" t="s">
        <v>140</v>
      </c>
      <c r="C520" s="11" t="s">
        <v>16</v>
      </c>
      <c r="D520" s="13">
        <v>140402</v>
      </c>
      <c r="E520" s="13">
        <v>7117</v>
      </c>
      <c r="F520" s="11">
        <v>3</v>
      </c>
      <c r="G520" s="13">
        <v>155.339805825242</v>
      </c>
      <c r="H520" s="13">
        <v>4.86407766990291</v>
      </c>
      <c r="I520" s="13">
        <f t="shared" si="8"/>
        <v>160.20388349514491</v>
      </c>
      <c r="J520" s="14">
        <v>51.456310679611697</v>
      </c>
      <c r="K520" s="11" t="s">
        <v>17</v>
      </c>
    </row>
    <row r="521" spans="1:11" x14ac:dyDescent="0.25">
      <c r="A521" s="13">
        <v>1.09984456333656E+17</v>
      </c>
      <c r="B521" s="20" t="s">
        <v>142</v>
      </c>
      <c r="C521" s="11" t="s">
        <v>16</v>
      </c>
      <c r="D521" s="13">
        <v>501218</v>
      </c>
      <c r="E521" s="13">
        <v>7117</v>
      </c>
      <c r="F521" s="11">
        <v>3</v>
      </c>
      <c r="G521" s="13">
        <v>195.14563106796101</v>
      </c>
      <c r="H521" s="13">
        <v>6.4077669902912602</v>
      </c>
      <c r="I521" s="13">
        <f t="shared" si="8"/>
        <v>201.55339805825227</v>
      </c>
      <c r="J521" s="14">
        <v>39.805825242718498</v>
      </c>
      <c r="K521" s="11" t="s">
        <v>53</v>
      </c>
    </row>
    <row r="522" spans="1:11" x14ac:dyDescent="0.25">
      <c r="A522" s="13">
        <v>1.16915542253792E+17</v>
      </c>
      <c r="B522" s="20" t="s">
        <v>144</v>
      </c>
      <c r="C522" s="11" t="s">
        <v>25</v>
      </c>
      <c r="D522" s="13">
        <v>273006</v>
      </c>
      <c r="E522" s="13">
        <v>7117</v>
      </c>
      <c r="F522" s="11">
        <v>3</v>
      </c>
      <c r="G522" s="13">
        <v>164.07766990291199</v>
      </c>
      <c r="H522" s="13">
        <v>5.1844660194174796</v>
      </c>
      <c r="I522" s="13">
        <f t="shared" si="8"/>
        <v>169.26213592232946</v>
      </c>
      <c r="J522" s="14">
        <v>47.572815533980602</v>
      </c>
      <c r="K522" s="11" t="s">
        <v>10</v>
      </c>
    </row>
    <row r="523" spans="1:11" x14ac:dyDescent="0.25">
      <c r="A523" s="13">
        <v>1.15162386252762E+17</v>
      </c>
      <c r="B523" s="20" t="s">
        <v>136</v>
      </c>
      <c r="C523" s="11" t="s">
        <v>16</v>
      </c>
      <c r="D523" s="13">
        <v>440034</v>
      </c>
      <c r="E523" s="13">
        <v>7117</v>
      </c>
      <c r="F523" s="11">
        <v>3</v>
      </c>
      <c r="G523" s="13">
        <v>160.19417475728099</v>
      </c>
      <c r="H523" s="13">
        <v>4.8058252427184502</v>
      </c>
      <c r="I523" s="13">
        <f t="shared" si="8"/>
        <v>164.99999999999943</v>
      </c>
      <c r="J523" s="14">
        <v>57.2815533980583</v>
      </c>
      <c r="K523" s="11" t="s">
        <v>41</v>
      </c>
    </row>
    <row r="524" spans="1:11" x14ac:dyDescent="0.25">
      <c r="A524" s="13">
        <v>1.07514981855294E+17</v>
      </c>
      <c r="B524" s="20" t="s">
        <v>140</v>
      </c>
      <c r="C524" s="11" t="s">
        <v>16</v>
      </c>
      <c r="D524" s="13">
        <v>276205</v>
      </c>
      <c r="E524" s="13">
        <v>7117</v>
      </c>
      <c r="F524" s="11">
        <v>3</v>
      </c>
      <c r="G524" s="13">
        <v>149.514563106796</v>
      </c>
      <c r="H524" s="13">
        <v>4.7475728155339798</v>
      </c>
      <c r="I524" s="13">
        <f t="shared" si="8"/>
        <v>154.26213592232997</v>
      </c>
      <c r="J524" s="14">
        <v>50.485436893203897</v>
      </c>
      <c r="K524" s="11" t="s">
        <v>10</v>
      </c>
    </row>
    <row r="525" spans="1:11" x14ac:dyDescent="0.25">
      <c r="A525" s="13">
        <v>1.11508411858056E+17</v>
      </c>
      <c r="B525" s="20" t="s">
        <v>145</v>
      </c>
      <c r="C525" s="11" t="s">
        <v>16</v>
      </c>
      <c r="D525" s="13">
        <v>303712</v>
      </c>
      <c r="E525" s="13">
        <v>7117</v>
      </c>
      <c r="F525" s="11">
        <v>3</v>
      </c>
      <c r="G525" s="13">
        <v>146.601941747572</v>
      </c>
      <c r="H525" s="13">
        <v>5.0679611650485397</v>
      </c>
      <c r="I525" s="13">
        <f t="shared" si="8"/>
        <v>151.66990291262053</v>
      </c>
      <c r="J525" s="14">
        <v>35.922330097087404</v>
      </c>
      <c r="K525" s="11" t="s">
        <v>46</v>
      </c>
    </row>
    <row r="526" spans="1:11" x14ac:dyDescent="0.25">
      <c r="A526" s="13">
        <v>1.1393708558220899E+17</v>
      </c>
      <c r="B526" s="20" t="s">
        <v>147</v>
      </c>
      <c r="C526" s="11" t="s">
        <v>16</v>
      </c>
      <c r="D526" s="13">
        <v>493118</v>
      </c>
      <c r="E526" s="13">
        <v>7117</v>
      </c>
      <c r="F526" s="11">
        <v>3</v>
      </c>
      <c r="G526" s="13">
        <v>132.03883495145601</v>
      </c>
      <c r="H526" s="13">
        <v>4.42718446601942</v>
      </c>
      <c r="I526" s="13">
        <f t="shared" si="8"/>
        <v>136.46601941747542</v>
      </c>
      <c r="J526" s="14">
        <v>41.747572815533999</v>
      </c>
      <c r="K526" s="11" t="s">
        <v>23</v>
      </c>
    </row>
    <row r="527" spans="1:11" x14ac:dyDescent="0.25">
      <c r="A527" s="13">
        <v>1.10709191873814E+17</v>
      </c>
      <c r="B527" s="20" t="s">
        <v>143</v>
      </c>
      <c r="C527" s="11" t="s">
        <v>21</v>
      </c>
      <c r="D527" s="13">
        <v>145025</v>
      </c>
      <c r="E527" s="13">
        <v>7117</v>
      </c>
      <c r="F527" s="11">
        <v>3</v>
      </c>
      <c r="G527" s="13">
        <v>138.83495145630999</v>
      </c>
      <c r="H527" s="13">
        <v>4.42718446601942</v>
      </c>
      <c r="I527" s="13">
        <f t="shared" si="8"/>
        <v>143.26213592232941</v>
      </c>
      <c r="J527" s="14">
        <v>50.485436893203897</v>
      </c>
      <c r="K527" s="11" t="s">
        <v>17</v>
      </c>
    </row>
    <row r="528" spans="1:11" x14ac:dyDescent="0.25">
      <c r="A528" s="13">
        <v>1.14122471732494E+17</v>
      </c>
      <c r="B528" s="20" t="s">
        <v>138</v>
      </c>
      <c r="C528" s="11" t="s">
        <v>25</v>
      </c>
      <c r="D528" s="13">
        <v>121003</v>
      </c>
      <c r="E528" s="13">
        <v>7117</v>
      </c>
      <c r="F528" s="11">
        <v>3</v>
      </c>
      <c r="G528" s="13">
        <v>185.43689320388299</v>
      </c>
      <c r="H528" s="13">
        <v>5.8252427184466002</v>
      </c>
      <c r="I528" s="13">
        <f t="shared" si="8"/>
        <v>191.26213592232958</v>
      </c>
      <c r="J528" s="14">
        <v>50.485436893203897</v>
      </c>
      <c r="K528" s="11" t="s">
        <v>63</v>
      </c>
    </row>
    <row r="529" spans="1:11" x14ac:dyDescent="0.25">
      <c r="A529" s="13">
        <v>1.1501222060546301E+17</v>
      </c>
      <c r="B529" s="20" t="s">
        <v>148</v>
      </c>
      <c r="C529" s="11" t="s">
        <v>16</v>
      </c>
      <c r="D529" s="13">
        <v>207242</v>
      </c>
      <c r="E529" s="13">
        <v>7117</v>
      </c>
      <c r="F529" s="11">
        <v>3</v>
      </c>
      <c r="G529" s="13">
        <v>151.45631067961099</v>
      </c>
      <c r="H529" s="13">
        <v>4.8058252427184502</v>
      </c>
      <c r="I529" s="13">
        <f t="shared" si="8"/>
        <v>156.26213592232943</v>
      </c>
      <c r="J529" s="14">
        <v>48.543689320388303</v>
      </c>
      <c r="K529" s="11" t="s">
        <v>10</v>
      </c>
    </row>
    <row r="530" spans="1:11" x14ac:dyDescent="0.25">
      <c r="A530" s="13">
        <v>1.0845857813813299E+17</v>
      </c>
      <c r="B530" s="20" t="s">
        <v>149</v>
      </c>
      <c r="C530" s="11" t="s">
        <v>16</v>
      </c>
      <c r="D530" s="13">
        <v>788001</v>
      </c>
      <c r="E530" s="13">
        <v>7117</v>
      </c>
      <c r="F530" s="11">
        <v>3</v>
      </c>
      <c r="G530" s="13">
        <v>178.640776699029</v>
      </c>
      <c r="H530" s="13">
        <v>5.3592233009708696</v>
      </c>
      <c r="I530" s="13">
        <f t="shared" si="8"/>
        <v>183.99999999999989</v>
      </c>
      <c r="J530" s="14">
        <v>75.728155339805795</v>
      </c>
      <c r="K530" s="11" t="s">
        <v>35</v>
      </c>
    </row>
    <row r="531" spans="1:11" x14ac:dyDescent="0.25">
      <c r="A531" s="13">
        <v>1.07131351777702E+17</v>
      </c>
      <c r="B531" s="20" t="s">
        <v>150</v>
      </c>
      <c r="C531" s="11" t="s">
        <v>16</v>
      </c>
      <c r="D531" s="13">
        <v>501501</v>
      </c>
      <c r="E531" s="13">
        <v>7117</v>
      </c>
      <c r="F531" s="11">
        <v>3</v>
      </c>
      <c r="G531" s="13">
        <v>143.68932038834899</v>
      </c>
      <c r="H531" s="13">
        <v>4.3106796116504897</v>
      </c>
      <c r="I531" s="13">
        <f t="shared" si="8"/>
        <v>147.99999999999949</v>
      </c>
      <c r="J531" s="14">
        <v>56.3106796116505</v>
      </c>
      <c r="K531" s="11" t="s">
        <v>53</v>
      </c>
    </row>
    <row r="532" spans="1:11" x14ac:dyDescent="0.25">
      <c r="A532" s="13">
        <v>1.0734498498785699E+17</v>
      </c>
      <c r="B532" s="20" t="s">
        <v>140</v>
      </c>
      <c r="C532" s="11" t="s">
        <v>25</v>
      </c>
      <c r="D532" s="13">
        <v>847240</v>
      </c>
      <c r="E532" s="13">
        <v>7117</v>
      </c>
      <c r="F532" s="11">
        <v>3</v>
      </c>
      <c r="G532" s="13">
        <v>162.135922330097</v>
      </c>
      <c r="H532" s="13">
        <v>4.86407766990291</v>
      </c>
      <c r="I532" s="13">
        <f t="shared" si="8"/>
        <v>166.99999999999991</v>
      </c>
      <c r="J532" s="14">
        <v>58.252427184466001</v>
      </c>
      <c r="K532" s="11" t="s">
        <v>22</v>
      </c>
    </row>
    <row r="533" spans="1:11" x14ac:dyDescent="0.25">
      <c r="A533" s="13">
        <v>1.07392160709632E+17</v>
      </c>
      <c r="B533" s="20" t="s">
        <v>140</v>
      </c>
      <c r="C533" s="11" t="s">
        <v>16</v>
      </c>
      <c r="D533" s="13">
        <v>844115</v>
      </c>
      <c r="E533" s="13">
        <v>7117</v>
      </c>
      <c r="F533" s="11">
        <v>3</v>
      </c>
      <c r="G533" s="13">
        <v>126.213592233009</v>
      </c>
      <c r="H533" s="13">
        <v>4.3689320388349504</v>
      </c>
      <c r="I533" s="13">
        <f t="shared" si="8"/>
        <v>130.58252427184394</v>
      </c>
      <c r="J533" s="14">
        <v>38.834951456310698</v>
      </c>
      <c r="K533" s="11" t="s">
        <v>22</v>
      </c>
    </row>
    <row r="534" spans="1:11" x14ac:dyDescent="0.25">
      <c r="A534" s="13">
        <v>1.0737530896518E+17</v>
      </c>
      <c r="B534" s="20" t="s">
        <v>140</v>
      </c>
      <c r="C534" s="11" t="s">
        <v>16</v>
      </c>
      <c r="D534" s="13">
        <v>276123</v>
      </c>
      <c r="E534" s="13">
        <v>7117</v>
      </c>
      <c r="F534" s="11">
        <v>3</v>
      </c>
      <c r="G534" s="13">
        <v>129.126213592233</v>
      </c>
      <c r="H534" s="13">
        <v>4.13592233009709</v>
      </c>
      <c r="I534" s="13">
        <f t="shared" si="8"/>
        <v>133.26213592233009</v>
      </c>
      <c r="J534" s="14">
        <v>50.485436893203897</v>
      </c>
      <c r="K534" s="11" t="s">
        <v>10</v>
      </c>
    </row>
    <row r="535" spans="1:11" x14ac:dyDescent="0.25">
      <c r="A535" s="13">
        <v>1.07037906291684E+17</v>
      </c>
      <c r="B535" s="20" t="s">
        <v>150</v>
      </c>
      <c r="C535" s="11" t="s">
        <v>25</v>
      </c>
      <c r="D535" s="13">
        <v>761105</v>
      </c>
      <c r="E535" s="13">
        <v>7117</v>
      </c>
      <c r="F535" s="11">
        <v>3</v>
      </c>
      <c r="G535" s="13">
        <v>160.19417475728099</v>
      </c>
      <c r="H535" s="13">
        <v>4.8058252427184502</v>
      </c>
      <c r="I535" s="13">
        <f t="shared" si="8"/>
        <v>164.99999999999943</v>
      </c>
      <c r="J535" s="14">
        <v>56.3106796116505</v>
      </c>
      <c r="K535" s="11" t="s">
        <v>54</v>
      </c>
    </row>
    <row r="536" spans="1:11" x14ac:dyDescent="0.25">
      <c r="A536" s="13">
        <v>1.1629383856976301E+17</v>
      </c>
      <c r="B536" s="20" t="s">
        <v>152</v>
      </c>
      <c r="C536" s="11" t="s">
        <v>9</v>
      </c>
      <c r="D536" s="13">
        <v>400053</v>
      </c>
      <c r="E536" s="13">
        <v>7117</v>
      </c>
      <c r="F536" s="11">
        <v>3</v>
      </c>
      <c r="G536" s="13">
        <v>154.368932038834</v>
      </c>
      <c r="H536" s="13">
        <v>4.6310679611650496</v>
      </c>
      <c r="I536" s="13">
        <f t="shared" si="8"/>
        <v>158.99999999999906</v>
      </c>
      <c r="J536" s="14">
        <v>56.3106796116505</v>
      </c>
      <c r="K536" s="11" t="s">
        <v>41</v>
      </c>
    </row>
    <row r="537" spans="1:11" x14ac:dyDescent="0.25">
      <c r="A537" s="13">
        <v>1.0783786739252899E+17</v>
      </c>
      <c r="B537" s="20" t="s">
        <v>141</v>
      </c>
      <c r="C537" s="11" t="s">
        <v>21</v>
      </c>
      <c r="D537" s="13">
        <v>845451</v>
      </c>
      <c r="E537" s="13">
        <v>7117</v>
      </c>
      <c r="F537" s="11">
        <v>3</v>
      </c>
      <c r="G537" s="13">
        <v>185.43689320388299</v>
      </c>
      <c r="H537" s="13">
        <v>5.2135922330097104</v>
      </c>
      <c r="I537" s="13">
        <f t="shared" si="8"/>
        <v>190.65048543689269</v>
      </c>
      <c r="J537" s="14">
        <v>68.932038834951499</v>
      </c>
      <c r="K537" s="11" t="s">
        <v>22</v>
      </c>
    </row>
    <row r="538" spans="1:11" x14ac:dyDescent="0.25">
      <c r="A538" s="13">
        <v>1.0706157473237901E+17</v>
      </c>
      <c r="B538" s="20" t="s">
        <v>150</v>
      </c>
      <c r="C538" s="11" t="s">
        <v>16</v>
      </c>
      <c r="D538" s="13">
        <v>332719</v>
      </c>
      <c r="E538" s="13">
        <v>7117</v>
      </c>
      <c r="F538" s="11">
        <v>3</v>
      </c>
      <c r="G538" s="13">
        <v>153.39805825242701</v>
      </c>
      <c r="H538" s="13">
        <v>4.8058252427184502</v>
      </c>
      <c r="I538" s="13">
        <f t="shared" si="8"/>
        <v>158.20388349514545</v>
      </c>
      <c r="J538" s="14">
        <v>49.514563106796103</v>
      </c>
      <c r="K538" s="11" t="s">
        <v>46</v>
      </c>
    </row>
    <row r="539" spans="1:11" x14ac:dyDescent="0.25">
      <c r="A539" s="13">
        <v>1.1388005709453299E+17</v>
      </c>
      <c r="B539" s="20" t="s">
        <v>147</v>
      </c>
      <c r="C539" s="11" t="s">
        <v>21</v>
      </c>
      <c r="D539" s="13">
        <v>281501</v>
      </c>
      <c r="E539" s="13">
        <v>7117</v>
      </c>
      <c r="F539" s="11">
        <v>3</v>
      </c>
      <c r="G539" s="13">
        <v>161.16504854368901</v>
      </c>
      <c r="H539" s="13">
        <v>5.0970873786407802</v>
      </c>
      <c r="I539" s="13">
        <f t="shared" si="8"/>
        <v>166.2621359223298</v>
      </c>
      <c r="J539" s="14">
        <v>50.485436893203897</v>
      </c>
      <c r="K539" s="11" t="s">
        <v>10</v>
      </c>
    </row>
    <row r="540" spans="1:11" x14ac:dyDescent="0.25">
      <c r="A540" s="13">
        <v>1.0748493917251101E+17</v>
      </c>
      <c r="B540" s="20" t="s">
        <v>140</v>
      </c>
      <c r="C540" s="11" t="s">
        <v>9</v>
      </c>
      <c r="D540" s="13">
        <v>263126</v>
      </c>
      <c r="E540" s="13">
        <v>7117</v>
      </c>
      <c r="F540" s="11">
        <v>3</v>
      </c>
      <c r="G540" s="13">
        <v>150.485436893203</v>
      </c>
      <c r="H540" s="13">
        <v>4.7766990291262097</v>
      </c>
      <c r="I540" s="13">
        <f t="shared" si="8"/>
        <v>155.26213592232921</v>
      </c>
      <c r="J540" s="14">
        <v>50.485436893203897</v>
      </c>
      <c r="K540" s="11" t="s">
        <v>49</v>
      </c>
    </row>
    <row r="541" spans="1:11" x14ac:dyDescent="0.25">
      <c r="A541" s="13">
        <v>1.1388737436650301E+17</v>
      </c>
      <c r="B541" s="20" t="s">
        <v>147</v>
      </c>
      <c r="C541" s="11" t="s">
        <v>16</v>
      </c>
      <c r="D541" s="13">
        <v>312601</v>
      </c>
      <c r="E541" s="13">
        <v>7117</v>
      </c>
      <c r="F541" s="11">
        <v>3</v>
      </c>
      <c r="G541" s="13">
        <v>147.57281553397999</v>
      </c>
      <c r="H541" s="13">
        <v>4.6310679611650496</v>
      </c>
      <c r="I541" s="13">
        <f t="shared" si="8"/>
        <v>152.20388349514505</v>
      </c>
      <c r="J541" s="14">
        <v>49.514563106796103</v>
      </c>
      <c r="K541" s="11" t="s">
        <v>46</v>
      </c>
    </row>
    <row r="542" spans="1:11" x14ac:dyDescent="0.25">
      <c r="A542" s="13">
        <v>1.07288007429742E+17</v>
      </c>
      <c r="B542" s="20" t="s">
        <v>140</v>
      </c>
      <c r="C542" s="11" t="s">
        <v>16</v>
      </c>
      <c r="D542" s="13">
        <v>110053</v>
      </c>
      <c r="E542" s="13">
        <v>7117</v>
      </c>
      <c r="F542" s="11">
        <v>3</v>
      </c>
      <c r="G542" s="13">
        <v>205.82524271844599</v>
      </c>
      <c r="H542" s="13">
        <v>6.4368932038834998</v>
      </c>
      <c r="I542" s="13">
        <f t="shared" si="8"/>
        <v>212.26213592232949</v>
      </c>
      <c r="J542" s="14">
        <v>50.485436893203897</v>
      </c>
      <c r="K542" s="11" t="s">
        <v>28</v>
      </c>
    </row>
    <row r="543" spans="1:11" x14ac:dyDescent="0.25">
      <c r="A543" s="13">
        <v>1.1239990536414499E+17</v>
      </c>
      <c r="B543" s="20" t="s">
        <v>154</v>
      </c>
      <c r="C543" s="11" t="s">
        <v>25</v>
      </c>
      <c r="D543" s="13">
        <v>277123</v>
      </c>
      <c r="E543" s="13">
        <v>7117</v>
      </c>
      <c r="F543" s="11">
        <v>3</v>
      </c>
      <c r="G543" s="13">
        <v>138.83495145630999</v>
      </c>
      <c r="H543" s="13">
        <v>4.42718446601942</v>
      </c>
      <c r="I543" s="13">
        <f t="shared" si="8"/>
        <v>143.26213592232941</v>
      </c>
      <c r="J543" s="14">
        <v>50.485436893203897</v>
      </c>
      <c r="K543" s="11" t="s">
        <v>10</v>
      </c>
    </row>
    <row r="544" spans="1:11" x14ac:dyDescent="0.25">
      <c r="A544" s="13">
        <v>1.1081037193025901E+17</v>
      </c>
      <c r="B544" s="20" t="s">
        <v>155</v>
      </c>
      <c r="C544" s="11" t="s">
        <v>16</v>
      </c>
      <c r="D544" s="13">
        <v>700119</v>
      </c>
      <c r="E544" s="13">
        <v>7117</v>
      </c>
      <c r="F544" s="11">
        <v>3</v>
      </c>
      <c r="G544" s="13">
        <v>166.01941747572801</v>
      </c>
      <c r="H544" s="13">
        <v>4.9805825242718402</v>
      </c>
      <c r="I544" s="13">
        <f t="shared" si="8"/>
        <v>170.99999999999986</v>
      </c>
      <c r="J544" s="14">
        <v>57.2815533980583</v>
      </c>
      <c r="K544" s="11" t="s">
        <v>14</v>
      </c>
    </row>
    <row r="545" spans="1:11" x14ac:dyDescent="0.25">
      <c r="A545" s="13">
        <v>1.0626756048771101E+17</v>
      </c>
      <c r="B545" s="20" t="s">
        <v>156</v>
      </c>
      <c r="C545" s="11" t="s">
        <v>16</v>
      </c>
      <c r="D545" s="13">
        <v>440017</v>
      </c>
      <c r="E545" s="13">
        <v>7117</v>
      </c>
      <c r="F545" s="11">
        <v>3</v>
      </c>
      <c r="G545" s="13">
        <v>194.17475728155301</v>
      </c>
      <c r="H545" s="13">
        <v>5.8252427184466002</v>
      </c>
      <c r="I545" s="13">
        <f t="shared" si="8"/>
        <v>199.9999999999996</v>
      </c>
      <c r="J545" s="14">
        <v>58.252427184466001</v>
      </c>
      <c r="K545" s="11" t="s">
        <v>41</v>
      </c>
    </row>
    <row r="546" spans="1:11" x14ac:dyDescent="0.25">
      <c r="A546" s="13">
        <v>1.1165485083999901E+17</v>
      </c>
      <c r="B546" s="20" t="s">
        <v>146</v>
      </c>
      <c r="C546" s="11" t="s">
        <v>25</v>
      </c>
      <c r="D546" s="13">
        <v>232327</v>
      </c>
      <c r="E546" s="13">
        <v>7117</v>
      </c>
      <c r="F546" s="11">
        <v>3</v>
      </c>
      <c r="G546" s="13">
        <v>138.83495145630999</v>
      </c>
      <c r="H546" s="13">
        <v>4.42718446601942</v>
      </c>
      <c r="I546" s="13">
        <f t="shared" si="8"/>
        <v>143.26213592232941</v>
      </c>
      <c r="J546" s="14">
        <v>50.485436893203897</v>
      </c>
      <c r="K546" s="11" t="s">
        <v>10</v>
      </c>
    </row>
    <row r="547" spans="1:11" x14ac:dyDescent="0.25">
      <c r="A547" s="13">
        <v>1.10633916500472E+17</v>
      </c>
      <c r="B547" s="20" t="s">
        <v>143</v>
      </c>
      <c r="C547" s="11" t="s">
        <v>25</v>
      </c>
      <c r="D547" s="13">
        <v>144001</v>
      </c>
      <c r="E547" s="13">
        <v>7117</v>
      </c>
      <c r="F547" s="11">
        <v>3</v>
      </c>
      <c r="G547" s="13">
        <v>161.16504854368901</v>
      </c>
      <c r="H547" s="13">
        <v>5.0970873786407802</v>
      </c>
      <c r="I547" s="13">
        <f t="shared" si="8"/>
        <v>166.2621359223298</v>
      </c>
      <c r="J547" s="14">
        <v>50.485436893203897</v>
      </c>
      <c r="K547" s="11" t="s">
        <v>17</v>
      </c>
    </row>
    <row r="548" spans="1:11" x14ac:dyDescent="0.25">
      <c r="A548" s="13">
        <v>1.16385167966326E+17</v>
      </c>
      <c r="B548" s="20" t="s">
        <v>152</v>
      </c>
      <c r="C548" s="11" t="s">
        <v>9</v>
      </c>
      <c r="D548" s="13">
        <v>766100</v>
      </c>
      <c r="E548" s="13">
        <v>7117</v>
      </c>
      <c r="F548" s="11">
        <v>3</v>
      </c>
      <c r="G548" s="13">
        <v>136.893203883495</v>
      </c>
      <c r="H548" s="13">
        <v>4.6310679611650496</v>
      </c>
      <c r="I548" s="13">
        <f t="shared" si="8"/>
        <v>141.52427184466006</v>
      </c>
      <c r="J548" s="14">
        <v>38.834951456310698</v>
      </c>
      <c r="K548" s="11" t="s">
        <v>54</v>
      </c>
    </row>
    <row r="549" spans="1:11" x14ac:dyDescent="0.25">
      <c r="A549" s="13">
        <v>1.05987743963832E+17</v>
      </c>
      <c r="B549" s="20" t="s">
        <v>128</v>
      </c>
      <c r="C549" s="11" t="s">
        <v>25</v>
      </c>
      <c r="D549" s="13">
        <v>276123</v>
      </c>
      <c r="E549" s="13">
        <v>7117</v>
      </c>
      <c r="F549" s="11">
        <v>3</v>
      </c>
      <c r="G549" s="13">
        <v>166.01941747572801</v>
      </c>
      <c r="H549" s="13">
        <v>5.2427184466019403</v>
      </c>
      <c r="I549" s="13">
        <f t="shared" si="8"/>
        <v>171.26213592232995</v>
      </c>
      <c r="J549" s="14">
        <v>49.514563106796103</v>
      </c>
      <c r="K549" s="11" t="s">
        <v>157</v>
      </c>
    </row>
    <row r="550" spans="1:11" x14ac:dyDescent="0.25">
      <c r="A550" s="13">
        <v>1.0744001414053101E+17</v>
      </c>
      <c r="B550" s="20" t="s">
        <v>140</v>
      </c>
      <c r="C550" s="11" t="s">
        <v>25</v>
      </c>
      <c r="D550" s="13">
        <v>591234</v>
      </c>
      <c r="E550" s="13">
        <v>7117</v>
      </c>
      <c r="F550" s="11">
        <v>3</v>
      </c>
      <c r="G550" s="13">
        <v>145.631067961165</v>
      </c>
      <c r="H550" s="13">
        <v>4.3689320388349504</v>
      </c>
      <c r="I550" s="13">
        <f t="shared" si="8"/>
        <v>149.99999999999994</v>
      </c>
      <c r="J550" s="14">
        <v>59.223300970873801</v>
      </c>
      <c r="K550" s="11" t="s">
        <v>19</v>
      </c>
    </row>
    <row r="551" spans="1:11" x14ac:dyDescent="0.25">
      <c r="A551" s="13">
        <v>1.12014880990852E+17</v>
      </c>
      <c r="B551" s="20" t="s">
        <v>158</v>
      </c>
      <c r="C551" s="11" t="s">
        <v>52</v>
      </c>
      <c r="D551" s="13">
        <v>844102</v>
      </c>
      <c r="E551" s="13">
        <v>7117</v>
      </c>
      <c r="F551" s="11">
        <v>3</v>
      </c>
      <c r="G551" s="13">
        <v>166.01941747572801</v>
      </c>
      <c r="H551" s="13">
        <v>5.0970873786407802</v>
      </c>
      <c r="I551" s="13">
        <f t="shared" si="8"/>
        <v>171.1165048543688</v>
      </c>
      <c r="J551" s="14">
        <v>55.339805825242699</v>
      </c>
      <c r="K551" s="11" t="s">
        <v>22</v>
      </c>
    </row>
    <row r="552" spans="1:11" x14ac:dyDescent="0.25">
      <c r="A552" s="13">
        <v>1.1279201699551299E+17</v>
      </c>
      <c r="B552" s="20" t="s">
        <v>159</v>
      </c>
      <c r="C552" s="11" t="s">
        <v>25</v>
      </c>
      <c r="D552" s="13">
        <v>274702</v>
      </c>
      <c r="E552" s="13">
        <v>7117</v>
      </c>
      <c r="F552" s="11">
        <v>3</v>
      </c>
      <c r="G552" s="13">
        <v>157.28155339805801</v>
      </c>
      <c r="H552" s="13">
        <v>4.9805825242718402</v>
      </c>
      <c r="I552" s="13">
        <f t="shared" si="8"/>
        <v>162.26213592232986</v>
      </c>
      <c r="J552" s="14">
        <v>48.543689320388303</v>
      </c>
      <c r="K552" s="11" t="s">
        <v>10</v>
      </c>
    </row>
    <row r="553" spans="1:11" x14ac:dyDescent="0.25">
      <c r="A553" s="13">
        <v>1.15482773317516E+17</v>
      </c>
      <c r="B553" s="20" t="s">
        <v>136</v>
      </c>
      <c r="C553" s="11" t="s">
        <v>25</v>
      </c>
      <c r="D553" s="13">
        <v>825408</v>
      </c>
      <c r="E553" s="13">
        <v>7117</v>
      </c>
      <c r="F553" s="11">
        <v>3</v>
      </c>
      <c r="G553" s="13">
        <v>169.90291262135901</v>
      </c>
      <c r="H553" s="13">
        <v>5.0970873786407802</v>
      </c>
      <c r="I553" s="13">
        <f t="shared" si="8"/>
        <v>174.9999999999998</v>
      </c>
      <c r="J553" s="14">
        <v>59.223300970873801</v>
      </c>
      <c r="K553" s="11" t="s">
        <v>37</v>
      </c>
    </row>
    <row r="554" spans="1:11" x14ac:dyDescent="0.25">
      <c r="A554" s="13">
        <v>1.1459869515635E+17</v>
      </c>
      <c r="B554" s="20" t="s">
        <v>139</v>
      </c>
      <c r="C554" s="11" t="s">
        <v>9</v>
      </c>
      <c r="D554" s="13">
        <v>307024</v>
      </c>
      <c r="E554" s="13">
        <v>7117</v>
      </c>
      <c r="F554" s="11">
        <v>3</v>
      </c>
      <c r="G554" s="13">
        <v>168.93203883495099</v>
      </c>
      <c r="H554" s="13">
        <v>5.0679611650485397</v>
      </c>
      <c r="I554" s="13">
        <f t="shared" si="8"/>
        <v>173.99999999999952</v>
      </c>
      <c r="J554" s="14">
        <v>57.2815533980583</v>
      </c>
      <c r="K554" s="11" t="s">
        <v>46</v>
      </c>
    </row>
    <row r="555" spans="1:11" x14ac:dyDescent="0.25">
      <c r="A555" s="13">
        <v>1.0896930881801101E+17</v>
      </c>
      <c r="B555" s="20" t="s">
        <v>160</v>
      </c>
      <c r="C555" s="11" t="s">
        <v>16</v>
      </c>
      <c r="D555" s="13">
        <v>532430</v>
      </c>
      <c r="E555" s="13">
        <v>7117</v>
      </c>
      <c r="F555" s="11">
        <v>3</v>
      </c>
      <c r="G555" s="13">
        <v>172.81553398058199</v>
      </c>
      <c r="H555" s="13">
        <v>5.1844660194174796</v>
      </c>
      <c r="I555" s="13">
        <f t="shared" si="8"/>
        <v>177.99999999999946</v>
      </c>
      <c r="J555" s="14">
        <v>56.3106796116505</v>
      </c>
      <c r="K555" s="11" t="s">
        <v>39</v>
      </c>
    </row>
    <row r="556" spans="1:11" x14ac:dyDescent="0.25">
      <c r="A556" s="13">
        <v>1.14066611350094E+17</v>
      </c>
      <c r="B556" s="20" t="s">
        <v>147</v>
      </c>
      <c r="C556" s="11" t="s">
        <v>16</v>
      </c>
      <c r="D556" s="13">
        <v>208021</v>
      </c>
      <c r="E556" s="13">
        <v>7117</v>
      </c>
      <c r="F556" s="11">
        <v>3</v>
      </c>
      <c r="G556" s="13">
        <v>151.45631067961099</v>
      </c>
      <c r="H556" s="13">
        <v>5.2718446601941702</v>
      </c>
      <c r="I556" s="13">
        <f t="shared" si="8"/>
        <v>156.72815533980517</v>
      </c>
      <c r="J556" s="14">
        <v>34.951456310679603</v>
      </c>
      <c r="K556" s="11" t="s">
        <v>10</v>
      </c>
    </row>
    <row r="557" spans="1:11" x14ac:dyDescent="0.25">
      <c r="A557" s="13">
        <v>1.10991866322678E+17</v>
      </c>
      <c r="B557" s="20" t="s">
        <v>155</v>
      </c>
      <c r="C557" s="11" t="s">
        <v>25</v>
      </c>
      <c r="D557" s="13">
        <v>803114</v>
      </c>
      <c r="E557" s="13">
        <v>7117</v>
      </c>
      <c r="F557" s="11">
        <v>3</v>
      </c>
      <c r="G557" s="13">
        <v>147.57281553397999</v>
      </c>
      <c r="H557" s="13">
        <v>4.42718446601942</v>
      </c>
      <c r="I557" s="13">
        <f t="shared" si="8"/>
        <v>151.9999999999994</v>
      </c>
      <c r="J557" s="14">
        <v>59.223300970873801</v>
      </c>
      <c r="K557" s="11" t="s">
        <v>22</v>
      </c>
    </row>
    <row r="558" spans="1:11" x14ac:dyDescent="0.25">
      <c r="A558" s="13">
        <v>1.0717123942405699E+17</v>
      </c>
      <c r="B558" s="20" t="s">
        <v>150</v>
      </c>
      <c r="C558" s="11" t="s">
        <v>25</v>
      </c>
      <c r="D558" s="13">
        <v>825409</v>
      </c>
      <c r="E558" s="13">
        <v>7117</v>
      </c>
      <c r="F558" s="11">
        <v>3</v>
      </c>
      <c r="G558" s="13">
        <v>160.19417475728099</v>
      </c>
      <c r="H558" s="13">
        <v>4.8058252427184502</v>
      </c>
      <c r="I558" s="13">
        <f t="shared" si="8"/>
        <v>164.99999999999943</v>
      </c>
      <c r="J558" s="14">
        <v>56.3106796116505</v>
      </c>
      <c r="K558" s="11" t="s">
        <v>37</v>
      </c>
    </row>
    <row r="559" spans="1:11" x14ac:dyDescent="0.25">
      <c r="A559" s="13">
        <v>1.13885136273306E+17</v>
      </c>
      <c r="B559" s="20" t="s">
        <v>147</v>
      </c>
      <c r="C559" s="11" t="s">
        <v>21</v>
      </c>
      <c r="D559" s="13">
        <v>481880</v>
      </c>
      <c r="E559" s="13">
        <v>7117</v>
      </c>
      <c r="F559" s="11">
        <v>3</v>
      </c>
      <c r="G559" s="13">
        <v>172.81553398058199</v>
      </c>
      <c r="H559" s="13">
        <v>5.1844660194174796</v>
      </c>
      <c r="I559" s="13">
        <f t="shared" si="8"/>
        <v>177.99999999999946</v>
      </c>
      <c r="J559" s="14">
        <v>56.3106796116505</v>
      </c>
      <c r="K559" s="11" t="s">
        <v>23</v>
      </c>
    </row>
    <row r="560" spans="1:11" x14ac:dyDescent="0.25">
      <c r="A560" s="13">
        <v>1.13187068544578E+17</v>
      </c>
      <c r="B560" s="20" t="s">
        <v>162</v>
      </c>
      <c r="C560" s="11" t="s">
        <v>16</v>
      </c>
      <c r="D560" s="13">
        <v>638152</v>
      </c>
      <c r="E560" s="13">
        <v>7117</v>
      </c>
      <c r="F560" s="11">
        <v>3</v>
      </c>
      <c r="G560" s="13">
        <v>172.81553398058199</v>
      </c>
      <c r="H560" s="13">
        <v>5.1844660194174796</v>
      </c>
      <c r="I560" s="13">
        <f t="shared" si="8"/>
        <v>177.99999999999946</v>
      </c>
      <c r="J560" s="14">
        <v>56.3106796116505</v>
      </c>
      <c r="K560" s="11" t="s">
        <v>27</v>
      </c>
    </row>
    <row r="561" spans="1:11" x14ac:dyDescent="0.25">
      <c r="A561" s="13">
        <v>1.15487397056416E+17</v>
      </c>
      <c r="B561" s="20" t="s">
        <v>136</v>
      </c>
      <c r="C561" s="11" t="s">
        <v>9</v>
      </c>
      <c r="D561" s="13">
        <v>141006</v>
      </c>
      <c r="E561" s="13">
        <v>7117</v>
      </c>
      <c r="F561" s="11">
        <v>3</v>
      </c>
      <c r="G561" s="13">
        <v>164.07766990291199</v>
      </c>
      <c r="H561" s="13">
        <v>5.1844660194174796</v>
      </c>
      <c r="I561" s="13">
        <f t="shared" si="8"/>
        <v>169.26213592232946</v>
      </c>
      <c r="J561" s="14">
        <v>47.572815533980602</v>
      </c>
      <c r="K561" s="11" t="s">
        <v>17</v>
      </c>
    </row>
    <row r="562" spans="1:11" x14ac:dyDescent="0.25">
      <c r="A562" s="13">
        <v>1.11306540720652E+17</v>
      </c>
      <c r="B562" s="20" t="s">
        <v>145</v>
      </c>
      <c r="C562" s="11" t="s">
        <v>16</v>
      </c>
      <c r="D562" s="13">
        <v>841436</v>
      </c>
      <c r="E562" s="13">
        <v>7117</v>
      </c>
      <c r="F562" s="11">
        <v>3</v>
      </c>
      <c r="G562" s="13">
        <v>170.873786407767</v>
      </c>
      <c r="H562" s="13">
        <v>5.2427184466019403</v>
      </c>
      <c r="I562" s="13">
        <f t="shared" si="8"/>
        <v>176.11650485436894</v>
      </c>
      <c r="J562" s="14">
        <v>54.368932038834998</v>
      </c>
      <c r="K562" s="11" t="s">
        <v>22</v>
      </c>
    </row>
    <row r="563" spans="1:11" x14ac:dyDescent="0.25">
      <c r="A563" s="13">
        <v>1.0743979789060499E+17</v>
      </c>
      <c r="B563" s="20" t="s">
        <v>140</v>
      </c>
      <c r="C563" s="11" t="s">
        <v>25</v>
      </c>
      <c r="D563" s="13">
        <v>591234</v>
      </c>
      <c r="E563" s="13">
        <v>7117</v>
      </c>
      <c r="F563" s="11">
        <v>3</v>
      </c>
      <c r="G563" s="13">
        <v>145.631067961165</v>
      </c>
      <c r="H563" s="13">
        <v>4.3689320388349504</v>
      </c>
      <c r="I563" s="13">
        <f t="shared" si="8"/>
        <v>149.99999999999994</v>
      </c>
      <c r="J563" s="14">
        <v>59.223300970873801</v>
      </c>
      <c r="K563" s="11" t="s">
        <v>19</v>
      </c>
    </row>
    <row r="564" spans="1:11" x14ac:dyDescent="0.25">
      <c r="A564" s="13">
        <v>1.15014385680022E+17</v>
      </c>
      <c r="B564" s="20" t="s">
        <v>148</v>
      </c>
      <c r="C564" s="11" t="s">
        <v>9</v>
      </c>
      <c r="D564" s="13">
        <v>601201</v>
      </c>
      <c r="E564" s="13">
        <v>7117</v>
      </c>
      <c r="F564" s="11">
        <v>3</v>
      </c>
      <c r="G564" s="13">
        <v>169.90291262135901</v>
      </c>
      <c r="H564" s="13">
        <v>5.0970873786407802</v>
      </c>
      <c r="I564" s="13">
        <f t="shared" si="8"/>
        <v>174.9999999999998</v>
      </c>
      <c r="J564" s="14">
        <v>59.223300970873801</v>
      </c>
      <c r="K564" s="11" t="s">
        <v>27</v>
      </c>
    </row>
    <row r="565" spans="1:11" x14ac:dyDescent="0.25">
      <c r="A565" s="13">
        <v>1.11673519331672E+17</v>
      </c>
      <c r="B565" s="20" t="s">
        <v>146</v>
      </c>
      <c r="C565" s="11" t="s">
        <v>25</v>
      </c>
      <c r="D565" s="13">
        <v>822117</v>
      </c>
      <c r="E565" s="13">
        <v>7117</v>
      </c>
      <c r="F565" s="11">
        <v>3</v>
      </c>
      <c r="G565" s="13">
        <v>149.514563106796</v>
      </c>
      <c r="H565" s="13">
        <v>5.0388349514563098</v>
      </c>
      <c r="I565" s="13">
        <f t="shared" si="8"/>
        <v>154.55339805825233</v>
      </c>
      <c r="J565" s="14">
        <v>40.776699029126199</v>
      </c>
      <c r="K565" s="11" t="s">
        <v>37</v>
      </c>
    </row>
    <row r="566" spans="1:11" x14ac:dyDescent="0.25">
      <c r="A566" s="13">
        <v>1.06388058010878E+17</v>
      </c>
      <c r="B566" s="20" t="s">
        <v>156</v>
      </c>
      <c r="C566" s="11" t="s">
        <v>25</v>
      </c>
      <c r="D566" s="13">
        <v>493445</v>
      </c>
      <c r="E566" s="13">
        <v>7117</v>
      </c>
      <c r="F566" s="11">
        <v>3</v>
      </c>
      <c r="G566" s="13">
        <v>156.31067961164999</v>
      </c>
      <c r="H566" s="13">
        <v>4.6893203883495103</v>
      </c>
      <c r="I566" s="13">
        <f t="shared" si="8"/>
        <v>160.99999999999949</v>
      </c>
      <c r="J566" s="14">
        <v>58.252427184466001</v>
      </c>
      <c r="K566" s="11" t="s">
        <v>23</v>
      </c>
    </row>
    <row r="567" spans="1:11" x14ac:dyDescent="0.25">
      <c r="A567" s="13">
        <v>1.12791068277502E+17</v>
      </c>
      <c r="B567" s="20" t="s">
        <v>159</v>
      </c>
      <c r="C567" s="11" t="s">
        <v>16</v>
      </c>
      <c r="D567" s="13">
        <v>272194</v>
      </c>
      <c r="E567" s="13">
        <v>7117</v>
      </c>
      <c r="F567" s="11">
        <v>3</v>
      </c>
      <c r="G567" s="13">
        <v>148.54368932038801</v>
      </c>
      <c r="H567" s="13">
        <v>4.9805825242718402</v>
      </c>
      <c r="I567" s="13">
        <f t="shared" si="8"/>
        <v>153.52427184465986</v>
      </c>
      <c r="J567" s="14">
        <v>39.805825242718498</v>
      </c>
      <c r="K567" s="11" t="s">
        <v>10</v>
      </c>
    </row>
    <row r="568" spans="1:11" x14ac:dyDescent="0.25">
      <c r="A568" s="13">
        <v>1.1436591249636499E+17</v>
      </c>
      <c r="B568" s="20" t="s">
        <v>138</v>
      </c>
      <c r="C568" s="11" t="s">
        <v>16</v>
      </c>
      <c r="D568" s="13">
        <v>272191</v>
      </c>
      <c r="E568" s="13">
        <v>7117</v>
      </c>
      <c r="F568" s="11">
        <v>3</v>
      </c>
      <c r="G568" s="13">
        <v>145.631067961165</v>
      </c>
      <c r="H568" s="13">
        <v>4.6310679611650496</v>
      </c>
      <c r="I568" s="13">
        <f t="shared" si="8"/>
        <v>150.26213592233006</v>
      </c>
      <c r="J568" s="14">
        <v>47.572815533980602</v>
      </c>
      <c r="K568" s="11" t="s">
        <v>10</v>
      </c>
    </row>
    <row r="569" spans="1:11" x14ac:dyDescent="0.25">
      <c r="A569" s="13">
        <v>1.0808589931871901E+17</v>
      </c>
      <c r="B569" s="20" t="s">
        <v>153</v>
      </c>
      <c r="C569" s="11" t="s">
        <v>16</v>
      </c>
      <c r="D569" s="13">
        <v>455001</v>
      </c>
      <c r="E569" s="13">
        <v>7117</v>
      </c>
      <c r="F569" s="11">
        <v>3</v>
      </c>
      <c r="G569" s="13">
        <v>168.93203883495099</v>
      </c>
      <c r="H569" s="13">
        <v>5.0679611650485397</v>
      </c>
      <c r="I569" s="13">
        <f t="shared" si="8"/>
        <v>173.99999999999952</v>
      </c>
      <c r="J569" s="14">
        <v>57.2815533980583</v>
      </c>
      <c r="K569" s="11" t="s">
        <v>26</v>
      </c>
    </row>
    <row r="570" spans="1:11" x14ac:dyDescent="0.25">
      <c r="A570" s="13">
        <v>1.1498770738689101E+17</v>
      </c>
      <c r="B570" s="20" t="s">
        <v>148</v>
      </c>
      <c r="C570" s="11" t="s">
        <v>21</v>
      </c>
      <c r="D570" s="13">
        <v>212659</v>
      </c>
      <c r="E570" s="13">
        <v>7117</v>
      </c>
      <c r="F570" s="11">
        <v>3</v>
      </c>
      <c r="G570" s="13">
        <v>164.07766990291199</v>
      </c>
      <c r="H570" s="13">
        <v>5.1844660194174796</v>
      </c>
      <c r="I570" s="13">
        <f t="shared" si="8"/>
        <v>169.26213592232946</v>
      </c>
      <c r="J570" s="14">
        <v>47.572815533980602</v>
      </c>
      <c r="K570" s="11" t="s">
        <v>10</v>
      </c>
    </row>
    <row r="571" spans="1:11" x14ac:dyDescent="0.25">
      <c r="A571" s="13">
        <v>1.07856702553912E+17</v>
      </c>
      <c r="B571" s="20" t="s">
        <v>141</v>
      </c>
      <c r="C571" s="11" t="s">
        <v>71</v>
      </c>
      <c r="D571" s="13">
        <v>442905</v>
      </c>
      <c r="E571" s="13">
        <v>7117</v>
      </c>
      <c r="F571" s="11">
        <v>3</v>
      </c>
      <c r="G571" s="13">
        <v>163.106796116504</v>
      </c>
      <c r="H571" s="13">
        <v>5.0679611650485397</v>
      </c>
      <c r="I571" s="13">
        <f t="shared" si="8"/>
        <v>168.17475728155253</v>
      </c>
      <c r="J571" s="14">
        <v>51.456310679611697</v>
      </c>
      <c r="K571" s="11" t="s">
        <v>41</v>
      </c>
    </row>
    <row r="572" spans="1:11" x14ac:dyDescent="0.25">
      <c r="A572" s="13">
        <v>1.09224214507356E+17</v>
      </c>
      <c r="B572" s="20" t="s">
        <v>161</v>
      </c>
      <c r="C572" s="11" t="s">
        <v>16</v>
      </c>
      <c r="D572" s="13">
        <v>799264</v>
      </c>
      <c r="E572" s="13">
        <v>7117</v>
      </c>
      <c r="F572" s="11">
        <v>3</v>
      </c>
      <c r="G572" s="13">
        <v>166.990291262135</v>
      </c>
      <c r="H572" s="13">
        <v>5.0097087378640799</v>
      </c>
      <c r="I572" s="13">
        <f t="shared" si="8"/>
        <v>171.99999999999909</v>
      </c>
      <c r="J572" s="14">
        <v>78.640776699029104</v>
      </c>
      <c r="K572" s="11" t="s">
        <v>165</v>
      </c>
    </row>
    <row r="573" spans="1:11" x14ac:dyDescent="0.25">
      <c r="A573" s="13">
        <v>1.14601368569706E+17</v>
      </c>
      <c r="B573" s="20" t="s">
        <v>139</v>
      </c>
      <c r="C573" s="11" t="s">
        <v>25</v>
      </c>
      <c r="D573" s="13">
        <v>284204</v>
      </c>
      <c r="E573" s="13">
        <v>7117</v>
      </c>
      <c r="F573" s="11">
        <v>3</v>
      </c>
      <c r="G573" s="13">
        <v>164.07766990291199</v>
      </c>
      <c r="H573" s="13">
        <v>5.1844660194174796</v>
      </c>
      <c r="I573" s="13">
        <f t="shared" si="8"/>
        <v>169.26213592232946</v>
      </c>
      <c r="J573" s="14">
        <v>47.572815533980602</v>
      </c>
      <c r="K573" s="11" t="s">
        <v>10</v>
      </c>
    </row>
    <row r="574" spans="1:11" x14ac:dyDescent="0.25">
      <c r="A574" s="13">
        <v>1.07366706663322E+17</v>
      </c>
      <c r="B574" s="20" t="s">
        <v>140</v>
      </c>
      <c r="C574" s="11" t="s">
        <v>16</v>
      </c>
      <c r="D574" s="13">
        <v>243005</v>
      </c>
      <c r="E574" s="13">
        <v>7117</v>
      </c>
      <c r="F574" s="11">
        <v>3</v>
      </c>
      <c r="G574" s="13">
        <v>153.39805825242701</v>
      </c>
      <c r="H574" s="13">
        <v>4.86407766990291</v>
      </c>
      <c r="I574" s="13">
        <f t="shared" si="8"/>
        <v>158.26213592232992</v>
      </c>
      <c r="J574" s="14">
        <v>49.514563106796103</v>
      </c>
      <c r="K574" s="11" t="s">
        <v>10</v>
      </c>
    </row>
    <row r="575" spans="1:11" x14ac:dyDescent="0.25">
      <c r="A575" s="13">
        <v>1.1561690350186701E+17</v>
      </c>
      <c r="B575" s="20" t="s">
        <v>137</v>
      </c>
      <c r="C575" s="11" t="s">
        <v>16</v>
      </c>
      <c r="D575" s="13">
        <v>475675</v>
      </c>
      <c r="E575" s="13">
        <v>7117</v>
      </c>
      <c r="F575" s="11">
        <v>3</v>
      </c>
      <c r="G575" s="13">
        <v>132.03883495145601</v>
      </c>
      <c r="H575" s="13">
        <v>4.1067961165048503</v>
      </c>
      <c r="I575" s="13">
        <f t="shared" si="8"/>
        <v>136.14563106796086</v>
      </c>
      <c r="J575" s="14">
        <v>52.427184466019398</v>
      </c>
      <c r="K575" s="11" t="s">
        <v>26</v>
      </c>
    </row>
    <row r="576" spans="1:11" x14ac:dyDescent="0.25">
      <c r="A576" s="13">
        <v>1.12931704112706E+17</v>
      </c>
      <c r="B576" s="20" t="s">
        <v>159</v>
      </c>
      <c r="C576" s="11" t="s">
        <v>71</v>
      </c>
      <c r="D576" s="13">
        <v>824211</v>
      </c>
      <c r="E576" s="13">
        <v>7117</v>
      </c>
      <c r="F576" s="11">
        <v>3</v>
      </c>
      <c r="G576" s="13">
        <v>139.80582524271799</v>
      </c>
      <c r="H576" s="13">
        <v>4.3980582524271803</v>
      </c>
      <c r="I576" s="13">
        <f t="shared" si="8"/>
        <v>144.20388349514516</v>
      </c>
      <c r="J576" s="14">
        <v>51.456310679611697</v>
      </c>
      <c r="K576" s="11" t="s">
        <v>22</v>
      </c>
    </row>
    <row r="577" spans="1:11" x14ac:dyDescent="0.25">
      <c r="A577" s="13">
        <v>1.10040819336934E+17</v>
      </c>
      <c r="B577" s="20" t="s">
        <v>142</v>
      </c>
      <c r="C577" s="11" t="s">
        <v>25</v>
      </c>
      <c r="D577" s="13">
        <v>123029</v>
      </c>
      <c r="E577" s="13">
        <v>7117</v>
      </c>
      <c r="F577" s="11">
        <v>3</v>
      </c>
      <c r="G577" s="13">
        <v>100</v>
      </c>
      <c r="H577" s="13">
        <v>3.1456310679611699</v>
      </c>
      <c r="I577" s="13">
        <f t="shared" si="8"/>
        <v>103.14563106796118</v>
      </c>
      <c r="J577" s="14">
        <v>52.427184466019398</v>
      </c>
      <c r="K577" s="11" t="s">
        <v>63</v>
      </c>
    </row>
    <row r="578" spans="1:11" x14ac:dyDescent="0.25">
      <c r="A578" s="13">
        <v>1.1472215259146099E+17</v>
      </c>
      <c r="B578" s="20" t="s">
        <v>139</v>
      </c>
      <c r="C578" s="11" t="s">
        <v>16</v>
      </c>
      <c r="D578" s="13">
        <v>768110</v>
      </c>
      <c r="E578" s="13">
        <v>7117</v>
      </c>
      <c r="F578" s="11">
        <v>3</v>
      </c>
      <c r="G578" s="13">
        <v>172.81553398058199</v>
      </c>
      <c r="H578" s="13">
        <v>5.1844660194174796</v>
      </c>
      <c r="I578" s="13">
        <f t="shared" si="8"/>
        <v>177.99999999999946</v>
      </c>
      <c r="J578" s="14">
        <v>56.3106796116505</v>
      </c>
      <c r="K578" s="11" t="s">
        <v>54</v>
      </c>
    </row>
    <row r="579" spans="1:11" x14ac:dyDescent="0.25">
      <c r="A579" s="13">
        <v>1.0632417751822301E+17</v>
      </c>
      <c r="B579" s="20" t="s">
        <v>156</v>
      </c>
      <c r="C579" s="11" t="s">
        <v>25</v>
      </c>
      <c r="D579" s="13">
        <v>110074</v>
      </c>
      <c r="E579" s="13">
        <v>7117</v>
      </c>
      <c r="F579" s="11">
        <v>3</v>
      </c>
      <c r="G579" s="13">
        <v>166.01941747572801</v>
      </c>
      <c r="H579" s="13">
        <v>5.2427184466019403</v>
      </c>
      <c r="I579" s="13">
        <f t="shared" ref="I579:I642" si="9">G579+H579</f>
        <v>171.26213592232995</v>
      </c>
      <c r="J579" s="14">
        <v>49.514563106796103</v>
      </c>
      <c r="K579" s="11" t="s">
        <v>28</v>
      </c>
    </row>
    <row r="580" spans="1:11" x14ac:dyDescent="0.25">
      <c r="A580" s="13">
        <v>1.14639459517234E+17</v>
      </c>
      <c r="B580" s="20" t="s">
        <v>139</v>
      </c>
      <c r="C580" s="11" t="s">
        <v>25</v>
      </c>
      <c r="D580" s="13">
        <v>390010</v>
      </c>
      <c r="E580" s="13">
        <v>7117</v>
      </c>
      <c r="F580" s="11">
        <v>3</v>
      </c>
      <c r="G580" s="13">
        <v>147.57281553397999</v>
      </c>
      <c r="H580" s="13">
        <v>4.42718446601942</v>
      </c>
      <c r="I580" s="13">
        <f t="shared" si="9"/>
        <v>151.9999999999994</v>
      </c>
      <c r="J580" s="14">
        <v>59.223300970873801</v>
      </c>
      <c r="K580" s="11" t="s">
        <v>12</v>
      </c>
    </row>
    <row r="581" spans="1:11" x14ac:dyDescent="0.25">
      <c r="A581" s="13">
        <v>1.0715149769090301E+17</v>
      </c>
      <c r="B581" s="20" t="s">
        <v>150</v>
      </c>
      <c r="C581" s="11" t="s">
        <v>21</v>
      </c>
      <c r="D581" s="13">
        <v>445301</v>
      </c>
      <c r="E581" s="13">
        <v>7117</v>
      </c>
      <c r="F581" s="11">
        <v>3</v>
      </c>
      <c r="G581" s="13">
        <v>184.466019417475</v>
      </c>
      <c r="H581" s="13">
        <v>4.4854368932038797</v>
      </c>
      <c r="I581" s="13">
        <f t="shared" si="9"/>
        <v>188.95145631067888</v>
      </c>
      <c r="J581" s="14">
        <v>92.233009708737896</v>
      </c>
      <c r="K581" s="11" t="s">
        <v>41</v>
      </c>
    </row>
    <row r="582" spans="1:11" x14ac:dyDescent="0.25">
      <c r="A582" s="13">
        <v>1.1636801031856499E+17</v>
      </c>
      <c r="B582" s="20" t="s">
        <v>152</v>
      </c>
      <c r="C582" s="11" t="s">
        <v>21</v>
      </c>
      <c r="D582" s="13">
        <v>743504</v>
      </c>
      <c r="E582" s="13">
        <v>7117</v>
      </c>
      <c r="F582" s="11">
        <v>3</v>
      </c>
      <c r="G582" s="13">
        <v>136.893203883495</v>
      </c>
      <c r="H582" s="13">
        <v>4.1067961165048503</v>
      </c>
      <c r="I582" s="13">
        <f t="shared" si="9"/>
        <v>140.99999999999986</v>
      </c>
      <c r="J582" s="14">
        <v>57.2815533980583</v>
      </c>
      <c r="K582" s="11" t="s">
        <v>14</v>
      </c>
    </row>
    <row r="583" spans="1:11" x14ac:dyDescent="0.25">
      <c r="A583" s="13">
        <v>1.12992339971342E+17</v>
      </c>
      <c r="B583" s="20" t="s">
        <v>162</v>
      </c>
      <c r="C583" s="11" t="s">
        <v>16</v>
      </c>
      <c r="D583" s="13">
        <v>500067</v>
      </c>
      <c r="E583" s="13">
        <v>7117</v>
      </c>
      <c r="F583" s="11">
        <v>3</v>
      </c>
      <c r="G583" s="13">
        <v>148.54368932038801</v>
      </c>
      <c r="H583" s="13">
        <v>4.4563106796116498</v>
      </c>
      <c r="I583" s="13">
        <f t="shared" si="9"/>
        <v>152.99999999999966</v>
      </c>
      <c r="J583" s="14">
        <v>60.194174757281601</v>
      </c>
      <c r="K583" s="11" t="s">
        <v>53</v>
      </c>
    </row>
    <row r="584" spans="1:11" x14ac:dyDescent="0.25">
      <c r="A584" s="13">
        <v>1.1388662062896701E+17</v>
      </c>
      <c r="B584" s="20" t="s">
        <v>147</v>
      </c>
      <c r="C584" s="11" t="s">
        <v>52</v>
      </c>
      <c r="D584" s="13">
        <v>517408</v>
      </c>
      <c r="E584" s="13">
        <v>7117</v>
      </c>
      <c r="F584" s="11">
        <v>3</v>
      </c>
      <c r="G584" s="13">
        <v>172.81553398058199</v>
      </c>
      <c r="H584" s="13">
        <v>4.6310679611650496</v>
      </c>
      <c r="I584" s="13">
        <f t="shared" si="9"/>
        <v>177.44660194174705</v>
      </c>
      <c r="J584" s="14">
        <v>74.757281553398101</v>
      </c>
      <c r="K584" s="11" t="s">
        <v>39</v>
      </c>
    </row>
    <row r="585" spans="1:11" x14ac:dyDescent="0.25">
      <c r="A585" s="13">
        <v>1.1583985824054701E+17</v>
      </c>
      <c r="B585" s="20" t="s">
        <v>137</v>
      </c>
      <c r="C585" s="11" t="s">
        <v>16</v>
      </c>
      <c r="D585" s="13">
        <v>281005</v>
      </c>
      <c r="E585" s="13">
        <v>7117</v>
      </c>
      <c r="F585" s="11">
        <v>3</v>
      </c>
      <c r="G585" s="13">
        <v>152.42718446601901</v>
      </c>
      <c r="H585" s="13">
        <v>5.1844660194174796</v>
      </c>
      <c r="I585" s="13">
        <f t="shared" si="9"/>
        <v>157.61165048543648</v>
      </c>
      <c r="J585" s="14">
        <v>35.922330097087404</v>
      </c>
      <c r="K585" s="11" t="s">
        <v>10</v>
      </c>
    </row>
    <row r="586" spans="1:11" x14ac:dyDescent="0.25">
      <c r="A586" s="13">
        <v>1.07079675185266E+17</v>
      </c>
      <c r="B586" s="20" t="s">
        <v>150</v>
      </c>
      <c r="C586" s="11" t="s">
        <v>16</v>
      </c>
      <c r="D586" s="13">
        <v>624710</v>
      </c>
      <c r="E586" s="13">
        <v>7117</v>
      </c>
      <c r="F586" s="11">
        <v>3</v>
      </c>
      <c r="G586" s="13">
        <v>160.19417475728099</v>
      </c>
      <c r="H586" s="13">
        <v>4.8058252427184502</v>
      </c>
      <c r="I586" s="13">
        <f t="shared" si="9"/>
        <v>164.99999999999943</v>
      </c>
      <c r="J586" s="14">
        <v>56.3106796116505</v>
      </c>
      <c r="K586" s="11" t="s">
        <v>27</v>
      </c>
    </row>
    <row r="587" spans="1:11" x14ac:dyDescent="0.25">
      <c r="A587" s="13">
        <v>1.0606879182556E+17</v>
      </c>
      <c r="B587" s="20" t="s">
        <v>128</v>
      </c>
      <c r="C587" s="11" t="s">
        <v>16</v>
      </c>
      <c r="D587" s="13">
        <v>828402</v>
      </c>
      <c r="E587" s="13">
        <v>7117</v>
      </c>
      <c r="F587" s="11">
        <v>3</v>
      </c>
      <c r="G587" s="13">
        <v>146.601941747572</v>
      </c>
      <c r="H587" s="13">
        <v>4.9223300970873796</v>
      </c>
      <c r="I587" s="13">
        <f t="shared" si="9"/>
        <v>151.52427184465938</v>
      </c>
      <c r="J587" s="14">
        <v>39.805825242718498</v>
      </c>
      <c r="K587" s="11" t="s">
        <v>37</v>
      </c>
    </row>
    <row r="588" spans="1:11" x14ac:dyDescent="0.25">
      <c r="A588" s="13">
        <v>1.1470678807468301E+17</v>
      </c>
      <c r="B588" s="20" t="s">
        <v>139</v>
      </c>
      <c r="C588" s="11" t="s">
        <v>25</v>
      </c>
      <c r="D588" s="13">
        <v>440016</v>
      </c>
      <c r="E588" s="13">
        <v>7117</v>
      </c>
      <c r="F588" s="11">
        <v>3</v>
      </c>
      <c r="G588" s="13">
        <v>170.873786407767</v>
      </c>
      <c r="H588" s="13">
        <v>5.1262135922330101</v>
      </c>
      <c r="I588" s="13">
        <f t="shared" si="9"/>
        <v>176</v>
      </c>
      <c r="J588" s="14">
        <v>59.223300970873801</v>
      </c>
      <c r="K588" s="11" t="s">
        <v>41</v>
      </c>
    </row>
    <row r="589" spans="1:11" x14ac:dyDescent="0.25">
      <c r="A589" s="13">
        <v>1.1468489849703501E+17</v>
      </c>
      <c r="B589" s="20" t="s">
        <v>139</v>
      </c>
      <c r="C589" s="11" t="s">
        <v>16</v>
      </c>
      <c r="D589" s="13">
        <v>782105</v>
      </c>
      <c r="E589" s="13">
        <v>7117</v>
      </c>
      <c r="F589" s="11">
        <v>3</v>
      </c>
      <c r="G589" s="13">
        <v>189.32038834951399</v>
      </c>
      <c r="H589" s="13">
        <v>5.6796116504854401</v>
      </c>
      <c r="I589" s="13">
        <f t="shared" si="9"/>
        <v>194.99999999999943</v>
      </c>
      <c r="J589" s="14">
        <v>78.640776699029104</v>
      </c>
      <c r="K589" s="11" t="s">
        <v>35</v>
      </c>
    </row>
    <row r="590" spans="1:11" x14ac:dyDescent="0.25">
      <c r="A590" s="13">
        <v>1.09711453900272E+17</v>
      </c>
      <c r="B590" s="20" t="s">
        <v>164</v>
      </c>
      <c r="C590" s="11" t="s">
        <v>16</v>
      </c>
      <c r="D590" s="13">
        <v>621719</v>
      </c>
      <c r="E590" s="13">
        <v>7117</v>
      </c>
      <c r="F590" s="11">
        <v>3</v>
      </c>
      <c r="G590" s="13">
        <v>147.57281553397999</v>
      </c>
      <c r="H590" s="13">
        <v>4.42718446601942</v>
      </c>
      <c r="I590" s="13">
        <f t="shared" si="9"/>
        <v>151.9999999999994</v>
      </c>
      <c r="J590" s="14">
        <v>59.223300970873801</v>
      </c>
      <c r="K590" s="11" t="s">
        <v>27</v>
      </c>
    </row>
    <row r="591" spans="1:11" x14ac:dyDescent="0.25">
      <c r="A591" s="13">
        <v>1.15468537968266E+17</v>
      </c>
      <c r="B591" s="20" t="s">
        <v>136</v>
      </c>
      <c r="C591" s="11" t="s">
        <v>16</v>
      </c>
      <c r="D591" s="13">
        <v>332025</v>
      </c>
      <c r="E591" s="13">
        <v>7117</v>
      </c>
      <c r="F591" s="11">
        <v>3</v>
      </c>
      <c r="G591" s="13">
        <v>147.57281553397999</v>
      </c>
      <c r="H591" s="13">
        <v>4.6310679611650496</v>
      </c>
      <c r="I591" s="13">
        <f t="shared" si="9"/>
        <v>152.20388349514505</v>
      </c>
      <c r="J591" s="14">
        <v>49.514563106796103</v>
      </c>
      <c r="K591" s="11" t="s">
        <v>46</v>
      </c>
    </row>
    <row r="592" spans="1:11" x14ac:dyDescent="0.25">
      <c r="A592" s="13">
        <v>1.1387983989915299E+17</v>
      </c>
      <c r="B592" s="20" t="s">
        <v>147</v>
      </c>
      <c r="C592" s="11" t="s">
        <v>16</v>
      </c>
      <c r="D592" s="13">
        <v>508222</v>
      </c>
      <c r="E592" s="13">
        <v>7117</v>
      </c>
      <c r="F592" s="11">
        <v>3</v>
      </c>
      <c r="G592" s="13">
        <v>172.81553398058199</v>
      </c>
      <c r="H592" s="13">
        <v>5.1844660194174796</v>
      </c>
      <c r="I592" s="13">
        <f t="shared" si="9"/>
        <v>177.99999999999946</v>
      </c>
      <c r="J592" s="14">
        <v>56.3106796116505</v>
      </c>
      <c r="K592" s="11" t="s">
        <v>53</v>
      </c>
    </row>
    <row r="593" spans="1:11" x14ac:dyDescent="0.25">
      <c r="A593" s="13">
        <v>1.0749002398894499E+17</v>
      </c>
      <c r="B593" s="20" t="s">
        <v>140</v>
      </c>
      <c r="C593" s="11" t="s">
        <v>16</v>
      </c>
      <c r="D593" s="13">
        <v>148023</v>
      </c>
      <c r="E593" s="13">
        <v>7117</v>
      </c>
      <c r="F593" s="11">
        <v>3</v>
      </c>
      <c r="G593" s="13">
        <v>155.339805825242</v>
      </c>
      <c r="H593" s="13">
        <v>4.86407766990291</v>
      </c>
      <c r="I593" s="13">
        <f t="shared" si="9"/>
        <v>160.20388349514491</v>
      </c>
      <c r="J593" s="14">
        <v>51.456310679611697</v>
      </c>
      <c r="K593" s="11" t="s">
        <v>17</v>
      </c>
    </row>
    <row r="594" spans="1:11" x14ac:dyDescent="0.25">
      <c r="A594" s="13">
        <v>1.07391612589732E+17</v>
      </c>
      <c r="B594" s="20" t="s">
        <v>140</v>
      </c>
      <c r="C594" s="11" t="s">
        <v>16</v>
      </c>
      <c r="D594" s="13">
        <v>497225</v>
      </c>
      <c r="E594" s="13">
        <v>7117</v>
      </c>
      <c r="F594" s="11">
        <v>3</v>
      </c>
      <c r="G594" s="13">
        <v>167.96116504854299</v>
      </c>
      <c r="H594" s="13">
        <v>4.7184466019417499</v>
      </c>
      <c r="I594" s="13">
        <f t="shared" si="9"/>
        <v>172.67961165048473</v>
      </c>
      <c r="J594" s="14">
        <v>68.932038834951499</v>
      </c>
      <c r="K594" s="11" t="s">
        <v>23</v>
      </c>
    </row>
    <row r="595" spans="1:11" x14ac:dyDescent="0.25">
      <c r="A595" s="13">
        <v>1.0698851281302E+17</v>
      </c>
      <c r="B595" s="20" t="s">
        <v>150</v>
      </c>
      <c r="C595" s="11" t="s">
        <v>16</v>
      </c>
      <c r="D595" s="13">
        <v>764073</v>
      </c>
      <c r="E595" s="13">
        <v>7117</v>
      </c>
      <c r="F595" s="11">
        <v>3</v>
      </c>
      <c r="G595" s="13">
        <v>142.718446601941</v>
      </c>
      <c r="H595" s="13">
        <v>4.8058252427184502</v>
      </c>
      <c r="I595" s="13">
        <f t="shared" si="9"/>
        <v>147.52427184465944</v>
      </c>
      <c r="J595" s="14">
        <v>38.834951456310698</v>
      </c>
      <c r="K595" s="11" t="s">
        <v>54</v>
      </c>
    </row>
    <row r="596" spans="1:11" x14ac:dyDescent="0.25">
      <c r="A596" s="13">
        <v>1.13186799287038E+17</v>
      </c>
      <c r="B596" s="20" t="s">
        <v>162</v>
      </c>
      <c r="C596" s="11" t="s">
        <v>52</v>
      </c>
      <c r="D596" s="13">
        <v>382418</v>
      </c>
      <c r="E596" s="13">
        <v>7117</v>
      </c>
      <c r="F596" s="11">
        <v>3</v>
      </c>
      <c r="G596" s="13">
        <v>160.19417475728099</v>
      </c>
      <c r="H596" s="13">
        <v>4.8058252427184502</v>
      </c>
      <c r="I596" s="13">
        <f t="shared" si="9"/>
        <v>164.99999999999943</v>
      </c>
      <c r="J596" s="14">
        <v>57.2815533980583</v>
      </c>
      <c r="K596" s="11" t="s">
        <v>12</v>
      </c>
    </row>
    <row r="597" spans="1:11" x14ac:dyDescent="0.25">
      <c r="A597" s="13">
        <v>1.15016481272826E+17</v>
      </c>
      <c r="B597" s="20" t="s">
        <v>148</v>
      </c>
      <c r="C597" s="11" t="s">
        <v>25</v>
      </c>
      <c r="D597" s="13">
        <v>243751</v>
      </c>
      <c r="E597" s="13">
        <v>7117</v>
      </c>
      <c r="F597" s="11">
        <v>3</v>
      </c>
      <c r="G597" s="13">
        <v>145.631067961165</v>
      </c>
      <c r="H597" s="13">
        <v>4.6310679611650496</v>
      </c>
      <c r="I597" s="13">
        <f t="shared" si="9"/>
        <v>150.26213592233006</v>
      </c>
      <c r="J597" s="14">
        <v>47.572815533980602</v>
      </c>
      <c r="K597" s="11" t="s">
        <v>10</v>
      </c>
    </row>
    <row r="598" spans="1:11" x14ac:dyDescent="0.25">
      <c r="A598" s="13">
        <v>1.0712321519284701E+17</v>
      </c>
      <c r="B598" s="20" t="s">
        <v>150</v>
      </c>
      <c r="C598" s="11" t="s">
        <v>16</v>
      </c>
      <c r="D598" s="13">
        <v>110081</v>
      </c>
      <c r="E598" s="13">
        <v>7117</v>
      </c>
      <c r="F598" s="11">
        <v>3</v>
      </c>
      <c r="G598" s="13">
        <v>122.33009708737799</v>
      </c>
      <c r="H598" s="13">
        <v>4.3106796116504897</v>
      </c>
      <c r="I598" s="13">
        <f t="shared" si="9"/>
        <v>126.64077669902848</v>
      </c>
      <c r="J598" s="14">
        <v>34.951456310679603</v>
      </c>
      <c r="K598" s="11" t="s">
        <v>28</v>
      </c>
    </row>
    <row r="599" spans="1:11" x14ac:dyDescent="0.25">
      <c r="A599" s="13">
        <v>1.1690743401526099E+17</v>
      </c>
      <c r="B599" s="20" t="s">
        <v>144</v>
      </c>
      <c r="C599" s="11" t="s">
        <v>9</v>
      </c>
      <c r="D599" s="13">
        <v>123501</v>
      </c>
      <c r="E599" s="13">
        <v>7117</v>
      </c>
      <c r="F599" s="11">
        <v>3</v>
      </c>
      <c r="G599" s="13">
        <v>155.339805825242</v>
      </c>
      <c r="H599" s="13">
        <v>4.8058252427184502</v>
      </c>
      <c r="I599" s="13">
        <f t="shared" si="9"/>
        <v>160.14563106796044</v>
      </c>
      <c r="J599" s="14">
        <v>52.427184466019398</v>
      </c>
      <c r="K599" s="11" t="s">
        <v>63</v>
      </c>
    </row>
    <row r="600" spans="1:11" x14ac:dyDescent="0.25">
      <c r="A600" s="13">
        <v>1.07419569890816E+17</v>
      </c>
      <c r="B600" s="20" t="s">
        <v>140</v>
      </c>
      <c r="C600" s="11" t="s">
        <v>16</v>
      </c>
      <c r="D600" s="13">
        <v>532421</v>
      </c>
      <c r="E600" s="13">
        <v>7117</v>
      </c>
      <c r="F600" s="11">
        <v>3</v>
      </c>
      <c r="G600" s="13">
        <v>145.631067961165</v>
      </c>
      <c r="H600" s="13">
        <v>4.3689320388349504</v>
      </c>
      <c r="I600" s="13">
        <f t="shared" si="9"/>
        <v>149.99999999999994</v>
      </c>
      <c r="J600" s="14">
        <v>58.252427184466001</v>
      </c>
      <c r="K600" s="11" t="s">
        <v>39</v>
      </c>
    </row>
    <row r="601" spans="1:11" x14ac:dyDescent="0.25">
      <c r="A601" s="13">
        <v>1.12123669983158E+17</v>
      </c>
      <c r="B601" s="20" t="s">
        <v>158</v>
      </c>
      <c r="C601" s="11" t="s">
        <v>16</v>
      </c>
      <c r="D601" s="13">
        <v>444107</v>
      </c>
      <c r="E601" s="13">
        <v>7117</v>
      </c>
      <c r="F601" s="11">
        <v>3</v>
      </c>
      <c r="G601" s="13">
        <v>170.873786407767</v>
      </c>
      <c r="H601" s="13">
        <v>5.1262135922330101</v>
      </c>
      <c r="I601" s="13">
        <f t="shared" si="9"/>
        <v>176</v>
      </c>
      <c r="J601" s="14">
        <v>59.223300970873801</v>
      </c>
      <c r="K601" s="11" t="s">
        <v>41</v>
      </c>
    </row>
    <row r="602" spans="1:11" x14ac:dyDescent="0.25">
      <c r="A602" s="13">
        <v>1.0991717017953501E+17</v>
      </c>
      <c r="B602" s="20" t="s">
        <v>142</v>
      </c>
      <c r="C602" s="11" t="s">
        <v>16</v>
      </c>
      <c r="D602" s="13">
        <v>121003</v>
      </c>
      <c r="E602" s="13">
        <v>7117</v>
      </c>
      <c r="F602" s="11">
        <v>3</v>
      </c>
      <c r="G602" s="13">
        <v>138.83495145630999</v>
      </c>
      <c r="H602" s="13">
        <v>4.8058252427184502</v>
      </c>
      <c r="I602" s="13">
        <f t="shared" si="9"/>
        <v>143.64077669902844</v>
      </c>
      <c r="J602" s="14">
        <v>35.922330097087404</v>
      </c>
      <c r="K602" s="11" t="s">
        <v>63</v>
      </c>
    </row>
    <row r="603" spans="1:11" x14ac:dyDescent="0.25">
      <c r="A603" s="13">
        <v>1.0709474401402499E+17</v>
      </c>
      <c r="B603" s="20" t="s">
        <v>150</v>
      </c>
      <c r="C603" s="11" t="s">
        <v>16</v>
      </c>
      <c r="D603" s="13">
        <v>209733</v>
      </c>
      <c r="E603" s="13">
        <v>7117</v>
      </c>
      <c r="F603" s="11">
        <v>3</v>
      </c>
      <c r="G603" s="13">
        <v>134.95145631067899</v>
      </c>
      <c r="H603" s="13">
        <v>4.3106796116504897</v>
      </c>
      <c r="I603" s="13">
        <f t="shared" si="9"/>
        <v>139.26213592232949</v>
      </c>
      <c r="J603" s="14">
        <v>47.572815533980602</v>
      </c>
      <c r="K603" s="11" t="s">
        <v>10</v>
      </c>
    </row>
    <row r="604" spans="1:11" x14ac:dyDescent="0.25">
      <c r="A604" s="13">
        <v>1.0824764683324301E+17</v>
      </c>
      <c r="B604" s="20" t="s">
        <v>153</v>
      </c>
      <c r="C604" s="11" t="s">
        <v>25</v>
      </c>
      <c r="D604" s="13">
        <v>517424</v>
      </c>
      <c r="E604" s="13">
        <v>7117</v>
      </c>
      <c r="F604" s="11">
        <v>3</v>
      </c>
      <c r="G604" s="13">
        <v>172.81553398058199</v>
      </c>
      <c r="H604" s="13">
        <v>5.1844660194174796</v>
      </c>
      <c r="I604" s="13">
        <f t="shared" si="9"/>
        <v>177.99999999999946</v>
      </c>
      <c r="J604" s="14">
        <v>56.3106796116505</v>
      </c>
      <c r="K604" s="11" t="s">
        <v>39</v>
      </c>
    </row>
    <row r="605" spans="1:11" x14ac:dyDescent="0.25">
      <c r="A605" s="13">
        <v>1.1071792388748E+17</v>
      </c>
      <c r="B605" s="20" t="s">
        <v>143</v>
      </c>
      <c r="C605" s="11" t="s">
        <v>16</v>
      </c>
      <c r="D605" s="13">
        <v>226022</v>
      </c>
      <c r="E605" s="13">
        <v>7117</v>
      </c>
      <c r="F605" s="11">
        <v>3</v>
      </c>
      <c r="G605" s="13">
        <v>167.96116504854299</v>
      </c>
      <c r="H605" s="13">
        <v>5.8252427184466002</v>
      </c>
      <c r="I605" s="13">
        <f t="shared" si="9"/>
        <v>173.78640776698958</v>
      </c>
      <c r="J605" s="14">
        <v>33.009708737864102</v>
      </c>
      <c r="K605" s="11" t="s">
        <v>10</v>
      </c>
    </row>
    <row r="606" spans="1:11" x14ac:dyDescent="0.25">
      <c r="A606" s="13">
        <v>1.12217523152552E+17</v>
      </c>
      <c r="B606" s="20" t="s">
        <v>158</v>
      </c>
      <c r="C606" s="11" t="s">
        <v>25</v>
      </c>
      <c r="D606" s="13">
        <v>753001</v>
      </c>
      <c r="E606" s="13">
        <v>7117</v>
      </c>
      <c r="F606" s="11">
        <v>3</v>
      </c>
      <c r="G606" s="13">
        <v>213.592233009708</v>
      </c>
      <c r="H606" s="13">
        <v>6.4077669902912602</v>
      </c>
      <c r="I606" s="13">
        <f t="shared" si="9"/>
        <v>219.99999999999926</v>
      </c>
      <c r="J606" s="14">
        <v>58.252427184466001</v>
      </c>
      <c r="K606" s="11" t="s">
        <v>54</v>
      </c>
    </row>
    <row r="607" spans="1:11" x14ac:dyDescent="0.25">
      <c r="A607" s="13">
        <v>1.06010949387056E+17</v>
      </c>
      <c r="B607" s="20" t="s">
        <v>128</v>
      </c>
      <c r="C607" s="11" t="s">
        <v>16</v>
      </c>
      <c r="D607" s="13">
        <v>201102</v>
      </c>
      <c r="E607" s="13">
        <v>7117</v>
      </c>
      <c r="F607" s="11">
        <v>3</v>
      </c>
      <c r="G607" s="13">
        <v>170.873786407767</v>
      </c>
      <c r="H607" s="13">
        <v>5.2135922330097104</v>
      </c>
      <c r="I607" s="13">
        <f t="shared" si="9"/>
        <v>176.08737864077671</v>
      </c>
      <c r="J607" s="14">
        <v>54.368932038834998</v>
      </c>
      <c r="K607" s="11" t="s">
        <v>10</v>
      </c>
    </row>
    <row r="608" spans="1:11" x14ac:dyDescent="0.25">
      <c r="A608" s="13">
        <v>1.1206034502323E+17</v>
      </c>
      <c r="B608" s="20" t="s">
        <v>158</v>
      </c>
      <c r="C608" s="11" t="s">
        <v>21</v>
      </c>
      <c r="D608" s="13">
        <v>847402</v>
      </c>
      <c r="E608" s="13">
        <v>7117</v>
      </c>
      <c r="F608" s="11">
        <v>3</v>
      </c>
      <c r="G608" s="13">
        <v>169.90291262135901</v>
      </c>
      <c r="H608" s="13">
        <v>5.0970873786407802</v>
      </c>
      <c r="I608" s="13">
        <f t="shared" si="9"/>
        <v>174.9999999999998</v>
      </c>
      <c r="J608" s="14">
        <v>59.223300970873801</v>
      </c>
      <c r="K608" s="11" t="s">
        <v>22</v>
      </c>
    </row>
    <row r="609" spans="1:11" x14ac:dyDescent="0.25">
      <c r="A609" s="13">
        <v>1.07306177091756E+17</v>
      </c>
      <c r="B609" s="20" t="s">
        <v>140</v>
      </c>
      <c r="C609" s="11" t="s">
        <v>21</v>
      </c>
      <c r="D609" s="13">
        <v>759122</v>
      </c>
      <c r="E609" s="13">
        <v>7117</v>
      </c>
      <c r="F609" s="11">
        <v>3</v>
      </c>
      <c r="G609" s="13">
        <v>167.96116504854299</v>
      </c>
      <c r="H609" s="13">
        <v>5.0388349514563098</v>
      </c>
      <c r="I609" s="13">
        <f t="shared" si="9"/>
        <v>172.99999999999932</v>
      </c>
      <c r="J609" s="14">
        <v>58.252427184466001</v>
      </c>
      <c r="K609" s="11" t="s">
        <v>54</v>
      </c>
    </row>
    <row r="610" spans="1:11" x14ac:dyDescent="0.25">
      <c r="A610" s="13">
        <v>1.14657532957584E+17</v>
      </c>
      <c r="B610" s="20" t="s">
        <v>139</v>
      </c>
      <c r="C610" s="11" t="s">
        <v>25</v>
      </c>
      <c r="D610" s="13">
        <v>411039</v>
      </c>
      <c r="E610" s="13">
        <v>7117</v>
      </c>
      <c r="F610" s="11">
        <v>3</v>
      </c>
      <c r="G610" s="13">
        <v>169.90291262135901</v>
      </c>
      <c r="H610" s="13">
        <v>5.0970873786407802</v>
      </c>
      <c r="I610" s="13">
        <f t="shared" si="9"/>
        <v>174.9999999999998</v>
      </c>
      <c r="J610" s="14">
        <v>59.223300970873801</v>
      </c>
      <c r="K610" s="11" t="s">
        <v>41</v>
      </c>
    </row>
    <row r="611" spans="1:11" x14ac:dyDescent="0.25">
      <c r="A611" s="13">
        <v>1.07082584126944E+17</v>
      </c>
      <c r="B611" s="20" t="s">
        <v>150</v>
      </c>
      <c r="C611" s="11" t="s">
        <v>16</v>
      </c>
      <c r="D611" s="13">
        <v>274409</v>
      </c>
      <c r="E611" s="13">
        <v>7117</v>
      </c>
      <c r="F611" s="11">
        <v>3</v>
      </c>
      <c r="G611" s="13">
        <v>151.45631067961099</v>
      </c>
      <c r="H611" s="13">
        <v>4.8058252427184502</v>
      </c>
      <c r="I611" s="13">
        <f t="shared" si="9"/>
        <v>156.26213592232943</v>
      </c>
      <c r="J611" s="14">
        <v>47.572815533980602</v>
      </c>
      <c r="K611" s="11" t="s">
        <v>10</v>
      </c>
    </row>
    <row r="612" spans="1:11" x14ac:dyDescent="0.25">
      <c r="A612" s="13">
        <v>1.1419410516418499E+17</v>
      </c>
      <c r="B612" s="20" t="s">
        <v>138</v>
      </c>
      <c r="C612" s="11" t="s">
        <v>21</v>
      </c>
      <c r="D612" s="13">
        <v>636905</v>
      </c>
      <c r="E612" s="13">
        <v>7117</v>
      </c>
      <c r="F612" s="11">
        <v>3</v>
      </c>
      <c r="G612" s="13">
        <v>169.90291262135901</v>
      </c>
      <c r="H612" s="13">
        <v>5.0970873786407802</v>
      </c>
      <c r="I612" s="13">
        <f t="shared" si="9"/>
        <v>174.9999999999998</v>
      </c>
      <c r="J612" s="14">
        <v>59.223300970873801</v>
      </c>
      <c r="K612" s="11" t="s">
        <v>27</v>
      </c>
    </row>
    <row r="613" spans="1:11" x14ac:dyDescent="0.25">
      <c r="A613" s="13">
        <v>1.1616851943938E+17</v>
      </c>
      <c r="B613" s="20" t="s">
        <v>166</v>
      </c>
      <c r="C613" s="11" t="s">
        <v>9</v>
      </c>
      <c r="D613" s="13">
        <v>560026</v>
      </c>
      <c r="E613" s="13">
        <v>7117</v>
      </c>
      <c r="F613" s="11">
        <v>3</v>
      </c>
      <c r="G613" s="13">
        <v>168.93203883495099</v>
      </c>
      <c r="H613" s="13">
        <v>5.0679611650485397</v>
      </c>
      <c r="I613" s="13">
        <f t="shared" si="9"/>
        <v>173.99999999999952</v>
      </c>
      <c r="J613" s="14">
        <v>57.2815533980583</v>
      </c>
      <c r="K613" s="11" t="s">
        <v>19</v>
      </c>
    </row>
    <row r="614" spans="1:11" x14ac:dyDescent="0.25">
      <c r="A614" s="13">
        <v>1.11707036489544E+17</v>
      </c>
      <c r="B614" s="20" t="s">
        <v>146</v>
      </c>
      <c r="C614" s="11" t="s">
        <v>71</v>
      </c>
      <c r="D614" s="13">
        <v>225409</v>
      </c>
      <c r="E614" s="13">
        <v>7117</v>
      </c>
      <c r="F614" s="11">
        <v>3</v>
      </c>
      <c r="G614" s="13">
        <v>138.83495145630999</v>
      </c>
      <c r="H614" s="13">
        <v>4.42718446601942</v>
      </c>
      <c r="I614" s="13">
        <f t="shared" si="9"/>
        <v>143.26213592232941</v>
      </c>
      <c r="J614" s="14">
        <v>50.485436893203897</v>
      </c>
      <c r="K614" s="11" t="s">
        <v>10</v>
      </c>
    </row>
    <row r="615" spans="1:11" x14ac:dyDescent="0.25">
      <c r="A615" s="13">
        <v>1.0958705468669901E+17</v>
      </c>
      <c r="B615" s="20" t="s">
        <v>164</v>
      </c>
      <c r="C615" s="11" t="s">
        <v>21</v>
      </c>
      <c r="D615" s="13">
        <v>403516</v>
      </c>
      <c r="E615" s="13">
        <v>7117</v>
      </c>
      <c r="F615" s="11">
        <v>3</v>
      </c>
      <c r="G615" s="13">
        <v>166.01941747572801</v>
      </c>
      <c r="H615" s="13">
        <v>4.9805825242718402</v>
      </c>
      <c r="I615" s="13">
        <f t="shared" si="9"/>
        <v>170.99999999999986</v>
      </c>
      <c r="J615" s="14">
        <v>57.2815533980583</v>
      </c>
      <c r="K615" s="11" t="s">
        <v>104</v>
      </c>
    </row>
    <row r="616" spans="1:11" x14ac:dyDescent="0.25">
      <c r="A616" s="13">
        <v>1.1646178993668099E+17</v>
      </c>
      <c r="B616" s="20" t="s">
        <v>152</v>
      </c>
      <c r="C616" s="11" t="s">
        <v>9</v>
      </c>
      <c r="D616" s="13">
        <v>302016</v>
      </c>
      <c r="E616" s="13">
        <v>7117</v>
      </c>
      <c r="F616" s="11">
        <v>3</v>
      </c>
      <c r="G616" s="13">
        <v>166.990291262135</v>
      </c>
      <c r="H616" s="13">
        <v>5.2718446601941702</v>
      </c>
      <c r="I616" s="13">
        <f t="shared" si="9"/>
        <v>172.26213592232918</v>
      </c>
      <c r="J616" s="14">
        <v>50.485436893203897</v>
      </c>
      <c r="K616" s="11" t="s">
        <v>46</v>
      </c>
    </row>
    <row r="617" spans="1:11" x14ac:dyDescent="0.25">
      <c r="A617" s="13">
        <v>1.11429733144884E+17</v>
      </c>
      <c r="B617" s="20" t="s">
        <v>145</v>
      </c>
      <c r="C617" s="11" t="s">
        <v>16</v>
      </c>
      <c r="D617" s="13">
        <v>122508</v>
      </c>
      <c r="E617" s="13">
        <v>7117</v>
      </c>
      <c r="F617" s="11">
        <v>3</v>
      </c>
      <c r="G617" s="13">
        <v>161.16504854368901</v>
      </c>
      <c r="H617" s="13">
        <v>5.0970873786407802</v>
      </c>
      <c r="I617" s="13">
        <f t="shared" si="9"/>
        <v>166.2621359223298</v>
      </c>
      <c r="J617" s="14">
        <v>50.485436893203897</v>
      </c>
      <c r="K617" s="11" t="s">
        <v>63</v>
      </c>
    </row>
    <row r="618" spans="1:11" x14ac:dyDescent="0.25">
      <c r="A618" s="13">
        <v>1.1544255146455299E+17</v>
      </c>
      <c r="B618" s="20" t="s">
        <v>136</v>
      </c>
      <c r="C618" s="11" t="s">
        <v>9</v>
      </c>
      <c r="D618" s="13">
        <v>425001</v>
      </c>
      <c r="E618" s="13">
        <v>7117</v>
      </c>
      <c r="F618" s="11">
        <v>3</v>
      </c>
      <c r="G618" s="13">
        <v>136.893203883495</v>
      </c>
      <c r="H618" s="13">
        <v>4.1067961165048503</v>
      </c>
      <c r="I618" s="13">
        <f t="shared" si="9"/>
        <v>140.99999999999986</v>
      </c>
      <c r="J618" s="14">
        <v>57.2815533980583</v>
      </c>
      <c r="K618" s="11" t="s">
        <v>41</v>
      </c>
    </row>
    <row r="619" spans="1:11" x14ac:dyDescent="0.25">
      <c r="A619" s="13">
        <v>1.11403680594686E+17</v>
      </c>
      <c r="B619" s="20" t="s">
        <v>145</v>
      </c>
      <c r="C619" s="11" t="s">
        <v>16</v>
      </c>
      <c r="D619" s="13">
        <v>502103</v>
      </c>
      <c r="E619" s="13">
        <v>7117</v>
      </c>
      <c r="F619" s="11">
        <v>3</v>
      </c>
      <c r="G619" s="13">
        <v>147.57281553397999</v>
      </c>
      <c r="H619" s="13">
        <v>4.42718446601942</v>
      </c>
      <c r="I619" s="13">
        <f t="shared" si="9"/>
        <v>151.9999999999994</v>
      </c>
      <c r="J619" s="14">
        <v>59.223300970873801</v>
      </c>
      <c r="K619" s="11" t="s">
        <v>53</v>
      </c>
    </row>
    <row r="620" spans="1:11" x14ac:dyDescent="0.25">
      <c r="A620" s="13">
        <v>1.06927010359472E+17</v>
      </c>
      <c r="B620" s="20" t="s">
        <v>150</v>
      </c>
      <c r="C620" s="11" t="s">
        <v>16</v>
      </c>
      <c r="D620" s="13">
        <v>276123</v>
      </c>
      <c r="E620" s="13">
        <v>7117</v>
      </c>
      <c r="F620" s="11">
        <v>3</v>
      </c>
      <c r="G620" s="13">
        <v>139.80582524271799</v>
      </c>
      <c r="H620" s="13">
        <v>4.4563106796116498</v>
      </c>
      <c r="I620" s="13">
        <f t="shared" si="9"/>
        <v>144.26213592232963</v>
      </c>
      <c r="J620" s="14">
        <v>47.572815533980602</v>
      </c>
      <c r="K620" s="11" t="s">
        <v>10</v>
      </c>
    </row>
    <row r="621" spans="1:11" x14ac:dyDescent="0.25">
      <c r="A621" s="13">
        <v>1.1465603226916701E+17</v>
      </c>
      <c r="B621" s="20" t="s">
        <v>139</v>
      </c>
      <c r="C621" s="11" t="s">
        <v>16</v>
      </c>
      <c r="D621" s="13">
        <v>360001</v>
      </c>
      <c r="E621" s="13">
        <v>7117</v>
      </c>
      <c r="F621" s="11">
        <v>3</v>
      </c>
      <c r="G621" s="13">
        <v>172.81553398058199</v>
      </c>
      <c r="H621" s="13">
        <v>5.1844660194174796</v>
      </c>
      <c r="I621" s="13">
        <f t="shared" si="9"/>
        <v>177.99999999999946</v>
      </c>
      <c r="J621" s="14">
        <v>56.3106796116505</v>
      </c>
      <c r="K621" s="11" t="s">
        <v>12</v>
      </c>
    </row>
    <row r="622" spans="1:11" x14ac:dyDescent="0.25">
      <c r="A622" s="13">
        <v>1.1657946040870099E+17</v>
      </c>
      <c r="B622" s="20" t="s">
        <v>152</v>
      </c>
      <c r="C622" s="11" t="s">
        <v>9</v>
      </c>
      <c r="D622" s="13">
        <v>490023</v>
      </c>
      <c r="E622" s="13">
        <v>7117</v>
      </c>
      <c r="F622" s="11">
        <v>3</v>
      </c>
      <c r="G622" s="13">
        <v>151.45631067961099</v>
      </c>
      <c r="H622" s="13">
        <v>4.5436893203883502</v>
      </c>
      <c r="I622" s="13">
        <f t="shared" si="9"/>
        <v>155.99999999999935</v>
      </c>
      <c r="J622" s="14">
        <v>59.223300970873801</v>
      </c>
      <c r="K622" s="11" t="s">
        <v>23</v>
      </c>
    </row>
    <row r="623" spans="1:11" x14ac:dyDescent="0.25">
      <c r="A623" s="13">
        <v>1.1259028933564E+17</v>
      </c>
      <c r="B623" s="20" t="s">
        <v>154</v>
      </c>
      <c r="C623" s="11" t="s">
        <v>25</v>
      </c>
      <c r="D623" s="13">
        <v>390010</v>
      </c>
      <c r="E623" s="13">
        <v>7117</v>
      </c>
      <c r="F623" s="11">
        <v>3</v>
      </c>
      <c r="G623" s="13">
        <v>147.57281553397999</v>
      </c>
      <c r="H623" s="13">
        <v>4.42718446601942</v>
      </c>
      <c r="I623" s="13">
        <f t="shared" si="9"/>
        <v>151.9999999999994</v>
      </c>
      <c r="J623" s="14">
        <v>59.223300970873801</v>
      </c>
      <c r="K623" s="11" t="s">
        <v>12</v>
      </c>
    </row>
    <row r="624" spans="1:11" x14ac:dyDescent="0.25">
      <c r="A624" s="13">
        <v>1.1151303840294499E+17</v>
      </c>
      <c r="B624" s="20" t="s">
        <v>145</v>
      </c>
      <c r="C624" s="11" t="s">
        <v>21</v>
      </c>
      <c r="D624" s="13">
        <v>583236</v>
      </c>
      <c r="E624" s="13">
        <v>7117</v>
      </c>
      <c r="F624" s="11">
        <v>3</v>
      </c>
      <c r="G624" s="13">
        <v>153.39805825242701</v>
      </c>
      <c r="H624" s="13">
        <v>5.0679611650485397</v>
      </c>
      <c r="I624" s="13">
        <f t="shared" si="9"/>
        <v>158.46601941747554</v>
      </c>
      <c r="J624" s="14">
        <v>42.7184466019418</v>
      </c>
      <c r="K624" s="11" t="s">
        <v>19</v>
      </c>
    </row>
    <row r="625" spans="1:11" x14ac:dyDescent="0.25">
      <c r="A625" s="13">
        <v>1.1221667272451299E+17</v>
      </c>
      <c r="B625" s="20" t="s">
        <v>158</v>
      </c>
      <c r="C625" s="11" t="s">
        <v>16</v>
      </c>
      <c r="D625" s="13">
        <v>560091</v>
      </c>
      <c r="E625" s="13">
        <v>7117</v>
      </c>
      <c r="F625" s="11">
        <v>3</v>
      </c>
      <c r="G625" s="13">
        <v>151.45631067961099</v>
      </c>
      <c r="H625" s="13">
        <v>5.0970873786407802</v>
      </c>
      <c r="I625" s="13">
        <f t="shared" si="9"/>
        <v>156.55339805825179</v>
      </c>
      <c r="J625" s="14">
        <v>40.776699029126199</v>
      </c>
      <c r="K625" s="11" t="s">
        <v>19</v>
      </c>
    </row>
    <row r="626" spans="1:11" x14ac:dyDescent="0.25">
      <c r="A626" s="13">
        <v>1.0712681972072099E+17</v>
      </c>
      <c r="B626" s="20" t="s">
        <v>150</v>
      </c>
      <c r="C626" s="11" t="s">
        <v>25</v>
      </c>
      <c r="D626" s="13">
        <v>457339</v>
      </c>
      <c r="E626" s="13">
        <v>7117</v>
      </c>
      <c r="F626" s="11">
        <v>3</v>
      </c>
      <c r="G626" s="13">
        <v>143.68932038834899</v>
      </c>
      <c r="H626" s="13">
        <v>4.3106796116504897</v>
      </c>
      <c r="I626" s="13">
        <f t="shared" si="9"/>
        <v>147.99999999999949</v>
      </c>
      <c r="J626" s="14">
        <v>56.3106796116505</v>
      </c>
      <c r="K626" s="11" t="s">
        <v>26</v>
      </c>
    </row>
    <row r="627" spans="1:11" x14ac:dyDescent="0.25">
      <c r="A627" s="13">
        <v>1.07143652639536E+17</v>
      </c>
      <c r="B627" s="20" t="s">
        <v>150</v>
      </c>
      <c r="C627" s="11" t="s">
        <v>16</v>
      </c>
      <c r="D627" s="13">
        <v>700018</v>
      </c>
      <c r="E627" s="13">
        <v>7117</v>
      </c>
      <c r="F627" s="11">
        <v>3</v>
      </c>
      <c r="G627" s="13">
        <v>137.864077669902</v>
      </c>
      <c r="H627" s="13">
        <v>4.13592233009709</v>
      </c>
      <c r="I627" s="13">
        <f t="shared" si="9"/>
        <v>141.99999999999909</v>
      </c>
      <c r="J627" s="14">
        <v>59.223300970873801</v>
      </c>
      <c r="K627" s="11" t="s">
        <v>14</v>
      </c>
    </row>
    <row r="628" spans="1:11" x14ac:dyDescent="0.25">
      <c r="A628" s="13">
        <v>1.1060349876194099E+17</v>
      </c>
      <c r="B628" s="20" t="s">
        <v>143</v>
      </c>
      <c r="C628" s="11" t="s">
        <v>21</v>
      </c>
      <c r="D628" s="13">
        <v>517619</v>
      </c>
      <c r="E628" s="13">
        <v>7117</v>
      </c>
      <c r="F628" s="11">
        <v>3</v>
      </c>
      <c r="G628" s="13">
        <v>159.223300970873</v>
      </c>
      <c r="H628" s="13">
        <v>5.0679611650485397</v>
      </c>
      <c r="I628" s="13">
        <f t="shared" si="9"/>
        <v>164.29126213592153</v>
      </c>
      <c r="J628" s="14">
        <v>48.543689320388303</v>
      </c>
      <c r="K628" s="11" t="s">
        <v>39</v>
      </c>
    </row>
    <row r="629" spans="1:11" x14ac:dyDescent="0.25">
      <c r="A629" s="13">
        <v>1.07806223428116E+17</v>
      </c>
      <c r="B629" s="20" t="s">
        <v>141</v>
      </c>
      <c r="C629" s="11" t="s">
        <v>16</v>
      </c>
      <c r="D629" s="13">
        <v>396195</v>
      </c>
      <c r="E629" s="13">
        <v>7117</v>
      </c>
      <c r="F629" s="11">
        <v>3</v>
      </c>
      <c r="G629" s="13">
        <v>119.417475728155</v>
      </c>
      <c r="H629" s="13">
        <v>3.5825242718446599</v>
      </c>
      <c r="I629" s="13">
        <f t="shared" si="9"/>
        <v>122.99999999999966</v>
      </c>
      <c r="J629" s="14">
        <v>57.2815533980583</v>
      </c>
      <c r="K629" s="11" t="s">
        <v>12</v>
      </c>
    </row>
    <row r="630" spans="1:11" x14ac:dyDescent="0.25">
      <c r="A630" s="13">
        <v>1.0700399677410099E+17</v>
      </c>
      <c r="B630" s="20" t="s">
        <v>150</v>
      </c>
      <c r="C630" s="11" t="s">
        <v>25</v>
      </c>
      <c r="D630" s="13">
        <v>627106</v>
      </c>
      <c r="E630" s="13">
        <v>7117</v>
      </c>
      <c r="F630" s="11">
        <v>3</v>
      </c>
      <c r="G630" s="13">
        <v>143.68932038834899</v>
      </c>
      <c r="H630" s="13">
        <v>4.3106796116504897</v>
      </c>
      <c r="I630" s="13">
        <f t="shared" si="9"/>
        <v>147.99999999999949</v>
      </c>
      <c r="J630" s="14">
        <v>56.3106796116505</v>
      </c>
      <c r="K630" s="11" t="s">
        <v>27</v>
      </c>
    </row>
    <row r="631" spans="1:11" x14ac:dyDescent="0.25">
      <c r="A631" s="13">
        <v>1.1288557552749699E+17</v>
      </c>
      <c r="B631" s="20" t="s">
        <v>159</v>
      </c>
      <c r="C631" s="11" t="s">
        <v>9</v>
      </c>
      <c r="D631" s="13">
        <v>641050</v>
      </c>
      <c r="E631" s="13">
        <v>7117</v>
      </c>
      <c r="F631" s="11">
        <v>3</v>
      </c>
      <c r="G631" s="13">
        <v>136.893203883495</v>
      </c>
      <c r="H631" s="13">
        <v>4.1067961165048503</v>
      </c>
      <c r="I631" s="13">
        <f t="shared" si="9"/>
        <v>140.99999999999986</v>
      </c>
      <c r="J631" s="14">
        <v>57.2815533980583</v>
      </c>
      <c r="K631" s="11" t="s">
        <v>27</v>
      </c>
    </row>
    <row r="632" spans="1:11" x14ac:dyDescent="0.25">
      <c r="A632" s="13">
        <v>1.10436791136616E+17</v>
      </c>
      <c r="B632" s="20" t="s">
        <v>167</v>
      </c>
      <c r="C632" s="11" t="s">
        <v>16</v>
      </c>
      <c r="D632" s="13">
        <v>140603</v>
      </c>
      <c r="E632" s="13">
        <v>7117</v>
      </c>
      <c r="F632" s="11">
        <v>3</v>
      </c>
      <c r="G632" s="13">
        <v>147.57281553397999</v>
      </c>
      <c r="H632" s="13">
        <v>5.0970873786407802</v>
      </c>
      <c r="I632" s="13">
        <f t="shared" si="9"/>
        <v>152.66990291262078</v>
      </c>
      <c r="J632" s="14">
        <v>36.893203883495197</v>
      </c>
      <c r="K632" s="11" t="s">
        <v>17</v>
      </c>
    </row>
    <row r="633" spans="1:11" x14ac:dyDescent="0.25">
      <c r="A633" s="13">
        <v>1.1060120889238301E+17</v>
      </c>
      <c r="B633" s="20" t="s">
        <v>143</v>
      </c>
      <c r="C633" s="11" t="s">
        <v>25</v>
      </c>
      <c r="D633" s="13">
        <v>788734</v>
      </c>
      <c r="E633" s="13">
        <v>7117</v>
      </c>
      <c r="F633" s="11">
        <v>3</v>
      </c>
      <c r="G633" s="13">
        <v>175.728155339805</v>
      </c>
      <c r="H633" s="13">
        <v>5.2718446601941702</v>
      </c>
      <c r="I633" s="13">
        <f t="shared" si="9"/>
        <v>180.99999999999918</v>
      </c>
      <c r="J633" s="14">
        <v>77.669902912621396</v>
      </c>
      <c r="K633" s="11" t="s">
        <v>35</v>
      </c>
    </row>
    <row r="634" spans="1:11" x14ac:dyDescent="0.25">
      <c r="A634" s="13">
        <v>1.0893901881455E+17</v>
      </c>
      <c r="B634" s="20" t="s">
        <v>160</v>
      </c>
      <c r="C634" s="11" t="s">
        <v>16</v>
      </c>
      <c r="D634" s="13">
        <v>151001</v>
      </c>
      <c r="E634" s="13">
        <v>7117</v>
      </c>
      <c r="F634" s="11">
        <v>3</v>
      </c>
      <c r="G634" s="13">
        <v>151.45631067961099</v>
      </c>
      <c r="H634" s="13">
        <v>5.1844660194174796</v>
      </c>
      <c r="I634" s="13">
        <f t="shared" si="9"/>
        <v>156.64077669902846</v>
      </c>
      <c r="J634" s="14">
        <v>34.951456310679603</v>
      </c>
      <c r="K634" s="11" t="s">
        <v>17</v>
      </c>
    </row>
    <row r="635" spans="1:11" x14ac:dyDescent="0.25">
      <c r="A635" s="13">
        <v>1.0668162725789299E+17</v>
      </c>
      <c r="B635" s="20" t="s">
        <v>163</v>
      </c>
      <c r="C635" s="11" t="s">
        <v>16</v>
      </c>
      <c r="D635" s="13">
        <v>247129</v>
      </c>
      <c r="E635" s="13">
        <v>7117</v>
      </c>
      <c r="F635" s="11">
        <v>3</v>
      </c>
      <c r="G635" s="13">
        <v>166.01941747572801</v>
      </c>
      <c r="H635" s="13">
        <v>5.2427184466019403</v>
      </c>
      <c r="I635" s="13">
        <f t="shared" si="9"/>
        <v>171.26213592232995</v>
      </c>
      <c r="J635" s="14">
        <v>49.514563106796103</v>
      </c>
      <c r="K635" s="11" t="s">
        <v>10</v>
      </c>
    </row>
    <row r="636" spans="1:11" x14ac:dyDescent="0.25">
      <c r="A636" s="13">
        <v>1.09659068779754E+17</v>
      </c>
      <c r="B636" s="20" t="s">
        <v>164</v>
      </c>
      <c r="C636" s="11" t="s">
        <v>16</v>
      </c>
      <c r="D636" s="13">
        <v>734001</v>
      </c>
      <c r="E636" s="13">
        <v>7117</v>
      </c>
      <c r="F636" s="11">
        <v>3</v>
      </c>
      <c r="G636" s="13">
        <v>141.747572815534</v>
      </c>
      <c r="H636" s="13">
        <v>4.8058252427184502</v>
      </c>
      <c r="I636" s="13">
        <f t="shared" si="9"/>
        <v>146.55339805825244</v>
      </c>
      <c r="J636" s="14">
        <v>38.834951456310698</v>
      </c>
      <c r="K636" s="11" t="s">
        <v>14</v>
      </c>
    </row>
    <row r="637" spans="1:11" x14ac:dyDescent="0.25">
      <c r="A637" s="13">
        <v>1.0703705143973901E+17</v>
      </c>
      <c r="B637" s="20" t="s">
        <v>150</v>
      </c>
      <c r="C637" s="11" t="s">
        <v>21</v>
      </c>
      <c r="D637" s="13">
        <v>843329</v>
      </c>
      <c r="E637" s="13">
        <v>7117</v>
      </c>
      <c r="F637" s="11">
        <v>3</v>
      </c>
      <c r="G637" s="13">
        <v>137.864077669902</v>
      </c>
      <c r="H637" s="13">
        <v>4.13592233009709</v>
      </c>
      <c r="I637" s="13">
        <f t="shared" si="9"/>
        <v>141.99999999999909</v>
      </c>
      <c r="J637" s="14">
        <v>59.223300970873801</v>
      </c>
      <c r="K637" s="11" t="s">
        <v>22</v>
      </c>
    </row>
    <row r="638" spans="1:11" x14ac:dyDescent="0.25">
      <c r="A638" s="13">
        <v>1.0731413328501101E+17</v>
      </c>
      <c r="B638" s="20" t="s">
        <v>140</v>
      </c>
      <c r="C638" s="11" t="s">
        <v>16</v>
      </c>
      <c r="D638" s="13">
        <v>562123</v>
      </c>
      <c r="E638" s="13">
        <v>7117</v>
      </c>
      <c r="F638" s="11">
        <v>3</v>
      </c>
      <c r="G638" s="13">
        <v>167.96116504854299</v>
      </c>
      <c r="H638" s="13">
        <v>5.0388349514563098</v>
      </c>
      <c r="I638" s="13">
        <f t="shared" si="9"/>
        <v>172.99999999999932</v>
      </c>
      <c r="J638" s="14">
        <v>58.252427184466001</v>
      </c>
      <c r="K638" s="11" t="s">
        <v>19</v>
      </c>
    </row>
    <row r="639" spans="1:11" x14ac:dyDescent="0.25">
      <c r="A639" s="13">
        <v>1.09557143327142E+17</v>
      </c>
      <c r="B639" s="20" t="s">
        <v>164</v>
      </c>
      <c r="C639" s="11" t="s">
        <v>16</v>
      </c>
      <c r="D639" s="13">
        <v>276123</v>
      </c>
      <c r="E639" s="13">
        <v>7117</v>
      </c>
      <c r="F639" s="11">
        <v>3</v>
      </c>
      <c r="G639" s="13">
        <v>138.83495145630999</v>
      </c>
      <c r="H639" s="13">
        <v>4.42718446601942</v>
      </c>
      <c r="I639" s="13">
        <f t="shared" si="9"/>
        <v>143.26213592232941</v>
      </c>
      <c r="J639" s="14">
        <v>50.485436893203897</v>
      </c>
      <c r="K639" s="11" t="s">
        <v>10</v>
      </c>
    </row>
    <row r="640" spans="1:11" x14ac:dyDescent="0.25">
      <c r="A640" s="13">
        <v>1.1417998451988499E+17</v>
      </c>
      <c r="B640" s="20" t="s">
        <v>138</v>
      </c>
      <c r="C640" s="11" t="s">
        <v>16</v>
      </c>
      <c r="D640" s="13">
        <v>848213</v>
      </c>
      <c r="E640" s="13">
        <v>7117</v>
      </c>
      <c r="F640" s="11">
        <v>3</v>
      </c>
      <c r="G640" s="13">
        <v>172.81553398058199</v>
      </c>
      <c r="H640" s="13">
        <v>5.1844660194174796</v>
      </c>
      <c r="I640" s="13">
        <f t="shared" si="9"/>
        <v>177.99999999999946</v>
      </c>
      <c r="J640" s="14">
        <v>56.3106796116505</v>
      </c>
      <c r="K640" s="11" t="s">
        <v>22</v>
      </c>
    </row>
    <row r="641" spans="1:11" x14ac:dyDescent="0.25">
      <c r="A641" s="13">
        <v>1.06665745592906E+17</v>
      </c>
      <c r="B641" s="20" t="s">
        <v>163</v>
      </c>
      <c r="C641" s="11" t="s">
        <v>16</v>
      </c>
      <c r="D641" s="13">
        <v>207001</v>
      </c>
      <c r="E641" s="13">
        <v>7117</v>
      </c>
      <c r="F641" s="11">
        <v>3</v>
      </c>
      <c r="G641" s="13">
        <v>155.339805825242</v>
      </c>
      <c r="H641" s="13">
        <v>5.2135922330097104</v>
      </c>
      <c r="I641" s="13">
        <f t="shared" si="9"/>
        <v>160.5533980582517</v>
      </c>
      <c r="J641" s="14">
        <v>38.834951456310698</v>
      </c>
      <c r="K641" s="11" t="s">
        <v>10</v>
      </c>
    </row>
    <row r="642" spans="1:11" x14ac:dyDescent="0.25">
      <c r="A642" s="13">
        <v>1.07487053285192E+17</v>
      </c>
      <c r="B642" s="20" t="s">
        <v>140</v>
      </c>
      <c r="C642" s="11" t="s">
        <v>16</v>
      </c>
      <c r="D642" s="13">
        <v>304504</v>
      </c>
      <c r="E642" s="13">
        <v>7117</v>
      </c>
      <c r="F642" s="11">
        <v>3</v>
      </c>
      <c r="G642" s="13">
        <v>138.83495145630999</v>
      </c>
      <c r="H642" s="13">
        <v>4.86407766990291</v>
      </c>
      <c r="I642" s="13">
        <f t="shared" si="9"/>
        <v>143.69902912621291</v>
      </c>
      <c r="J642" s="14">
        <v>34.951456310679603</v>
      </c>
      <c r="K642" s="11" t="s">
        <v>46</v>
      </c>
    </row>
    <row r="643" spans="1:11" x14ac:dyDescent="0.25">
      <c r="A643" s="13">
        <v>1.1142384502573901E+17</v>
      </c>
      <c r="B643" s="20" t="s">
        <v>145</v>
      </c>
      <c r="C643" s="11" t="s">
        <v>25</v>
      </c>
      <c r="D643" s="13">
        <v>700016</v>
      </c>
      <c r="E643" s="13">
        <v>7117</v>
      </c>
      <c r="F643" s="11">
        <v>3</v>
      </c>
      <c r="G643" s="13">
        <v>175.728155339805</v>
      </c>
      <c r="H643" s="13">
        <v>5.8252427184466002</v>
      </c>
      <c r="I643" s="13">
        <f t="shared" ref="I643:I706" si="10">G643+H643</f>
        <v>181.55339805825159</v>
      </c>
      <c r="J643" s="14">
        <v>40.776699029126199</v>
      </c>
      <c r="K643" s="11" t="s">
        <v>14</v>
      </c>
    </row>
    <row r="644" spans="1:11" x14ac:dyDescent="0.25">
      <c r="A644" s="13">
        <v>1.06365826774266E+17</v>
      </c>
      <c r="B644" s="20" t="s">
        <v>156</v>
      </c>
      <c r="C644" s="11" t="s">
        <v>16</v>
      </c>
      <c r="D644" s="13">
        <v>110076</v>
      </c>
      <c r="E644" s="13">
        <v>7117</v>
      </c>
      <c r="F644" s="11">
        <v>3</v>
      </c>
      <c r="G644" s="13">
        <v>224.27184466019401</v>
      </c>
      <c r="H644" s="13">
        <v>6.9902912621359201</v>
      </c>
      <c r="I644" s="13">
        <f t="shared" si="10"/>
        <v>231.26213592232992</v>
      </c>
      <c r="J644" s="14">
        <v>50.485436893203897</v>
      </c>
      <c r="K644" s="11" t="s">
        <v>28</v>
      </c>
    </row>
    <row r="645" spans="1:11" x14ac:dyDescent="0.25">
      <c r="A645" s="13">
        <v>1.1371784801002301E+17</v>
      </c>
      <c r="B645" s="20" t="s">
        <v>147</v>
      </c>
      <c r="C645" s="11" t="s">
        <v>16</v>
      </c>
      <c r="D645" s="13">
        <v>453112</v>
      </c>
      <c r="E645" s="13">
        <v>7117</v>
      </c>
      <c r="F645" s="11">
        <v>3</v>
      </c>
      <c r="G645" s="13">
        <v>194.17475728155301</v>
      </c>
      <c r="H645" s="13">
        <v>5.8252427184466002</v>
      </c>
      <c r="I645" s="13">
        <f t="shared" si="10"/>
        <v>199.9999999999996</v>
      </c>
      <c r="J645" s="14">
        <v>59.223300970873801</v>
      </c>
      <c r="K645" s="11" t="s">
        <v>26</v>
      </c>
    </row>
    <row r="646" spans="1:11" x14ac:dyDescent="0.25">
      <c r="A646" s="13">
        <v>1.1313074302644701E+17</v>
      </c>
      <c r="B646" s="20" t="s">
        <v>162</v>
      </c>
      <c r="C646" s="11" t="s">
        <v>16</v>
      </c>
      <c r="D646" s="13">
        <v>605202</v>
      </c>
      <c r="E646" s="13">
        <v>7117</v>
      </c>
      <c r="F646" s="11">
        <v>3</v>
      </c>
      <c r="G646" s="13">
        <v>169.90291262135901</v>
      </c>
      <c r="H646" s="13">
        <v>5.0970873786407802</v>
      </c>
      <c r="I646" s="13">
        <f t="shared" si="10"/>
        <v>174.9999999999998</v>
      </c>
      <c r="J646" s="14">
        <v>59.223300970873801</v>
      </c>
      <c r="K646" s="11" t="s">
        <v>27</v>
      </c>
    </row>
    <row r="647" spans="1:11" x14ac:dyDescent="0.25">
      <c r="A647" s="13">
        <v>1.1224300775096E+17</v>
      </c>
      <c r="B647" s="20" t="s">
        <v>158</v>
      </c>
      <c r="C647" s="11" t="s">
        <v>16</v>
      </c>
      <c r="D647" s="13">
        <v>835227</v>
      </c>
      <c r="E647" s="13">
        <v>7117</v>
      </c>
      <c r="F647" s="11">
        <v>3</v>
      </c>
      <c r="G647" s="13">
        <v>119.417475728155</v>
      </c>
      <c r="H647" s="13">
        <v>4.1067961165048503</v>
      </c>
      <c r="I647" s="13">
        <f t="shared" si="10"/>
        <v>123.52427184465985</v>
      </c>
      <c r="J647" s="14">
        <v>39.805825242718498</v>
      </c>
      <c r="K647" s="11" t="s">
        <v>37</v>
      </c>
    </row>
    <row r="648" spans="1:11" x14ac:dyDescent="0.25">
      <c r="A648" s="13">
        <v>1.16896252511284E+17</v>
      </c>
      <c r="B648" s="20" t="s">
        <v>144</v>
      </c>
      <c r="C648" s="11" t="s">
        <v>9</v>
      </c>
      <c r="D648" s="13">
        <v>533341</v>
      </c>
      <c r="E648" s="13">
        <v>7117</v>
      </c>
      <c r="F648" s="11">
        <v>3</v>
      </c>
      <c r="G648" s="13">
        <v>172.81553398058199</v>
      </c>
      <c r="H648" s="13">
        <v>5.1844660194174796</v>
      </c>
      <c r="I648" s="13">
        <f t="shared" si="10"/>
        <v>177.99999999999946</v>
      </c>
      <c r="J648" s="14">
        <v>56.3106796116505</v>
      </c>
      <c r="K648" s="11" t="s">
        <v>39</v>
      </c>
    </row>
    <row r="649" spans="1:11" x14ac:dyDescent="0.25">
      <c r="A649" s="13">
        <v>1.08948672250934E+17</v>
      </c>
      <c r="B649" s="20" t="s">
        <v>160</v>
      </c>
      <c r="C649" s="11" t="s">
        <v>25</v>
      </c>
      <c r="D649" s="13">
        <v>531133</v>
      </c>
      <c r="E649" s="13">
        <v>7117</v>
      </c>
      <c r="F649" s="11">
        <v>3</v>
      </c>
      <c r="G649" s="13">
        <v>173.78640776699001</v>
      </c>
      <c r="H649" s="13">
        <v>5.2427184466019403</v>
      </c>
      <c r="I649" s="13">
        <f t="shared" si="10"/>
        <v>179.02912621359195</v>
      </c>
      <c r="J649" s="14">
        <v>57.2815533980583</v>
      </c>
      <c r="K649" s="11" t="s">
        <v>39</v>
      </c>
    </row>
    <row r="650" spans="1:11" x14ac:dyDescent="0.25">
      <c r="A650" s="13">
        <v>1.10944780435092E+17</v>
      </c>
      <c r="B650" s="20" t="s">
        <v>155</v>
      </c>
      <c r="C650" s="11" t="s">
        <v>52</v>
      </c>
      <c r="D650" s="13">
        <v>204101</v>
      </c>
      <c r="E650" s="13">
        <v>7117</v>
      </c>
      <c r="F650" s="11">
        <v>3</v>
      </c>
      <c r="G650" s="13">
        <v>150.485436893203</v>
      </c>
      <c r="H650" s="13">
        <v>5.2427184466019403</v>
      </c>
      <c r="I650" s="13">
        <f t="shared" si="10"/>
        <v>155.72815533980494</v>
      </c>
      <c r="J650" s="14">
        <v>33.980582524271803</v>
      </c>
      <c r="K650" s="11" t="s">
        <v>10</v>
      </c>
    </row>
    <row r="651" spans="1:11" x14ac:dyDescent="0.25">
      <c r="A651" s="13">
        <v>1.12136573562418E+17</v>
      </c>
      <c r="B651" s="20" t="s">
        <v>158</v>
      </c>
      <c r="C651" s="11" t="s">
        <v>25</v>
      </c>
      <c r="D651" s="13">
        <v>576108</v>
      </c>
      <c r="E651" s="13">
        <v>7117</v>
      </c>
      <c r="F651" s="11">
        <v>3</v>
      </c>
      <c r="G651" s="13">
        <v>142.718446601941</v>
      </c>
      <c r="H651" s="13">
        <v>4.8058252427184502</v>
      </c>
      <c r="I651" s="13">
        <f t="shared" si="10"/>
        <v>147.52427184465944</v>
      </c>
      <c r="J651" s="14">
        <v>39.805825242718498</v>
      </c>
      <c r="K651" s="11" t="s">
        <v>19</v>
      </c>
    </row>
    <row r="652" spans="1:11" x14ac:dyDescent="0.25">
      <c r="A652" s="13">
        <v>1.1469085187954899E+17</v>
      </c>
      <c r="B652" s="20" t="s">
        <v>139</v>
      </c>
      <c r="C652" s="11" t="s">
        <v>16</v>
      </c>
      <c r="D652" s="13">
        <v>201304</v>
      </c>
      <c r="E652" s="13">
        <v>7117</v>
      </c>
      <c r="F652" s="11">
        <v>3</v>
      </c>
      <c r="G652" s="13">
        <v>164.07766990291199</v>
      </c>
      <c r="H652" s="13">
        <v>5.1844660194174796</v>
      </c>
      <c r="I652" s="13">
        <f t="shared" si="10"/>
        <v>169.26213592232946</v>
      </c>
      <c r="J652" s="14">
        <v>47.572815533980602</v>
      </c>
      <c r="K652" s="11" t="s">
        <v>10</v>
      </c>
    </row>
    <row r="653" spans="1:11" x14ac:dyDescent="0.25">
      <c r="A653" s="13">
        <v>1.12223999580468E+17</v>
      </c>
      <c r="B653" s="20" t="s">
        <v>158</v>
      </c>
      <c r="C653" s="11" t="s">
        <v>16</v>
      </c>
      <c r="D653" s="13">
        <v>844123</v>
      </c>
      <c r="E653" s="13">
        <v>7117</v>
      </c>
      <c r="F653" s="11">
        <v>3</v>
      </c>
      <c r="G653" s="13">
        <v>169.90291262135901</v>
      </c>
      <c r="H653" s="13">
        <v>5.0970873786407802</v>
      </c>
      <c r="I653" s="13">
        <f t="shared" si="10"/>
        <v>174.9999999999998</v>
      </c>
      <c r="J653" s="14">
        <v>59.223300970873801</v>
      </c>
      <c r="K653" s="11" t="s">
        <v>22</v>
      </c>
    </row>
    <row r="654" spans="1:11" x14ac:dyDescent="0.25">
      <c r="A654" s="13">
        <v>1.1176610138976701E+17</v>
      </c>
      <c r="B654" s="20" t="s">
        <v>146</v>
      </c>
      <c r="C654" s="11" t="s">
        <v>16</v>
      </c>
      <c r="D654" s="13">
        <v>580024</v>
      </c>
      <c r="E654" s="13">
        <v>7117</v>
      </c>
      <c r="F654" s="11">
        <v>3</v>
      </c>
      <c r="G654" s="13">
        <v>194.17475728155301</v>
      </c>
      <c r="H654" s="13">
        <v>5.8252427184466002</v>
      </c>
      <c r="I654" s="13">
        <f t="shared" si="10"/>
        <v>199.9999999999996</v>
      </c>
      <c r="J654" s="14">
        <v>59.223300970873801</v>
      </c>
      <c r="K654" s="11" t="s">
        <v>19</v>
      </c>
    </row>
    <row r="655" spans="1:11" x14ac:dyDescent="0.25">
      <c r="A655" s="13">
        <v>1.1178809113752E+17</v>
      </c>
      <c r="B655" s="20" t="s">
        <v>146</v>
      </c>
      <c r="C655" s="11" t="s">
        <v>16</v>
      </c>
      <c r="D655" s="13">
        <v>855102</v>
      </c>
      <c r="E655" s="13">
        <v>7117</v>
      </c>
      <c r="F655" s="11">
        <v>3</v>
      </c>
      <c r="G655" s="13">
        <v>169.90291262135901</v>
      </c>
      <c r="H655" s="13">
        <v>5.0970873786407802</v>
      </c>
      <c r="I655" s="13">
        <f t="shared" si="10"/>
        <v>174.9999999999998</v>
      </c>
      <c r="J655" s="14">
        <v>59.223300970873801</v>
      </c>
      <c r="K655" s="11" t="s">
        <v>22</v>
      </c>
    </row>
    <row r="656" spans="1:11" x14ac:dyDescent="0.25">
      <c r="A656" s="13">
        <v>1.1575393903040301E+17</v>
      </c>
      <c r="B656" s="20" t="s">
        <v>137</v>
      </c>
      <c r="C656" s="11" t="s">
        <v>9</v>
      </c>
      <c r="D656" s="13">
        <v>757037</v>
      </c>
      <c r="E656" s="13">
        <v>7117</v>
      </c>
      <c r="F656" s="11">
        <v>3</v>
      </c>
      <c r="G656" s="13">
        <v>155.339805825242</v>
      </c>
      <c r="H656" s="13">
        <v>5.1844660194174796</v>
      </c>
      <c r="I656" s="13">
        <f t="shared" si="10"/>
        <v>160.52427184465947</v>
      </c>
      <c r="J656" s="14">
        <v>38.834951456310698</v>
      </c>
      <c r="K656" s="11" t="s">
        <v>54</v>
      </c>
    </row>
    <row r="657" spans="1:11" x14ac:dyDescent="0.25">
      <c r="A657" s="13">
        <v>1.1493534912128E+17</v>
      </c>
      <c r="B657" s="20" t="s">
        <v>148</v>
      </c>
      <c r="C657" s="11" t="s">
        <v>16</v>
      </c>
      <c r="D657" s="13">
        <v>457339</v>
      </c>
      <c r="E657" s="13">
        <v>7117</v>
      </c>
      <c r="F657" s="11">
        <v>3</v>
      </c>
      <c r="G657" s="13">
        <v>154.368932038834</v>
      </c>
      <c r="H657" s="13">
        <v>4.6310679611650496</v>
      </c>
      <c r="I657" s="13">
        <f t="shared" si="10"/>
        <v>158.99999999999906</v>
      </c>
      <c r="J657" s="14">
        <v>56.3106796116505</v>
      </c>
      <c r="K657" s="11" t="s">
        <v>26</v>
      </c>
    </row>
    <row r="658" spans="1:11" x14ac:dyDescent="0.25">
      <c r="A658" s="13">
        <v>1.14752356301962E+17</v>
      </c>
      <c r="B658" s="20" t="s">
        <v>139</v>
      </c>
      <c r="C658" s="11" t="s">
        <v>21</v>
      </c>
      <c r="D658" s="13">
        <v>500019</v>
      </c>
      <c r="E658" s="13">
        <v>7117</v>
      </c>
      <c r="F658" s="11">
        <v>3</v>
      </c>
      <c r="G658" s="13">
        <v>149.514563106796</v>
      </c>
      <c r="H658" s="13">
        <v>4.4854368932038797</v>
      </c>
      <c r="I658" s="13">
        <f t="shared" si="10"/>
        <v>153.99999999999989</v>
      </c>
      <c r="J658" s="14">
        <v>57.2815533980583</v>
      </c>
      <c r="K658" s="11" t="s">
        <v>53</v>
      </c>
    </row>
    <row r="659" spans="1:11" x14ac:dyDescent="0.25">
      <c r="A659" s="13">
        <v>1.06016217021838E+17</v>
      </c>
      <c r="B659" s="20" t="s">
        <v>128</v>
      </c>
      <c r="C659" s="11" t="s">
        <v>21</v>
      </c>
      <c r="D659" s="13">
        <v>124103</v>
      </c>
      <c r="E659" s="13">
        <v>7117</v>
      </c>
      <c r="F659" s="11">
        <v>3</v>
      </c>
      <c r="G659" s="13">
        <v>154.368932038834</v>
      </c>
      <c r="H659" s="13">
        <v>4.6601941747572804</v>
      </c>
      <c r="I659" s="13">
        <f t="shared" si="10"/>
        <v>159.0291262135913</v>
      </c>
      <c r="J659" s="14">
        <v>56.3106796116505</v>
      </c>
      <c r="K659" s="11" t="s">
        <v>63</v>
      </c>
    </row>
    <row r="660" spans="1:11" x14ac:dyDescent="0.25">
      <c r="A660" s="13">
        <v>1.11516208163086E+17</v>
      </c>
      <c r="B660" s="20" t="s">
        <v>145</v>
      </c>
      <c r="C660" s="11" t="s">
        <v>16</v>
      </c>
      <c r="D660" s="13">
        <v>767032</v>
      </c>
      <c r="E660" s="13">
        <v>7117</v>
      </c>
      <c r="F660" s="11">
        <v>3</v>
      </c>
      <c r="G660" s="13">
        <v>133.980582524271</v>
      </c>
      <c r="H660" s="13">
        <v>4.3980582524271803</v>
      </c>
      <c r="I660" s="13">
        <f t="shared" si="10"/>
        <v>138.37864077669818</v>
      </c>
      <c r="J660" s="14">
        <v>45.631067961165002</v>
      </c>
      <c r="K660" s="11" t="s">
        <v>54</v>
      </c>
    </row>
    <row r="661" spans="1:11" x14ac:dyDescent="0.25">
      <c r="A661" s="13">
        <v>1.14342618246308E+17</v>
      </c>
      <c r="B661" s="20" t="s">
        <v>138</v>
      </c>
      <c r="C661" s="11" t="s">
        <v>52</v>
      </c>
      <c r="D661" s="13">
        <v>752091</v>
      </c>
      <c r="E661" s="13">
        <v>7117</v>
      </c>
      <c r="F661" s="11">
        <v>3</v>
      </c>
      <c r="G661" s="13">
        <v>155.339805825242</v>
      </c>
      <c r="H661" s="13">
        <v>5.1844660194174796</v>
      </c>
      <c r="I661" s="13">
        <f t="shared" si="10"/>
        <v>160.52427184465947</v>
      </c>
      <c r="J661" s="14">
        <v>38.834951456310698</v>
      </c>
      <c r="K661" s="11" t="s">
        <v>54</v>
      </c>
    </row>
    <row r="662" spans="1:11" x14ac:dyDescent="0.25">
      <c r="A662" s="13">
        <v>1.1465454171540899E+17</v>
      </c>
      <c r="B662" s="20" t="s">
        <v>139</v>
      </c>
      <c r="C662" s="11" t="s">
        <v>9</v>
      </c>
      <c r="D662" s="13">
        <v>535183</v>
      </c>
      <c r="E662" s="13">
        <v>7117</v>
      </c>
      <c r="F662" s="11">
        <v>3</v>
      </c>
      <c r="G662" s="13">
        <v>172.81553398058199</v>
      </c>
      <c r="H662" s="13">
        <v>5.1844660194174796</v>
      </c>
      <c r="I662" s="13">
        <f t="shared" si="10"/>
        <v>177.99999999999946</v>
      </c>
      <c r="J662" s="14">
        <v>56.3106796116505</v>
      </c>
      <c r="K662" s="11" t="s">
        <v>39</v>
      </c>
    </row>
    <row r="663" spans="1:11" x14ac:dyDescent="0.25">
      <c r="A663" s="13">
        <v>1.0598122530657901E+17</v>
      </c>
      <c r="B663" s="20" t="s">
        <v>128</v>
      </c>
      <c r="C663" s="11" t="s">
        <v>16</v>
      </c>
      <c r="D663" s="13">
        <v>509001</v>
      </c>
      <c r="E663" s="13">
        <v>7117</v>
      </c>
      <c r="F663" s="11">
        <v>3</v>
      </c>
      <c r="G663" s="13">
        <v>212.621359223301</v>
      </c>
      <c r="H663" s="13">
        <v>6.3786407766990303</v>
      </c>
      <c r="I663" s="13">
        <f t="shared" si="10"/>
        <v>219.00000000000003</v>
      </c>
      <c r="J663" s="14">
        <v>57.2815533980583</v>
      </c>
      <c r="K663" s="11" t="s">
        <v>53</v>
      </c>
    </row>
    <row r="664" spans="1:11" x14ac:dyDescent="0.25">
      <c r="A664" s="13">
        <v>1.1651185730050099E+17</v>
      </c>
      <c r="B664" s="20" t="s">
        <v>152</v>
      </c>
      <c r="C664" s="11" t="s">
        <v>9</v>
      </c>
      <c r="D664" s="13">
        <v>384130</v>
      </c>
      <c r="E664" s="13">
        <v>7117</v>
      </c>
      <c r="F664" s="11">
        <v>3</v>
      </c>
      <c r="G664" s="13">
        <v>172.81553398058199</v>
      </c>
      <c r="H664" s="13">
        <v>5.1844660194174796</v>
      </c>
      <c r="I664" s="13">
        <f t="shared" si="10"/>
        <v>177.99999999999946</v>
      </c>
      <c r="J664" s="14">
        <v>56.3106796116505</v>
      </c>
      <c r="K664" s="11" t="s">
        <v>12</v>
      </c>
    </row>
    <row r="665" spans="1:11" x14ac:dyDescent="0.25">
      <c r="A665" s="13">
        <v>1.07074338657956E+17</v>
      </c>
      <c r="B665" s="20" t="s">
        <v>150</v>
      </c>
      <c r="C665" s="11" t="s">
        <v>25</v>
      </c>
      <c r="D665" s="13">
        <v>743329</v>
      </c>
      <c r="E665" s="13">
        <v>7117</v>
      </c>
      <c r="F665" s="11">
        <v>3</v>
      </c>
      <c r="G665" s="13">
        <v>164.07766990291199</v>
      </c>
      <c r="H665" s="13">
        <v>4.8058252427184502</v>
      </c>
      <c r="I665" s="13">
        <f t="shared" si="10"/>
        <v>168.88349514563043</v>
      </c>
      <c r="J665" s="14">
        <v>60.194174757281601</v>
      </c>
      <c r="K665" s="11" t="s">
        <v>14</v>
      </c>
    </row>
    <row r="666" spans="1:11" x14ac:dyDescent="0.25">
      <c r="A666" s="13">
        <v>1.07026852916388E+17</v>
      </c>
      <c r="B666" s="20" t="s">
        <v>150</v>
      </c>
      <c r="C666" s="11" t="s">
        <v>25</v>
      </c>
      <c r="D666" s="13">
        <v>493445</v>
      </c>
      <c r="E666" s="13">
        <v>7117</v>
      </c>
      <c r="F666" s="11">
        <v>3</v>
      </c>
      <c r="G666" s="13">
        <v>137.864077669902</v>
      </c>
      <c r="H666" s="13">
        <v>4.13592233009709</v>
      </c>
      <c r="I666" s="13">
        <f t="shared" si="10"/>
        <v>141.99999999999909</v>
      </c>
      <c r="J666" s="14">
        <v>59.223300970873801</v>
      </c>
      <c r="K666" s="11" t="s">
        <v>23</v>
      </c>
    </row>
    <row r="667" spans="1:11" x14ac:dyDescent="0.25">
      <c r="A667" s="13">
        <v>1.0713657604338099E+17</v>
      </c>
      <c r="B667" s="20" t="s">
        <v>150</v>
      </c>
      <c r="C667" s="11" t="s">
        <v>25</v>
      </c>
      <c r="D667" s="13">
        <v>482056</v>
      </c>
      <c r="E667" s="13">
        <v>7117</v>
      </c>
      <c r="F667" s="11">
        <v>3</v>
      </c>
      <c r="G667" s="13">
        <v>150.485436893203</v>
      </c>
      <c r="H667" s="13">
        <v>4.5145631067961203</v>
      </c>
      <c r="I667" s="13">
        <f t="shared" si="10"/>
        <v>154.99999999999912</v>
      </c>
      <c r="J667" s="14">
        <v>59.223300970873801</v>
      </c>
      <c r="K667" s="11" t="s">
        <v>26</v>
      </c>
    </row>
    <row r="668" spans="1:11" x14ac:dyDescent="0.25">
      <c r="A668" s="13">
        <v>1.10040308280226E+17</v>
      </c>
      <c r="B668" s="20" t="s">
        <v>142</v>
      </c>
      <c r="C668" s="11" t="s">
        <v>16</v>
      </c>
      <c r="D668" s="13">
        <v>272153</v>
      </c>
      <c r="E668" s="13">
        <v>7117</v>
      </c>
      <c r="F668" s="11">
        <v>3</v>
      </c>
      <c r="G668" s="13">
        <v>138.83495145630999</v>
      </c>
      <c r="H668" s="13">
        <v>4.42718446601942</v>
      </c>
      <c r="I668" s="13">
        <f t="shared" si="10"/>
        <v>143.26213592232941</v>
      </c>
      <c r="J668" s="14">
        <v>50.485436893203897</v>
      </c>
      <c r="K668" s="11" t="s">
        <v>10</v>
      </c>
    </row>
    <row r="669" spans="1:11" x14ac:dyDescent="0.25">
      <c r="A669" s="13">
        <v>1.09309609139008E+17</v>
      </c>
      <c r="B669" s="20" t="s">
        <v>161</v>
      </c>
      <c r="C669" s="11" t="s">
        <v>16</v>
      </c>
      <c r="D669" s="13">
        <v>248001</v>
      </c>
      <c r="E669" s="13">
        <v>7117</v>
      </c>
      <c r="F669" s="11">
        <v>3</v>
      </c>
      <c r="G669" s="13">
        <v>157.28155339805801</v>
      </c>
      <c r="H669" s="13">
        <v>4.9805825242718402</v>
      </c>
      <c r="I669" s="13">
        <f t="shared" si="10"/>
        <v>162.26213592232986</v>
      </c>
      <c r="J669" s="14">
        <v>48.543689320388303</v>
      </c>
      <c r="K669" s="11" t="s">
        <v>49</v>
      </c>
    </row>
    <row r="670" spans="1:11" x14ac:dyDescent="0.25">
      <c r="A670" s="13">
        <v>1.13104490169958E+17</v>
      </c>
      <c r="B670" s="20" t="s">
        <v>162</v>
      </c>
      <c r="C670" s="11" t="s">
        <v>16</v>
      </c>
      <c r="D670" s="13">
        <v>226016</v>
      </c>
      <c r="E670" s="13">
        <v>7117</v>
      </c>
      <c r="F670" s="11">
        <v>3</v>
      </c>
      <c r="G670" s="13">
        <v>167.96116504854299</v>
      </c>
      <c r="H670" s="13">
        <v>5.8252427184466002</v>
      </c>
      <c r="I670" s="13">
        <f t="shared" si="10"/>
        <v>173.78640776698958</v>
      </c>
      <c r="J670" s="14">
        <v>32.038834951456302</v>
      </c>
      <c r="K670" s="11" t="s">
        <v>10</v>
      </c>
    </row>
    <row r="671" spans="1:11" x14ac:dyDescent="0.25">
      <c r="A671" s="13">
        <v>1.1459103680292701E+17</v>
      </c>
      <c r="B671" s="20" t="s">
        <v>139</v>
      </c>
      <c r="C671" s="11" t="s">
        <v>16</v>
      </c>
      <c r="D671" s="13">
        <v>144001</v>
      </c>
      <c r="E671" s="13">
        <v>7117</v>
      </c>
      <c r="F671" s="11">
        <v>3</v>
      </c>
      <c r="G671" s="13">
        <v>161.16504854368901</v>
      </c>
      <c r="H671" s="13">
        <v>5.0970873786407802</v>
      </c>
      <c r="I671" s="13">
        <f t="shared" si="10"/>
        <v>166.2621359223298</v>
      </c>
      <c r="J671" s="14">
        <v>50.485436893203897</v>
      </c>
      <c r="K671" s="11" t="s">
        <v>17</v>
      </c>
    </row>
    <row r="672" spans="1:11" x14ac:dyDescent="0.25">
      <c r="A672" s="13">
        <v>1.1113380788666E+17</v>
      </c>
      <c r="B672" s="20" t="s">
        <v>155</v>
      </c>
      <c r="C672" s="11" t="s">
        <v>25</v>
      </c>
      <c r="D672" s="13">
        <v>332001</v>
      </c>
      <c r="E672" s="13">
        <v>7117</v>
      </c>
      <c r="F672" s="11">
        <v>3</v>
      </c>
      <c r="G672" s="13">
        <v>157.28155339805801</v>
      </c>
      <c r="H672" s="13">
        <v>4.9805825242718402</v>
      </c>
      <c r="I672" s="13">
        <f t="shared" si="10"/>
        <v>162.26213592232986</v>
      </c>
      <c r="J672" s="14">
        <v>48.543689320388303</v>
      </c>
      <c r="K672" s="11" t="s">
        <v>46</v>
      </c>
    </row>
    <row r="673" spans="1:11" x14ac:dyDescent="0.25">
      <c r="A673" s="13">
        <v>1.09242975197134E+17</v>
      </c>
      <c r="B673" s="20" t="s">
        <v>161</v>
      </c>
      <c r="C673" s="11" t="s">
        <v>25</v>
      </c>
      <c r="D673" s="13">
        <v>788101</v>
      </c>
      <c r="E673" s="13">
        <v>7117</v>
      </c>
      <c r="F673" s="11">
        <v>3</v>
      </c>
      <c r="G673" s="13">
        <v>188.349514563106</v>
      </c>
      <c r="H673" s="13">
        <v>5.5339805825242703</v>
      </c>
      <c r="I673" s="13">
        <f t="shared" si="10"/>
        <v>193.88349514563026</v>
      </c>
      <c r="J673" s="14">
        <v>77.669902912621396</v>
      </c>
      <c r="K673" s="11" t="s">
        <v>35</v>
      </c>
    </row>
    <row r="674" spans="1:11" x14ac:dyDescent="0.25">
      <c r="A674" s="13">
        <v>1.13888020238988E+17</v>
      </c>
      <c r="B674" s="20" t="s">
        <v>147</v>
      </c>
      <c r="C674" s="11" t="s">
        <v>16</v>
      </c>
      <c r="D674" s="13">
        <v>852202</v>
      </c>
      <c r="E674" s="13">
        <v>7117</v>
      </c>
      <c r="F674" s="11">
        <v>3</v>
      </c>
      <c r="G674" s="13">
        <v>153.39805825242701</v>
      </c>
      <c r="H674" s="13">
        <v>4.6310679611650496</v>
      </c>
      <c r="I674" s="13">
        <f t="shared" si="10"/>
        <v>158.02912621359206</v>
      </c>
      <c r="J674" s="14">
        <v>55.339805825242699</v>
      </c>
      <c r="K674" s="11" t="s">
        <v>22</v>
      </c>
    </row>
    <row r="675" spans="1:11" x14ac:dyDescent="0.25">
      <c r="A675" s="13">
        <v>1.1616560857251901E+17</v>
      </c>
      <c r="B675" s="20" t="s">
        <v>166</v>
      </c>
      <c r="C675" s="11" t="s">
        <v>9</v>
      </c>
      <c r="D675" s="13">
        <v>560026</v>
      </c>
      <c r="E675" s="13">
        <v>7117</v>
      </c>
      <c r="F675" s="11">
        <v>3</v>
      </c>
      <c r="G675" s="13">
        <v>168.93203883495099</v>
      </c>
      <c r="H675" s="13">
        <v>5.0679611650485397</v>
      </c>
      <c r="I675" s="13">
        <f t="shared" si="10"/>
        <v>173.99999999999952</v>
      </c>
      <c r="J675" s="14">
        <v>57.2815533980583</v>
      </c>
      <c r="K675" s="11" t="s">
        <v>19</v>
      </c>
    </row>
    <row r="676" spans="1:11" x14ac:dyDescent="0.25">
      <c r="A676" s="13">
        <v>1.11754426879992E+17</v>
      </c>
      <c r="B676" s="20" t="s">
        <v>146</v>
      </c>
      <c r="C676" s="11" t="s">
        <v>52</v>
      </c>
      <c r="D676" s="13">
        <v>385340</v>
      </c>
      <c r="E676" s="13">
        <v>7117</v>
      </c>
      <c r="F676" s="11">
        <v>3</v>
      </c>
      <c r="G676" s="13">
        <v>155.339805825242</v>
      </c>
      <c r="H676" s="13">
        <v>5.1844660194174796</v>
      </c>
      <c r="I676" s="13">
        <f t="shared" si="10"/>
        <v>160.52427184465947</v>
      </c>
      <c r="J676" s="14">
        <v>38.834951456310698</v>
      </c>
      <c r="K676" s="11" t="s">
        <v>12</v>
      </c>
    </row>
    <row r="677" spans="1:11" x14ac:dyDescent="0.25">
      <c r="A677" s="13">
        <v>1.0751688533517101E+17</v>
      </c>
      <c r="B677" s="20" t="s">
        <v>140</v>
      </c>
      <c r="C677" s="11" t="s">
        <v>16</v>
      </c>
      <c r="D677" s="13">
        <v>736182</v>
      </c>
      <c r="E677" s="13">
        <v>7117</v>
      </c>
      <c r="F677" s="11">
        <v>3</v>
      </c>
      <c r="G677" s="13">
        <v>154.368932038834</v>
      </c>
      <c r="H677" s="13">
        <v>4.6310679611650496</v>
      </c>
      <c r="I677" s="13">
        <f t="shared" si="10"/>
        <v>158.99999999999906</v>
      </c>
      <c r="J677" s="14">
        <v>57.2815533980583</v>
      </c>
      <c r="K677" s="11" t="s">
        <v>14</v>
      </c>
    </row>
    <row r="678" spans="1:11" x14ac:dyDescent="0.25">
      <c r="A678" s="13">
        <v>1.07083630257664E+17</v>
      </c>
      <c r="B678" s="20" t="s">
        <v>150</v>
      </c>
      <c r="C678" s="11" t="s">
        <v>25</v>
      </c>
      <c r="D678" s="13">
        <v>273006</v>
      </c>
      <c r="E678" s="13">
        <v>7117</v>
      </c>
      <c r="F678" s="11">
        <v>3</v>
      </c>
      <c r="G678" s="13">
        <v>135.92233009708701</v>
      </c>
      <c r="H678" s="13">
        <v>4.8058252427184502</v>
      </c>
      <c r="I678" s="13">
        <f t="shared" si="10"/>
        <v>140.72815533980545</v>
      </c>
      <c r="J678" s="14">
        <v>32.038834951456302</v>
      </c>
      <c r="K678" s="11" t="s">
        <v>10</v>
      </c>
    </row>
    <row r="679" spans="1:11" x14ac:dyDescent="0.25">
      <c r="A679" s="13">
        <v>1.1223907936272301E+17</v>
      </c>
      <c r="B679" s="20" t="s">
        <v>158</v>
      </c>
      <c r="C679" s="11" t="s">
        <v>16</v>
      </c>
      <c r="D679" s="13">
        <v>360510</v>
      </c>
      <c r="E679" s="13">
        <v>7117</v>
      </c>
      <c r="F679" s="11">
        <v>3</v>
      </c>
      <c r="G679" s="13">
        <v>147.57281553397999</v>
      </c>
      <c r="H679" s="13">
        <v>4.42718446601942</v>
      </c>
      <c r="I679" s="13">
        <f t="shared" si="10"/>
        <v>151.9999999999994</v>
      </c>
      <c r="J679" s="14">
        <v>59.223300970873801</v>
      </c>
      <c r="K679" s="11" t="s">
        <v>12</v>
      </c>
    </row>
    <row r="680" spans="1:11" x14ac:dyDescent="0.25">
      <c r="A680" s="13">
        <v>1.10981072616878E+17</v>
      </c>
      <c r="B680" s="20" t="s">
        <v>155</v>
      </c>
      <c r="C680" s="11" t="s">
        <v>16</v>
      </c>
      <c r="D680" s="13">
        <v>442905</v>
      </c>
      <c r="E680" s="13">
        <v>7117</v>
      </c>
      <c r="F680" s="11">
        <v>3</v>
      </c>
      <c r="G680" s="13">
        <v>151.45631067961099</v>
      </c>
      <c r="H680" s="13">
        <v>5.0679611650485397</v>
      </c>
      <c r="I680" s="13">
        <f t="shared" si="10"/>
        <v>156.52427184465952</v>
      </c>
      <c r="J680" s="14">
        <v>39.805825242718498</v>
      </c>
      <c r="K680" s="11" t="s">
        <v>41</v>
      </c>
    </row>
    <row r="681" spans="1:11" x14ac:dyDescent="0.25">
      <c r="A681" s="13">
        <v>1.1582532677248499E+17</v>
      </c>
      <c r="B681" s="20" t="s">
        <v>137</v>
      </c>
      <c r="C681" s="11" t="s">
        <v>33</v>
      </c>
      <c r="D681" s="13">
        <v>122002</v>
      </c>
      <c r="E681" s="13">
        <v>711790</v>
      </c>
      <c r="F681" s="11">
        <v>12</v>
      </c>
      <c r="G681" s="13">
        <v>91.071428571428598</v>
      </c>
      <c r="H681" s="13">
        <v>11.785714285714199</v>
      </c>
      <c r="I681" s="13">
        <f t="shared" si="10"/>
        <v>102.8571428571428</v>
      </c>
      <c r="J681" s="14">
        <v>43.75</v>
      </c>
      <c r="K681" s="11" t="s">
        <v>63</v>
      </c>
    </row>
    <row r="682" spans="1:11" x14ac:dyDescent="0.25">
      <c r="A682" s="13">
        <v>1.15695086982204E+17</v>
      </c>
      <c r="B682" s="20" t="s">
        <v>137</v>
      </c>
      <c r="C682" s="11" t="s">
        <v>16</v>
      </c>
      <c r="D682" s="13">
        <v>852201</v>
      </c>
      <c r="E682" s="13">
        <v>7117</v>
      </c>
      <c r="F682" s="11">
        <v>3</v>
      </c>
      <c r="G682" s="13">
        <v>119.417475728155</v>
      </c>
      <c r="H682" s="13">
        <v>4.1067961165048503</v>
      </c>
      <c r="I682" s="13">
        <f t="shared" si="10"/>
        <v>123.52427184465985</v>
      </c>
      <c r="J682" s="14">
        <v>39.805825242718498</v>
      </c>
      <c r="K682" s="11" t="s">
        <v>22</v>
      </c>
    </row>
    <row r="683" spans="1:11" x14ac:dyDescent="0.25">
      <c r="A683" s="13">
        <v>1.0748015267783901E+17</v>
      </c>
      <c r="B683" s="20" t="s">
        <v>140</v>
      </c>
      <c r="C683" s="11" t="s">
        <v>25</v>
      </c>
      <c r="D683" s="13">
        <v>516269</v>
      </c>
      <c r="E683" s="13">
        <v>7117</v>
      </c>
      <c r="F683" s="11">
        <v>3</v>
      </c>
      <c r="G683" s="13">
        <v>162.135922330097</v>
      </c>
      <c r="H683" s="13">
        <v>4.86407766990291</v>
      </c>
      <c r="I683" s="13">
        <f t="shared" si="10"/>
        <v>166.99999999999991</v>
      </c>
      <c r="J683" s="14">
        <v>58.252427184466001</v>
      </c>
      <c r="K683" s="11" t="s">
        <v>39</v>
      </c>
    </row>
    <row r="684" spans="1:11" x14ac:dyDescent="0.25">
      <c r="A684" s="13">
        <v>1.1420479125253299E+17</v>
      </c>
      <c r="B684" s="20" t="s">
        <v>138</v>
      </c>
      <c r="C684" s="11" t="s">
        <v>16</v>
      </c>
      <c r="D684" s="13">
        <v>743330</v>
      </c>
      <c r="E684" s="13">
        <v>7117</v>
      </c>
      <c r="F684" s="11">
        <v>3</v>
      </c>
      <c r="G684" s="13">
        <v>172.81553398058199</v>
      </c>
      <c r="H684" s="13">
        <v>5.1844660194174796</v>
      </c>
      <c r="I684" s="13">
        <f t="shared" si="10"/>
        <v>177.99999999999946</v>
      </c>
      <c r="J684" s="14">
        <v>56.3106796116505</v>
      </c>
      <c r="K684" s="11" t="s">
        <v>14</v>
      </c>
    </row>
    <row r="685" spans="1:11" x14ac:dyDescent="0.25">
      <c r="A685" s="13">
        <v>1.1074783503269501E+17</v>
      </c>
      <c r="B685" s="20" t="s">
        <v>143</v>
      </c>
      <c r="C685" s="11" t="s">
        <v>16</v>
      </c>
      <c r="D685" s="13">
        <v>212301</v>
      </c>
      <c r="E685" s="13">
        <v>7117</v>
      </c>
      <c r="F685" s="11">
        <v>3</v>
      </c>
      <c r="G685" s="13">
        <v>166.01941747572801</v>
      </c>
      <c r="H685" s="13">
        <v>5.2427184466019403</v>
      </c>
      <c r="I685" s="13">
        <f t="shared" si="10"/>
        <v>171.26213592232995</v>
      </c>
      <c r="J685" s="14">
        <v>49.514563106796103</v>
      </c>
      <c r="K685" s="11" t="s">
        <v>10</v>
      </c>
    </row>
    <row r="686" spans="1:11" x14ac:dyDescent="0.25">
      <c r="A686" s="13">
        <v>1.1242846818012E+17</v>
      </c>
      <c r="B686" s="20" t="s">
        <v>154</v>
      </c>
      <c r="C686" s="11" t="s">
        <v>52</v>
      </c>
      <c r="D686" s="13">
        <v>202165</v>
      </c>
      <c r="E686" s="13">
        <v>7117</v>
      </c>
      <c r="F686" s="11">
        <v>3</v>
      </c>
      <c r="G686" s="13">
        <v>138.83495145630999</v>
      </c>
      <c r="H686" s="13">
        <v>4.42718446601942</v>
      </c>
      <c r="I686" s="13">
        <f t="shared" si="10"/>
        <v>143.26213592232941</v>
      </c>
      <c r="J686" s="14">
        <v>50.485436893203897</v>
      </c>
      <c r="K686" s="11" t="s">
        <v>10</v>
      </c>
    </row>
    <row r="687" spans="1:11" x14ac:dyDescent="0.25">
      <c r="A687" s="13">
        <v>1.1548392136671501E+17</v>
      </c>
      <c r="B687" s="20" t="s">
        <v>136</v>
      </c>
      <c r="C687" s="11" t="s">
        <v>52</v>
      </c>
      <c r="D687" s="13">
        <v>121005</v>
      </c>
      <c r="E687" s="13">
        <v>7117</v>
      </c>
      <c r="F687" s="11">
        <v>3</v>
      </c>
      <c r="G687" s="13">
        <v>115.53398058252399</v>
      </c>
      <c r="H687" s="13">
        <v>4.1067961165048503</v>
      </c>
      <c r="I687" s="13">
        <f t="shared" si="10"/>
        <v>119.64077669902885</v>
      </c>
      <c r="J687" s="14">
        <v>35.922330097087404</v>
      </c>
      <c r="K687" s="11" t="s">
        <v>63</v>
      </c>
    </row>
    <row r="688" spans="1:11" x14ac:dyDescent="0.25">
      <c r="A688" s="13">
        <v>1.1675333512691699E+17</v>
      </c>
      <c r="B688" s="20" t="s">
        <v>144</v>
      </c>
      <c r="C688" s="11" t="s">
        <v>9</v>
      </c>
      <c r="D688" s="13">
        <v>221308</v>
      </c>
      <c r="E688" s="13">
        <v>7117</v>
      </c>
      <c r="F688" s="11">
        <v>3</v>
      </c>
      <c r="G688" s="13">
        <v>164.07766990291199</v>
      </c>
      <c r="H688" s="13">
        <v>5.1844660194174796</v>
      </c>
      <c r="I688" s="13">
        <f t="shared" si="10"/>
        <v>169.26213592232946</v>
      </c>
      <c r="J688" s="14">
        <v>47.572815533980602</v>
      </c>
      <c r="K688" s="11" t="s">
        <v>10</v>
      </c>
    </row>
    <row r="689" spans="1:11" x14ac:dyDescent="0.25">
      <c r="A689" s="13">
        <v>1.1437580842390301E+17</v>
      </c>
      <c r="B689" s="20" t="s">
        <v>138</v>
      </c>
      <c r="C689" s="11" t="s">
        <v>16</v>
      </c>
      <c r="D689" s="13">
        <v>752089</v>
      </c>
      <c r="E689" s="13">
        <v>7117</v>
      </c>
      <c r="F689" s="11">
        <v>3</v>
      </c>
      <c r="G689" s="13">
        <v>165.04854368932001</v>
      </c>
      <c r="H689" s="13">
        <v>5.1844660194174796</v>
      </c>
      <c r="I689" s="13">
        <f t="shared" si="10"/>
        <v>170.23300970873748</v>
      </c>
      <c r="J689" s="14">
        <v>48.543689320388303</v>
      </c>
      <c r="K689" s="11" t="s">
        <v>54</v>
      </c>
    </row>
    <row r="690" spans="1:11" x14ac:dyDescent="0.25">
      <c r="A690" s="13">
        <v>1.1573652904195101E+17</v>
      </c>
      <c r="B690" s="20" t="s">
        <v>137</v>
      </c>
      <c r="C690" s="11" t="s">
        <v>9</v>
      </c>
      <c r="D690" s="13">
        <v>500037</v>
      </c>
      <c r="E690" s="13">
        <v>7117</v>
      </c>
      <c r="F690" s="11">
        <v>3</v>
      </c>
      <c r="G690" s="13">
        <v>160.19417475728099</v>
      </c>
      <c r="H690" s="13">
        <v>4.8058252427184502</v>
      </c>
      <c r="I690" s="13">
        <f t="shared" si="10"/>
        <v>164.99999999999943</v>
      </c>
      <c r="J690" s="14">
        <v>57.2815533980583</v>
      </c>
      <c r="K690" s="11" t="s">
        <v>53</v>
      </c>
    </row>
    <row r="691" spans="1:11" x14ac:dyDescent="0.25">
      <c r="A691" s="13">
        <v>1.0714746719125101E+17</v>
      </c>
      <c r="B691" s="20" t="s">
        <v>150</v>
      </c>
      <c r="C691" s="11" t="s">
        <v>16</v>
      </c>
      <c r="D691" s="13">
        <v>110077</v>
      </c>
      <c r="E691" s="13">
        <v>7117</v>
      </c>
      <c r="F691" s="11">
        <v>3</v>
      </c>
      <c r="G691" s="13">
        <v>148.54368932038801</v>
      </c>
      <c r="H691" s="13">
        <v>4.8058252427184502</v>
      </c>
      <c r="I691" s="13">
        <f t="shared" si="10"/>
        <v>153.34951456310645</v>
      </c>
      <c r="J691" s="14">
        <v>44.660194174757301</v>
      </c>
      <c r="K691" s="11" t="s">
        <v>28</v>
      </c>
    </row>
    <row r="692" spans="1:11" x14ac:dyDescent="0.25">
      <c r="A692" s="13">
        <v>1.12174747606774E+17</v>
      </c>
      <c r="B692" s="20" t="s">
        <v>158</v>
      </c>
      <c r="C692" s="11" t="s">
        <v>16</v>
      </c>
      <c r="D692" s="13">
        <v>759123</v>
      </c>
      <c r="E692" s="13">
        <v>7117</v>
      </c>
      <c r="F692" s="11">
        <v>3</v>
      </c>
      <c r="G692" s="13">
        <v>164.07766990291199</v>
      </c>
      <c r="H692" s="13">
        <v>4.9223300970873796</v>
      </c>
      <c r="I692" s="13">
        <f t="shared" si="10"/>
        <v>168.99999999999937</v>
      </c>
      <c r="J692" s="14">
        <v>57.2815533980583</v>
      </c>
      <c r="K692" s="11" t="s">
        <v>54</v>
      </c>
    </row>
    <row r="693" spans="1:11" x14ac:dyDescent="0.25">
      <c r="A693" s="13">
        <v>1.07036959792324E+17</v>
      </c>
      <c r="B693" s="20" t="s">
        <v>150</v>
      </c>
      <c r="C693" s="11" t="s">
        <v>25</v>
      </c>
      <c r="D693" s="13">
        <v>246446</v>
      </c>
      <c r="E693" s="13">
        <v>7117</v>
      </c>
      <c r="F693" s="11">
        <v>3</v>
      </c>
      <c r="G693" s="13">
        <v>153.39805825242701</v>
      </c>
      <c r="H693" s="13">
        <v>4.8058252427184502</v>
      </c>
      <c r="I693" s="13">
        <f t="shared" si="10"/>
        <v>158.20388349514545</v>
      </c>
      <c r="J693" s="14">
        <v>49.514563106796103</v>
      </c>
      <c r="K693" s="11" t="s">
        <v>49</v>
      </c>
    </row>
    <row r="694" spans="1:11" x14ac:dyDescent="0.25">
      <c r="A694" s="13">
        <v>1.0705641422417901E+17</v>
      </c>
      <c r="B694" s="20" t="s">
        <v>150</v>
      </c>
      <c r="C694" s="11" t="s">
        <v>25</v>
      </c>
      <c r="D694" s="13">
        <v>362630</v>
      </c>
      <c r="E694" s="13">
        <v>7117</v>
      </c>
      <c r="F694" s="11">
        <v>3</v>
      </c>
      <c r="G694" s="13">
        <v>142.718446601941</v>
      </c>
      <c r="H694" s="13">
        <v>4.8058252427184502</v>
      </c>
      <c r="I694" s="13">
        <f t="shared" si="10"/>
        <v>147.52427184465944</v>
      </c>
      <c r="J694" s="14">
        <v>38.834951456310698</v>
      </c>
      <c r="K694" s="11" t="s">
        <v>12</v>
      </c>
    </row>
    <row r="695" spans="1:11" x14ac:dyDescent="0.25">
      <c r="A695" s="13">
        <v>1.16849979620094E+17</v>
      </c>
      <c r="B695" s="20" t="s">
        <v>144</v>
      </c>
      <c r="C695" s="11" t="s">
        <v>9</v>
      </c>
      <c r="D695" s="13">
        <v>276001</v>
      </c>
      <c r="E695" s="13">
        <v>7117</v>
      </c>
      <c r="F695" s="11">
        <v>3</v>
      </c>
      <c r="G695" s="13">
        <v>164.07766990291199</v>
      </c>
      <c r="H695" s="13">
        <v>5.1844660194174796</v>
      </c>
      <c r="I695" s="13">
        <f t="shared" si="10"/>
        <v>169.26213592232946</v>
      </c>
      <c r="J695" s="14">
        <v>47.572815533980602</v>
      </c>
      <c r="K695" s="11" t="s">
        <v>10</v>
      </c>
    </row>
    <row r="696" spans="1:11" x14ac:dyDescent="0.25">
      <c r="A696" s="13">
        <v>1.0921741340864499E+17</v>
      </c>
      <c r="B696" s="20" t="s">
        <v>161</v>
      </c>
      <c r="C696" s="11" t="s">
        <v>21</v>
      </c>
      <c r="D696" s="13">
        <v>795005</v>
      </c>
      <c r="E696" s="13">
        <v>7117</v>
      </c>
      <c r="F696" s="11">
        <v>3</v>
      </c>
      <c r="G696" s="13">
        <v>195.14563106796101</v>
      </c>
      <c r="H696" s="13">
        <v>5.8543689320388301</v>
      </c>
      <c r="I696" s="13">
        <f t="shared" si="10"/>
        <v>200.99999999999983</v>
      </c>
      <c r="J696" s="14">
        <v>78.640776699029104</v>
      </c>
      <c r="K696" s="11" t="s">
        <v>169</v>
      </c>
    </row>
    <row r="697" spans="1:11" x14ac:dyDescent="0.25">
      <c r="A697" s="13">
        <v>1.0702235381651E+17</v>
      </c>
      <c r="B697" s="20" t="s">
        <v>150</v>
      </c>
      <c r="C697" s="11" t="s">
        <v>16</v>
      </c>
      <c r="D697" s="13">
        <v>396126</v>
      </c>
      <c r="E697" s="13">
        <v>7117</v>
      </c>
      <c r="F697" s="11">
        <v>3</v>
      </c>
      <c r="G697" s="13">
        <v>143.68932038834899</v>
      </c>
      <c r="H697" s="13">
        <v>4.3106796116504897</v>
      </c>
      <c r="I697" s="13">
        <f t="shared" si="10"/>
        <v>147.99999999999949</v>
      </c>
      <c r="J697" s="14">
        <v>56.3106796116505</v>
      </c>
      <c r="K697" s="11" t="s">
        <v>12</v>
      </c>
    </row>
    <row r="698" spans="1:11" x14ac:dyDescent="0.25">
      <c r="A698" s="13">
        <v>1.1395195352586301E+17</v>
      </c>
      <c r="B698" s="20" t="s">
        <v>147</v>
      </c>
      <c r="C698" s="11" t="s">
        <v>16</v>
      </c>
      <c r="D698" s="13">
        <v>560026</v>
      </c>
      <c r="E698" s="13">
        <v>7117</v>
      </c>
      <c r="F698" s="11">
        <v>3</v>
      </c>
      <c r="G698" s="13">
        <v>168.93203883495099</v>
      </c>
      <c r="H698" s="13">
        <v>5.0679611650485397</v>
      </c>
      <c r="I698" s="13">
        <f t="shared" si="10"/>
        <v>173.99999999999952</v>
      </c>
      <c r="J698" s="14">
        <v>57.2815533980583</v>
      </c>
      <c r="K698" s="11" t="s">
        <v>19</v>
      </c>
    </row>
    <row r="699" spans="1:11" x14ac:dyDescent="0.25">
      <c r="A699" s="13">
        <v>1.0809870720899101E+17</v>
      </c>
      <c r="B699" s="20" t="s">
        <v>153</v>
      </c>
      <c r="C699" s="11" t="s">
        <v>21</v>
      </c>
      <c r="D699" s="13">
        <v>110086</v>
      </c>
      <c r="E699" s="13">
        <v>7117</v>
      </c>
      <c r="F699" s="11">
        <v>3</v>
      </c>
      <c r="G699" s="13">
        <v>157.28155339805801</v>
      </c>
      <c r="H699" s="13">
        <v>4.9805825242718402</v>
      </c>
      <c r="I699" s="13">
        <f t="shared" si="10"/>
        <v>162.26213592232986</v>
      </c>
      <c r="J699" s="14">
        <v>48.543689320388303</v>
      </c>
      <c r="K699" s="11" t="s">
        <v>28</v>
      </c>
    </row>
    <row r="700" spans="1:11" x14ac:dyDescent="0.25">
      <c r="A700" s="13">
        <v>1.09607058579682E+17</v>
      </c>
      <c r="B700" s="20" t="s">
        <v>164</v>
      </c>
      <c r="C700" s="11" t="s">
        <v>21</v>
      </c>
      <c r="D700" s="13">
        <v>799275</v>
      </c>
      <c r="E700" s="13">
        <v>7117</v>
      </c>
      <c r="F700" s="11">
        <v>3</v>
      </c>
      <c r="G700" s="13">
        <v>233.009708737864</v>
      </c>
      <c r="H700" s="13">
        <v>6.9902912621359201</v>
      </c>
      <c r="I700" s="13">
        <f t="shared" si="10"/>
        <v>239.99999999999991</v>
      </c>
      <c r="J700" s="14">
        <v>77.669902912621396</v>
      </c>
      <c r="K700" s="11" t="s">
        <v>165</v>
      </c>
    </row>
    <row r="701" spans="1:11" x14ac:dyDescent="0.25">
      <c r="A701" s="13">
        <v>1.07017124572328E+17</v>
      </c>
      <c r="B701" s="20" t="s">
        <v>150</v>
      </c>
      <c r="C701" s="11" t="s">
        <v>16</v>
      </c>
      <c r="D701" s="13">
        <v>332302</v>
      </c>
      <c r="E701" s="13">
        <v>7117</v>
      </c>
      <c r="F701" s="11">
        <v>3</v>
      </c>
      <c r="G701" s="13">
        <v>121.35922330097</v>
      </c>
      <c r="H701" s="13">
        <v>3.84466019417476</v>
      </c>
      <c r="I701" s="13">
        <f t="shared" si="10"/>
        <v>125.20388349514477</v>
      </c>
      <c r="J701" s="14">
        <v>50.485436893203897</v>
      </c>
      <c r="K701" s="11" t="s">
        <v>46</v>
      </c>
    </row>
    <row r="702" spans="1:11" x14ac:dyDescent="0.25">
      <c r="A702" s="13">
        <v>1.1349634346047501E+17</v>
      </c>
      <c r="B702" s="20" t="s">
        <v>168</v>
      </c>
      <c r="C702" s="11" t="s">
        <v>16</v>
      </c>
      <c r="D702" s="13">
        <v>799131</v>
      </c>
      <c r="E702" s="13">
        <v>7117</v>
      </c>
      <c r="F702" s="11">
        <v>3</v>
      </c>
      <c r="G702" s="13">
        <v>189.32038834951399</v>
      </c>
      <c r="H702" s="13">
        <v>5.6796116504854401</v>
      </c>
      <c r="I702" s="13">
        <f t="shared" si="10"/>
        <v>194.99999999999943</v>
      </c>
      <c r="J702" s="14">
        <v>78.640776699029104</v>
      </c>
      <c r="K702" s="11" t="s">
        <v>165</v>
      </c>
    </row>
    <row r="703" spans="1:11" x14ac:dyDescent="0.25">
      <c r="A703" s="13">
        <v>1.11003133078208E+17</v>
      </c>
      <c r="B703" s="20" t="s">
        <v>155</v>
      </c>
      <c r="C703" s="11" t="s">
        <v>16</v>
      </c>
      <c r="D703" s="13">
        <v>273212</v>
      </c>
      <c r="E703" s="13">
        <v>7117</v>
      </c>
      <c r="F703" s="11">
        <v>3</v>
      </c>
      <c r="G703" s="13">
        <v>157.28155339805801</v>
      </c>
      <c r="H703" s="13">
        <v>4.9805825242718402</v>
      </c>
      <c r="I703" s="13">
        <f t="shared" si="10"/>
        <v>162.26213592232986</v>
      </c>
      <c r="J703" s="14">
        <v>48.543689320388303</v>
      </c>
      <c r="K703" s="11" t="s">
        <v>10</v>
      </c>
    </row>
    <row r="704" spans="1:11" x14ac:dyDescent="0.25">
      <c r="A704" s="13">
        <v>1.1416265321955E+17</v>
      </c>
      <c r="B704" s="20" t="s">
        <v>138</v>
      </c>
      <c r="C704" s="11" t="s">
        <v>16</v>
      </c>
      <c r="D704" s="13">
        <v>400053</v>
      </c>
      <c r="E704" s="13">
        <v>7117</v>
      </c>
      <c r="F704" s="11">
        <v>3</v>
      </c>
      <c r="G704" s="13">
        <v>155.339805825242</v>
      </c>
      <c r="H704" s="13">
        <v>5.1844660194174796</v>
      </c>
      <c r="I704" s="13">
        <f t="shared" si="10"/>
        <v>160.52427184465947</v>
      </c>
      <c r="J704" s="14">
        <v>38.834951456310698</v>
      </c>
      <c r="K704" s="11" t="s">
        <v>41</v>
      </c>
    </row>
    <row r="705" spans="1:11" x14ac:dyDescent="0.25">
      <c r="A705" s="13">
        <v>1.06427518256706E+17</v>
      </c>
      <c r="B705" s="20" t="s">
        <v>156</v>
      </c>
      <c r="C705" s="11" t="s">
        <v>25</v>
      </c>
      <c r="D705" s="13">
        <v>532430</v>
      </c>
      <c r="E705" s="13">
        <v>7117</v>
      </c>
      <c r="F705" s="11">
        <v>3</v>
      </c>
      <c r="G705" s="13">
        <v>174.757281553398</v>
      </c>
      <c r="H705" s="13">
        <v>5.2427184466019403</v>
      </c>
      <c r="I705" s="13">
        <f t="shared" si="10"/>
        <v>179.99999999999994</v>
      </c>
      <c r="J705" s="14">
        <v>58.252427184466001</v>
      </c>
      <c r="K705" s="11" t="s">
        <v>39</v>
      </c>
    </row>
    <row r="706" spans="1:11" x14ac:dyDescent="0.25">
      <c r="A706" s="13">
        <v>1.0993865819560301E+17</v>
      </c>
      <c r="B706" s="20" t="s">
        <v>142</v>
      </c>
      <c r="C706" s="11" t="s">
        <v>25</v>
      </c>
      <c r="D706" s="13">
        <v>492001</v>
      </c>
      <c r="E706" s="13">
        <v>7117</v>
      </c>
      <c r="F706" s="11">
        <v>3</v>
      </c>
      <c r="G706" s="13">
        <v>166.01941747572801</v>
      </c>
      <c r="H706" s="13">
        <v>4.9805825242718402</v>
      </c>
      <c r="I706" s="13">
        <f t="shared" si="10"/>
        <v>170.99999999999986</v>
      </c>
      <c r="J706" s="14">
        <v>57.2815533980583</v>
      </c>
      <c r="K706" s="11" t="s">
        <v>23</v>
      </c>
    </row>
    <row r="707" spans="1:11" x14ac:dyDescent="0.25">
      <c r="A707" s="13">
        <v>1.13955893352398E+17</v>
      </c>
      <c r="B707" s="20" t="s">
        <v>147</v>
      </c>
      <c r="C707" s="11" t="s">
        <v>16</v>
      </c>
      <c r="D707" s="13">
        <v>822117</v>
      </c>
      <c r="E707" s="13">
        <v>7117</v>
      </c>
      <c r="F707" s="11">
        <v>3</v>
      </c>
      <c r="G707" s="13">
        <v>148.54368932038801</v>
      </c>
      <c r="H707" s="13">
        <v>4.9805825242718402</v>
      </c>
      <c r="I707" s="13">
        <f t="shared" ref="I707:I770" si="11">G707+H707</f>
        <v>153.52427184465986</v>
      </c>
      <c r="J707" s="14">
        <v>39.805825242718498</v>
      </c>
      <c r="K707" s="11" t="s">
        <v>37</v>
      </c>
    </row>
    <row r="708" spans="1:11" x14ac:dyDescent="0.25">
      <c r="A708" s="13">
        <v>1.1280892739079E+17</v>
      </c>
      <c r="B708" s="20" t="s">
        <v>159</v>
      </c>
      <c r="C708" s="11" t="s">
        <v>21</v>
      </c>
      <c r="D708" s="13">
        <v>854108</v>
      </c>
      <c r="E708" s="13">
        <v>7117</v>
      </c>
      <c r="F708" s="11">
        <v>3</v>
      </c>
      <c r="G708" s="13">
        <v>169.90291262135901</v>
      </c>
      <c r="H708" s="13">
        <v>5.0970873786407802</v>
      </c>
      <c r="I708" s="13">
        <f t="shared" si="11"/>
        <v>174.9999999999998</v>
      </c>
      <c r="J708" s="14">
        <v>59.223300970873801</v>
      </c>
      <c r="K708" s="11" t="s">
        <v>22</v>
      </c>
    </row>
    <row r="709" spans="1:11" x14ac:dyDescent="0.25">
      <c r="A709" s="13">
        <v>1.1493141247770499E+17</v>
      </c>
      <c r="B709" s="20" t="s">
        <v>148</v>
      </c>
      <c r="C709" s="11" t="s">
        <v>9</v>
      </c>
      <c r="D709" s="13">
        <v>516227</v>
      </c>
      <c r="E709" s="13">
        <v>7117</v>
      </c>
      <c r="F709" s="11">
        <v>3</v>
      </c>
      <c r="G709" s="13">
        <v>172.81553398058199</v>
      </c>
      <c r="H709" s="13">
        <v>5.1844660194174796</v>
      </c>
      <c r="I709" s="13">
        <f t="shared" si="11"/>
        <v>177.99999999999946</v>
      </c>
      <c r="J709" s="14">
        <v>56.3106796116505</v>
      </c>
      <c r="K709" s="11" t="s">
        <v>39</v>
      </c>
    </row>
    <row r="710" spans="1:11" x14ac:dyDescent="0.25">
      <c r="A710" s="13">
        <v>1.0967063489708E+17</v>
      </c>
      <c r="B710" s="20" t="s">
        <v>164</v>
      </c>
      <c r="C710" s="11" t="s">
        <v>16</v>
      </c>
      <c r="D710" s="13">
        <v>825106</v>
      </c>
      <c r="E710" s="13">
        <v>7117</v>
      </c>
      <c r="F710" s="11">
        <v>3</v>
      </c>
      <c r="G710" s="13">
        <v>172.81553398058199</v>
      </c>
      <c r="H710" s="13">
        <v>5.1844660194174796</v>
      </c>
      <c r="I710" s="13">
        <f t="shared" si="11"/>
        <v>177.99999999999946</v>
      </c>
      <c r="J710" s="14">
        <v>56.3106796116505</v>
      </c>
      <c r="K710" s="11" t="s">
        <v>37</v>
      </c>
    </row>
    <row r="711" spans="1:11" x14ac:dyDescent="0.25">
      <c r="A711" s="13">
        <v>1.06670108600202E+17</v>
      </c>
      <c r="B711" s="20" t="s">
        <v>163</v>
      </c>
      <c r="C711" s="11" t="s">
        <v>25</v>
      </c>
      <c r="D711" s="13">
        <v>415639</v>
      </c>
      <c r="E711" s="13">
        <v>7117</v>
      </c>
      <c r="F711" s="11">
        <v>3</v>
      </c>
      <c r="G711" s="13">
        <v>137.864077669902</v>
      </c>
      <c r="H711" s="13">
        <v>4.6893203883495103</v>
      </c>
      <c r="I711" s="13">
        <f t="shared" si="11"/>
        <v>142.5533980582515</v>
      </c>
      <c r="J711" s="14">
        <v>40.776699029126199</v>
      </c>
      <c r="K711" s="11" t="s">
        <v>41</v>
      </c>
    </row>
    <row r="712" spans="1:11" x14ac:dyDescent="0.25">
      <c r="A712" s="13">
        <v>1.14614584891042E+17</v>
      </c>
      <c r="B712" s="20" t="s">
        <v>139</v>
      </c>
      <c r="C712" s="11" t="s">
        <v>21</v>
      </c>
      <c r="D712" s="13">
        <v>712407</v>
      </c>
      <c r="E712" s="13">
        <v>7117</v>
      </c>
      <c r="F712" s="11">
        <v>3</v>
      </c>
      <c r="G712" s="13">
        <v>136.893203883495</v>
      </c>
      <c r="H712" s="13">
        <v>4.6310679611650496</v>
      </c>
      <c r="I712" s="13">
        <f t="shared" si="11"/>
        <v>141.52427184466006</v>
      </c>
      <c r="J712" s="14">
        <v>38.834951456310698</v>
      </c>
      <c r="K712" s="11" t="s">
        <v>14</v>
      </c>
    </row>
    <row r="713" spans="1:11" x14ac:dyDescent="0.25">
      <c r="A713" s="13">
        <v>1.07924627704316E+17</v>
      </c>
      <c r="B713" s="20" t="s">
        <v>153</v>
      </c>
      <c r="C713" s="11" t="s">
        <v>16</v>
      </c>
      <c r="D713" s="13">
        <v>401208</v>
      </c>
      <c r="E713" s="13">
        <v>7117</v>
      </c>
      <c r="F713" s="11">
        <v>3</v>
      </c>
      <c r="G713" s="13">
        <v>142.718446601941</v>
      </c>
      <c r="H713" s="13">
        <v>4.8058252427184502</v>
      </c>
      <c r="I713" s="13">
        <f t="shared" si="11"/>
        <v>147.52427184465944</v>
      </c>
      <c r="J713" s="14">
        <v>39.805825242718498</v>
      </c>
      <c r="K713" s="11" t="s">
        <v>41</v>
      </c>
    </row>
    <row r="714" spans="1:11" x14ac:dyDescent="0.25">
      <c r="A714" s="13">
        <v>1.1059725261527101E+17</v>
      </c>
      <c r="B714" s="20" t="s">
        <v>143</v>
      </c>
      <c r="C714" s="11" t="s">
        <v>25</v>
      </c>
      <c r="D714" s="13">
        <v>223224</v>
      </c>
      <c r="E714" s="13">
        <v>7117</v>
      </c>
      <c r="F714" s="11">
        <v>3</v>
      </c>
      <c r="G714" s="13">
        <v>133.980582524271</v>
      </c>
      <c r="H714" s="13">
        <v>4.6310679611650496</v>
      </c>
      <c r="I714" s="13">
        <f t="shared" si="11"/>
        <v>138.61165048543606</v>
      </c>
      <c r="J714" s="14">
        <v>36.893203883495197</v>
      </c>
      <c r="K714" s="11" t="s">
        <v>10</v>
      </c>
    </row>
    <row r="715" spans="1:11" x14ac:dyDescent="0.25">
      <c r="A715" s="13">
        <v>1.1169356455519E+17</v>
      </c>
      <c r="B715" s="20" t="s">
        <v>146</v>
      </c>
      <c r="C715" s="11" t="s">
        <v>16</v>
      </c>
      <c r="D715" s="13">
        <v>222203</v>
      </c>
      <c r="E715" s="13">
        <v>7117</v>
      </c>
      <c r="F715" s="11">
        <v>3</v>
      </c>
      <c r="G715" s="13">
        <v>169.90291262135901</v>
      </c>
      <c r="H715" s="13">
        <v>5.0970873786407802</v>
      </c>
      <c r="I715" s="13">
        <f t="shared" si="11"/>
        <v>174.9999999999998</v>
      </c>
      <c r="J715" s="14">
        <v>59.223300970873801</v>
      </c>
      <c r="K715" s="11" t="s">
        <v>10</v>
      </c>
    </row>
    <row r="716" spans="1:11" x14ac:dyDescent="0.25">
      <c r="A716" s="13">
        <v>1.16611353196954E+17</v>
      </c>
      <c r="B716" s="20" t="s">
        <v>144</v>
      </c>
      <c r="C716" s="11" t="s">
        <v>9</v>
      </c>
      <c r="D716" s="13">
        <v>670309</v>
      </c>
      <c r="E716" s="13">
        <v>7117</v>
      </c>
      <c r="F716" s="11">
        <v>3</v>
      </c>
      <c r="G716" s="13">
        <v>155.339805825242</v>
      </c>
      <c r="H716" s="13">
        <v>5.1844660194174796</v>
      </c>
      <c r="I716" s="13">
        <f t="shared" si="11"/>
        <v>160.52427184465947</v>
      </c>
      <c r="J716" s="14">
        <v>38.834951456310698</v>
      </c>
      <c r="K716" s="11" t="s">
        <v>98</v>
      </c>
    </row>
    <row r="717" spans="1:11" x14ac:dyDescent="0.25">
      <c r="A717" s="13">
        <v>1.1191764630457501E+17</v>
      </c>
      <c r="B717" s="20" t="s">
        <v>158</v>
      </c>
      <c r="C717" s="11" t="s">
        <v>25</v>
      </c>
      <c r="D717" s="13">
        <v>591102</v>
      </c>
      <c r="E717" s="13">
        <v>7117</v>
      </c>
      <c r="F717" s="11">
        <v>3</v>
      </c>
      <c r="G717" s="13">
        <v>169.90291262135901</v>
      </c>
      <c r="H717" s="13">
        <v>5.0970873786407802</v>
      </c>
      <c r="I717" s="13">
        <f t="shared" si="11"/>
        <v>174.9999999999998</v>
      </c>
      <c r="J717" s="14">
        <v>59.223300970873801</v>
      </c>
      <c r="K717" s="11" t="s">
        <v>19</v>
      </c>
    </row>
    <row r="718" spans="1:11" x14ac:dyDescent="0.25">
      <c r="A718" s="13">
        <v>1.15634174673882E+17</v>
      </c>
      <c r="B718" s="20" t="s">
        <v>137</v>
      </c>
      <c r="C718" s="11" t="s">
        <v>21</v>
      </c>
      <c r="D718" s="13">
        <v>486669</v>
      </c>
      <c r="E718" s="13">
        <v>7117</v>
      </c>
      <c r="F718" s="11">
        <v>3</v>
      </c>
      <c r="G718" s="13">
        <v>170.873786407767</v>
      </c>
      <c r="H718" s="13">
        <v>5.1262135922330101</v>
      </c>
      <c r="I718" s="13">
        <f t="shared" si="11"/>
        <v>176</v>
      </c>
      <c r="J718" s="14">
        <v>59.223300970873801</v>
      </c>
      <c r="K718" s="11" t="s">
        <v>26</v>
      </c>
    </row>
    <row r="719" spans="1:11" x14ac:dyDescent="0.25">
      <c r="A719" s="13">
        <v>1.0587620923738499E+17</v>
      </c>
      <c r="B719" s="20" t="s">
        <v>128</v>
      </c>
      <c r="C719" s="11" t="s">
        <v>25</v>
      </c>
      <c r="D719" s="13">
        <v>272155</v>
      </c>
      <c r="E719" s="13">
        <v>7117</v>
      </c>
      <c r="F719" s="11">
        <v>3</v>
      </c>
      <c r="G719" s="13">
        <v>147.57281553397999</v>
      </c>
      <c r="H719" s="13">
        <v>4.6893203883495103</v>
      </c>
      <c r="I719" s="13">
        <f t="shared" si="11"/>
        <v>152.26213592232949</v>
      </c>
      <c r="J719" s="14">
        <v>49.514563106796103</v>
      </c>
      <c r="K719" s="11" t="s">
        <v>10</v>
      </c>
    </row>
    <row r="720" spans="1:11" x14ac:dyDescent="0.25">
      <c r="A720" s="13">
        <v>1.0636110952270701E+17</v>
      </c>
      <c r="B720" s="20" t="s">
        <v>156</v>
      </c>
      <c r="C720" s="11" t="s">
        <v>16</v>
      </c>
      <c r="D720" s="13">
        <v>847122</v>
      </c>
      <c r="E720" s="13">
        <v>7117</v>
      </c>
      <c r="F720" s="11">
        <v>3</v>
      </c>
      <c r="G720" s="13">
        <v>147.57281553397999</v>
      </c>
      <c r="H720" s="13">
        <v>4.42718446601942</v>
      </c>
      <c r="I720" s="13">
        <f t="shared" si="11"/>
        <v>151.9999999999994</v>
      </c>
      <c r="J720" s="14">
        <v>59.223300970873801</v>
      </c>
      <c r="K720" s="11" t="s">
        <v>22</v>
      </c>
    </row>
    <row r="721" spans="1:11" x14ac:dyDescent="0.25">
      <c r="A721" s="13">
        <v>1.12488636548936E+17</v>
      </c>
      <c r="B721" s="20" t="s">
        <v>154</v>
      </c>
      <c r="C721" s="11" t="s">
        <v>25</v>
      </c>
      <c r="D721" s="13">
        <v>461775</v>
      </c>
      <c r="E721" s="13">
        <v>7117</v>
      </c>
      <c r="F721" s="11">
        <v>3</v>
      </c>
      <c r="G721" s="13">
        <v>146.601941747572</v>
      </c>
      <c r="H721" s="13">
        <v>4.3980582524271803</v>
      </c>
      <c r="I721" s="13">
        <f t="shared" si="11"/>
        <v>150.99999999999918</v>
      </c>
      <c r="J721" s="14">
        <v>58.252427184466001</v>
      </c>
      <c r="K721" s="11" t="s">
        <v>26</v>
      </c>
    </row>
    <row r="722" spans="1:11" x14ac:dyDescent="0.25">
      <c r="A722" s="13">
        <v>1.0752799004035901E+17</v>
      </c>
      <c r="B722" s="20" t="s">
        <v>140</v>
      </c>
      <c r="C722" s="11" t="s">
        <v>16</v>
      </c>
      <c r="D722" s="13">
        <v>577229</v>
      </c>
      <c r="E722" s="13">
        <v>7117</v>
      </c>
      <c r="F722" s="11">
        <v>3</v>
      </c>
      <c r="G722" s="13">
        <v>162.135922330097</v>
      </c>
      <c r="H722" s="13">
        <v>4.86407766990291</v>
      </c>
      <c r="I722" s="13">
        <f t="shared" si="11"/>
        <v>166.99999999999991</v>
      </c>
      <c r="J722" s="14">
        <v>58.252427184466001</v>
      </c>
      <c r="K722" s="11" t="s">
        <v>19</v>
      </c>
    </row>
    <row r="723" spans="1:11" x14ac:dyDescent="0.25">
      <c r="A723" s="13">
        <v>1.1351935936813101E+17</v>
      </c>
      <c r="B723" s="20" t="s">
        <v>168</v>
      </c>
      <c r="C723" s="11" t="s">
        <v>52</v>
      </c>
      <c r="D723" s="13">
        <v>825301</v>
      </c>
      <c r="E723" s="13">
        <v>7117</v>
      </c>
      <c r="F723" s="11">
        <v>3</v>
      </c>
      <c r="G723" s="13">
        <v>164.07766990291199</v>
      </c>
      <c r="H723" s="13">
        <v>4.9223300970873796</v>
      </c>
      <c r="I723" s="13">
        <f t="shared" si="11"/>
        <v>168.99999999999937</v>
      </c>
      <c r="J723" s="14">
        <v>57.2815533980583</v>
      </c>
      <c r="K723" s="11" t="s">
        <v>37</v>
      </c>
    </row>
    <row r="724" spans="1:11" x14ac:dyDescent="0.25">
      <c r="A724" s="13">
        <v>1.12547668840046E+17</v>
      </c>
      <c r="B724" s="20" t="s">
        <v>154</v>
      </c>
      <c r="C724" s="11" t="s">
        <v>71</v>
      </c>
      <c r="D724" s="13">
        <v>273202</v>
      </c>
      <c r="E724" s="13">
        <v>7117</v>
      </c>
      <c r="F724" s="11">
        <v>3</v>
      </c>
      <c r="G724" s="13">
        <v>162.135922330097</v>
      </c>
      <c r="H724" s="13">
        <v>5.1262135922330101</v>
      </c>
      <c r="I724" s="13">
        <f t="shared" si="11"/>
        <v>167.26213592233</v>
      </c>
      <c r="J724" s="14">
        <v>50.485436893203897</v>
      </c>
      <c r="K724" s="11" t="s">
        <v>10</v>
      </c>
    </row>
    <row r="725" spans="1:11" x14ac:dyDescent="0.25">
      <c r="A725" s="13">
        <v>1.11510288125288E+17</v>
      </c>
      <c r="B725" s="20" t="s">
        <v>145</v>
      </c>
      <c r="C725" s="11" t="s">
        <v>16</v>
      </c>
      <c r="D725" s="13">
        <v>770042</v>
      </c>
      <c r="E725" s="13">
        <v>7117</v>
      </c>
      <c r="F725" s="11">
        <v>3</v>
      </c>
      <c r="G725" s="13">
        <v>169.90291262135901</v>
      </c>
      <c r="H725" s="13">
        <v>5.0970873786407802</v>
      </c>
      <c r="I725" s="13">
        <f t="shared" si="11"/>
        <v>174.9999999999998</v>
      </c>
      <c r="J725" s="14">
        <v>59.223300970873801</v>
      </c>
      <c r="K725" s="11" t="s">
        <v>54</v>
      </c>
    </row>
    <row r="726" spans="1:11" x14ac:dyDescent="0.25">
      <c r="A726" s="13">
        <v>1.0661070605244E+17</v>
      </c>
      <c r="B726" s="20" t="s">
        <v>163</v>
      </c>
      <c r="C726" s="11" t="s">
        <v>16</v>
      </c>
      <c r="D726" s="13">
        <v>121102</v>
      </c>
      <c r="E726" s="13">
        <v>7117</v>
      </c>
      <c r="F726" s="11">
        <v>3</v>
      </c>
      <c r="G726" s="13">
        <v>152.42718446601901</v>
      </c>
      <c r="H726" s="13">
        <v>5.2427184466019403</v>
      </c>
      <c r="I726" s="13">
        <f t="shared" si="11"/>
        <v>157.66990291262096</v>
      </c>
      <c r="J726" s="14">
        <v>35.922330097087404</v>
      </c>
      <c r="K726" s="11" t="s">
        <v>63</v>
      </c>
    </row>
    <row r="727" spans="1:11" x14ac:dyDescent="0.25">
      <c r="A727" s="13">
        <v>1.1495047399554899E+17</v>
      </c>
      <c r="B727" s="20" t="s">
        <v>148</v>
      </c>
      <c r="C727" s="11" t="s">
        <v>16</v>
      </c>
      <c r="D727" s="13">
        <v>497111</v>
      </c>
      <c r="E727" s="13">
        <v>7117</v>
      </c>
      <c r="F727" s="11">
        <v>3</v>
      </c>
      <c r="G727" s="13">
        <v>154.368932038834</v>
      </c>
      <c r="H727" s="13">
        <v>4.6310679611650496</v>
      </c>
      <c r="I727" s="13">
        <f t="shared" si="11"/>
        <v>158.99999999999906</v>
      </c>
      <c r="J727" s="14">
        <v>56.3106796116505</v>
      </c>
      <c r="K727" s="11" t="s">
        <v>23</v>
      </c>
    </row>
    <row r="728" spans="1:11" x14ac:dyDescent="0.25">
      <c r="A728" s="13">
        <v>1.1062538472642099E+17</v>
      </c>
      <c r="B728" s="20" t="s">
        <v>143</v>
      </c>
      <c r="C728" s="11" t="s">
        <v>16</v>
      </c>
      <c r="D728" s="13">
        <v>222161</v>
      </c>
      <c r="E728" s="13">
        <v>7117</v>
      </c>
      <c r="F728" s="11">
        <v>3</v>
      </c>
      <c r="G728" s="13">
        <v>131.06796116504799</v>
      </c>
      <c r="H728" s="13">
        <v>4.6310679611650496</v>
      </c>
      <c r="I728" s="13">
        <f t="shared" si="11"/>
        <v>135.69902912621305</v>
      </c>
      <c r="J728" s="14">
        <v>33.980582524271803</v>
      </c>
      <c r="K728" s="11" t="s">
        <v>10</v>
      </c>
    </row>
    <row r="729" spans="1:11" x14ac:dyDescent="0.25">
      <c r="A729" s="13">
        <v>1.0711555596766E+17</v>
      </c>
      <c r="B729" s="20" t="s">
        <v>150</v>
      </c>
      <c r="C729" s="11" t="s">
        <v>25</v>
      </c>
      <c r="D729" s="13">
        <v>621716</v>
      </c>
      <c r="E729" s="13">
        <v>7117</v>
      </c>
      <c r="F729" s="11">
        <v>3</v>
      </c>
      <c r="G729" s="13">
        <v>119.417475728155</v>
      </c>
      <c r="H729" s="13">
        <v>4.13592233009709</v>
      </c>
      <c r="I729" s="13">
        <f t="shared" si="11"/>
        <v>123.55339805825209</v>
      </c>
      <c r="J729" s="14">
        <v>40.776699029126199</v>
      </c>
      <c r="K729" s="11" t="s">
        <v>27</v>
      </c>
    </row>
    <row r="730" spans="1:11" x14ac:dyDescent="0.25">
      <c r="A730" s="13">
        <v>1.0708393562396701E+17</v>
      </c>
      <c r="B730" s="20" t="s">
        <v>150</v>
      </c>
      <c r="C730" s="11" t="s">
        <v>52</v>
      </c>
      <c r="D730" s="13">
        <v>815353</v>
      </c>
      <c r="E730" s="13">
        <v>7117</v>
      </c>
      <c r="F730" s="11">
        <v>3</v>
      </c>
      <c r="G730" s="13">
        <v>142.718446601941</v>
      </c>
      <c r="H730" s="13">
        <v>4.8058252427184502</v>
      </c>
      <c r="I730" s="13">
        <f t="shared" si="11"/>
        <v>147.52427184465944</v>
      </c>
      <c r="J730" s="14">
        <v>38.834951456310698</v>
      </c>
      <c r="K730" s="11" t="s">
        <v>37</v>
      </c>
    </row>
    <row r="731" spans="1:11" x14ac:dyDescent="0.25">
      <c r="A731" s="13">
        <v>1.0732656183823501E+17</v>
      </c>
      <c r="B731" s="20" t="s">
        <v>140</v>
      </c>
      <c r="C731" s="11" t="s">
        <v>25</v>
      </c>
      <c r="D731" s="13">
        <v>276123</v>
      </c>
      <c r="E731" s="13">
        <v>7117</v>
      </c>
      <c r="F731" s="11">
        <v>3</v>
      </c>
      <c r="G731" s="13">
        <v>153.39805825242701</v>
      </c>
      <c r="H731" s="13">
        <v>4.86407766990291</v>
      </c>
      <c r="I731" s="13">
        <f t="shared" si="11"/>
        <v>158.26213592232992</v>
      </c>
      <c r="J731" s="14">
        <v>49.514563106796103</v>
      </c>
      <c r="K731" s="11" t="s">
        <v>157</v>
      </c>
    </row>
    <row r="732" spans="1:11" x14ac:dyDescent="0.25">
      <c r="A732" s="13">
        <v>1.1414396473869901E+17</v>
      </c>
      <c r="B732" s="20" t="s">
        <v>138</v>
      </c>
      <c r="C732" s="11" t="s">
        <v>21</v>
      </c>
      <c r="D732" s="13">
        <v>276139</v>
      </c>
      <c r="E732" s="13">
        <v>7117</v>
      </c>
      <c r="F732" s="11">
        <v>3</v>
      </c>
      <c r="G732" s="13">
        <v>185.43689320388299</v>
      </c>
      <c r="H732" s="13">
        <v>5.8252427184466002</v>
      </c>
      <c r="I732" s="13">
        <f t="shared" si="11"/>
        <v>191.26213592232958</v>
      </c>
      <c r="J732" s="14">
        <v>50.485436893203897</v>
      </c>
      <c r="K732" s="11" t="s">
        <v>10</v>
      </c>
    </row>
    <row r="733" spans="1:11" x14ac:dyDescent="0.25">
      <c r="A733" s="13">
        <v>1.13886516388066E+17</v>
      </c>
      <c r="B733" s="20" t="s">
        <v>147</v>
      </c>
      <c r="C733" s="11" t="s">
        <v>16</v>
      </c>
      <c r="D733" s="13">
        <v>561203</v>
      </c>
      <c r="E733" s="13">
        <v>7117</v>
      </c>
      <c r="F733" s="11">
        <v>3</v>
      </c>
      <c r="G733" s="13">
        <v>167.96116504854299</v>
      </c>
      <c r="H733" s="13">
        <v>5.1844660194174796</v>
      </c>
      <c r="I733" s="13">
        <f t="shared" si="11"/>
        <v>173.14563106796047</v>
      </c>
      <c r="J733" s="14">
        <v>51.456310679611697</v>
      </c>
      <c r="K733" s="11" t="s">
        <v>19</v>
      </c>
    </row>
    <row r="734" spans="1:11" x14ac:dyDescent="0.25">
      <c r="A734" s="13">
        <v>1.12548308959166E+17</v>
      </c>
      <c r="B734" s="20" t="s">
        <v>154</v>
      </c>
      <c r="C734" s="11" t="s">
        <v>25</v>
      </c>
      <c r="D734" s="13">
        <v>231221</v>
      </c>
      <c r="E734" s="13">
        <v>7117</v>
      </c>
      <c r="F734" s="11">
        <v>3</v>
      </c>
      <c r="G734" s="13">
        <v>161.16504854368901</v>
      </c>
      <c r="H734" s="13">
        <v>5.0970873786407802</v>
      </c>
      <c r="I734" s="13">
        <f t="shared" si="11"/>
        <v>166.2621359223298</v>
      </c>
      <c r="J734" s="14">
        <v>50.485436893203897</v>
      </c>
      <c r="K734" s="11" t="s">
        <v>10</v>
      </c>
    </row>
    <row r="735" spans="1:11" x14ac:dyDescent="0.25">
      <c r="A735" s="13">
        <v>1.1750366647137101E+17</v>
      </c>
      <c r="B735" s="20" t="s">
        <v>170</v>
      </c>
      <c r="C735" s="11" t="s">
        <v>21</v>
      </c>
      <c r="D735" s="13">
        <v>562159</v>
      </c>
      <c r="E735" s="13">
        <v>7117</v>
      </c>
      <c r="F735" s="11">
        <v>3</v>
      </c>
      <c r="G735" s="13">
        <v>150.485436893203</v>
      </c>
      <c r="H735" s="13">
        <v>4.5145631067961203</v>
      </c>
      <c r="I735" s="13">
        <f t="shared" si="11"/>
        <v>154.99999999999912</v>
      </c>
      <c r="J735" s="14">
        <v>57.2815533980583</v>
      </c>
      <c r="K735" s="11" t="s">
        <v>19</v>
      </c>
    </row>
    <row r="736" spans="1:11" x14ac:dyDescent="0.25">
      <c r="A736" s="13">
        <v>9.0476957670185904E+16</v>
      </c>
      <c r="B736" s="20" t="s">
        <v>84</v>
      </c>
      <c r="C736" s="11" t="s">
        <v>25</v>
      </c>
      <c r="D736" s="13">
        <v>208013</v>
      </c>
      <c r="E736" s="13">
        <v>7117</v>
      </c>
      <c r="F736" s="11">
        <v>3</v>
      </c>
      <c r="G736" s="13">
        <v>0</v>
      </c>
      <c r="H736" s="13">
        <v>0</v>
      </c>
      <c r="I736" s="13">
        <f t="shared" si="11"/>
        <v>0</v>
      </c>
      <c r="J736" s="14">
        <v>-24.271844660194201</v>
      </c>
      <c r="K736" s="11" t="s">
        <v>10</v>
      </c>
    </row>
    <row r="737" spans="1:11" x14ac:dyDescent="0.25">
      <c r="A737" s="13">
        <v>1.2149125974653699E+17</v>
      </c>
      <c r="B737" s="20" t="s">
        <v>171</v>
      </c>
      <c r="C737" s="11" t="s">
        <v>16</v>
      </c>
      <c r="D737" s="13">
        <v>626114</v>
      </c>
      <c r="E737" s="13">
        <v>7117</v>
      </c>
      <c r="F737" s="11">
        <v>3</v>
      </c>
      <c r="G737" s="13">
        <v>172.81553398058199</v>
      </c>
      <c r="H737" s="13">
        <v>5.1844660194174796</v>
      </c>
      <c r="I737" s="13">
        <f t="shared" si="11"/>
        <v>177.99999999999946</v>
      </c>
      <c r="J737" s="14">
        <v>56.3106796116505</v>
      </c>
      <c r="K737" s="11" t="s">
        <v>27</v>
      </c>
    </row>
    <row r="738" spans="1:11" x14ac:dyDescent="0.25">
      <c r="A738" s="13">
        <v>1.2149111308556701E+17</v>
      </c>
      <c r="B738" s="20" t="s">
        <v>171</v>
      </c>
      <c r="C738" s="11" t="s">
        <v>16</v>
      </c>
      <c r="D738" s="13">
        <v>626114</v>
      </c>
      <c r="E738" s="13">
        <v>7117</v>
      </c>
      <c r="F738" s="11">
        <v>3</v>
      </c>
      <c r="G738" s="13">
        <v>172.81553398058199</v>
      </c>
      <c r="H738" s="13">
        <v>5.1844660194174796</v>
      </c>
      <c r="I738" s="13">
        <f t="shared" si="11"/>
        <v>177.99999999999946</v>
      </c>
      <c r="J738" s="14">
        <v>56.3106796116505</v>
      </c>
      <c r="K738" s="11" t="s">
        <v>27</v>
      </c>
    </row>
    <row r="739" spans="1:11" x14ac:dyDescent="0.25">
      <c r="A739" s="13">
        <v>1.2264541440317901E+17</v>
      </c>
      <c r="B739" s="20" t="s">
        <v>172</v>
      </c>
      <c r="C739" s="11" t="s">
        <v>16</v>
      </c>
      <c r="D739" s="13">
        <v>486001</v>
      </c>
      <c r="E739" s="13">
        <v>7117</v>
      </c>
      <c r="F739" s="11">
        <v>3</v>
      </c>
      <c r="G739" s="13">
        <v>166.01941747572801</v>
      </c>
      <c r="H739" s="13">
        <v>5.0970873786407802</v>
      </c>
      <c r="I739" s="13">
        <f t="shared" si="11"/>
        <v>171.1165048543688</v>
      </c>
      <c r="J739" s="14">
        <v>55.339805825242699</v>
      </c>
      <c r="K739" s="11" t="s">
        <v>26</v>
      </c>
    </row>
    <row r="740" spans="1:11" x14ac:dyDescent="0.25">
      <c r="A740" s="13">
        <v>1.2144403710607E+17</v>
      </c>
      <c r="B740" s="20" t="s">
        <v>171</v>
      </c>
      <c r="C740" s="11" t="s">
        <v>16</v>
      </c>
      <c r="D740" s="13">
        <v>845306</v>
      </c>
      <c r="E740" s="13">
        <v>7117</v>
      </c>
      <c r="F740" s="11">
        <v>3</v>
      </c>
      <c r="G740" s="13">
        <v>136.893203883495</v>
      </c>
      <c r="H740" s="13">
        <v>4.6310679611650496</v>
      </c>
      <c r="I740" s="13">
        <f t="shared" si="11"/>
        <v>141.52427184466006</v>
      </c>
      <c r="J740" s="14">
        <v>38.834951456310698</v>
      </c>
      <c r="K740" s="11" t="s">
        <v>22</v>
      </c>
    </row>
    <row r="741" spans="1:11" x14ac:dyDescent="0.25">
      <c r="A741" s="13">
        <v>1.1974721841986301E+17</v>
      </c>
      <c r="B741" s="20" t="s">
        <v>174</v>
      </c>
      <c r="C741" s="11" t="s">
        <v>16</v>
      </c>
      <c r="D741" s="13">
        <v>456010</v>
      </c>
      <c r="E741" s="13">
        <v>7117</v>
      </c>
      <c r="F741" s="11">
        <v>3</v>
      </c>
      <c r="G741" s="13">
        <v>155.339805825242</v>
      </c>
      <c r="H741" s="13">
        <v>5.1844660194174796</v>
      </c>
      <c r="I741" s="13">
        <f t="shared" si="11"/>
        <v>160.52427184465947</v>
      </c>
      <c r="J741" s="14">
        <v>38.834951456310698</v>
      </c>
      <c r="K741" s="11" t="s">
        <v>26</v>
      </c>
    </row>
    <row r="742" spans="1:11" x14ac:dyDescent="0.25">
      <c r="A742" s="13">
        <v>1.2263308124818099E+17</v>
      </c>
      <c r="B742" s="20" t="s">
        <v>172</v>
      </c>
      <c r="C742" s="11" t="s">
        <v>52</v>
      </c>
      <c r="D742" s="13">
        <v>284003</v>
      </c>
      <c r="E742" s="13">
        <v>7117</v>
      </c>
      <c r="F742" s="11">
        <v>3</v>
      </c>
      <c r="G742" s="13">
        <v>136.893203883495</v>
      </c>
      <c r="H742" s="13">
        <v>4.8058252427184502</v>
      </c>
      <c r="I742" s="13">
        <f t="shared" si="11"/>
        <v>141.69902912621345</v>
      </c>
      <c r="J742" s="14">
        <v>33.980582524271803</v>
      </c>
      <c r="K742" s="11" t="s">
        <v>10</v>
      </c>
    </row>
    <row r="743" spans="1:11" x14ac:dyDescent="0.25">
      <c r="A743" s="13">
        <v>1.2277699232306301E+17</v>
      </c>
      <c r="B743" s="20" t="s">
        <v>173</v>
      </c>
      <c r="C743" s="11" t="s">
        <v>16</v>
      </c>
      <c r="D743" s="13">
        <v>229301</v>
      </c>
      <c r="E743" s="13">
        <v>7117</v>
      </c>
      <c r="F743" s="11">
        <v>3</v>
      </c>
      <c r="G743" s="13">
        <v>131.06796116504799</v>
      </c>
      <c r="H743" s="13">
        <v>4.6310679611650496</v>
      </c>
      <c r="I743" s="13">
        <f t="shared" si="11"/>
        <v>135.69902912621305</v>
      </c>
      <c r="J743" s="14">
        <v>33.009708737864102</v>
      </c>
      <c r="K743" s="11" t="s">
        <v>10</v>
      </c>
    </row>
    <row r="744" spans="1:11" x14ac:dyDescent="0.25">
      <c r="A744" s="13">
        <v>1.2012036324291E+17</v>
      </c>
      <c r="B744" s="20" t="s">
        <v>175</v>
      </c>
      <c r="C744" s="11" t="s">
        <v>25</v>
      </c>
      <c r="D744" s="13">
        <v>221003</v>
      </c>
      <c r="E744" s="13">
        <v>7117</v>
      </c>
      <c r="F744" s="11">
        <v>3</v>
      </c>
      <c r="G744" s="13">
        <v>151.45631067961099</v>
      </c>
      <c r="H744" s="13">
        <v>4.8058252427184502</v>
      </c>
      <c r="I744" s="13">
        <f t="shared" si="11"/>
        <v>156.26213592232943</v>
      </c>
      <c r="J744" s="14">
        <v>48.543689320388303</v>
      </c>
      <c r="K744" s="11" t="s">
        <v>10</v>
      </c>
    </row>
    <row r="745" spans="1:11" x14ac:dyDescent="0.25">
      <c r="A745" s="13">
        <v>8.9236241979675904E+16</v>
      </c>
      <c r="B745" s="20" t="s">
        <v>78</v>
      </c>
      <c r="C745" s="11" t="s">
        <v>25</v>
      </c>
      <c r="D745" s="13">
        <v>845401</v>
      </c>
      <c r="E745" s="13">
        <v>7117</v>
      </c>
      <c r="F745" s="11">
        <v>3</v>
      </c>
      <c r="G745" s="13">
        <v>0</v>
      </c>
      <c r="H745" s="13">
        <v>0</v>
      </c>
      <c r="I745" s="13">
        <f t="shared" si="11"/>
        <v>0</v>
      </c>
      <c r="J745" s="14">
        <v>-1.9417475728155</v>
      </c>
      <c r="K745" s="11" t="s">
        <v>22</v>
      </c>
    </row>
    <row r="746" spans="1:11" x14ac:dyDescent="0.25">
      <c r="A746" s="13">
        <v>1.2275586212013299E+17</v>
      </c>
      <c r="B746" s="20" t="s">
        <v>172</v>
      </c>
      <c r="C746" s="11" t="s">
        <v>16</v>
      </c>
      <c r="D746" s="13">
        <v>285001</v>
      </c>
      <c r="E746" s="13">
        <v>7117</v>
      </c>
      <c r="F746" s="11">
        <v>3</v>
      </c>
      <c r="G746" s="13">
        <v>145.631067961165</v>
      </c>
      <c r="H746" s="13">
        <v>4.6310679611650496</v>
      </c>
      <c r="I746" s="13">
        <f t="shared" si="11"/>
        <v>150.26213592233006</v>
      </c>
      <c r="J746" s="14">
        <v>47.572815533980602</v>
      </c>
      <c r="K746" s="11" t="s">
        <v>10</v>
      </c>
    </row>
    <row r="747" spans="1:11" x14ac:dyDescent="0.25">
      <c r="A747" s="13">
        <v>1.1748570416627299E+17</v>
      </c>
      <c r="B747" s="20" t="s">
        <v>170</v>
      </c>
      <c r="C747" s="11" t="s">
        <v>21</v>
      </c>
      <c r="D747" s="13">
        <v>176051</v>
      </c>
      <c r="E747" s="13">
        <v>7117</v>
      </c>
      <c r="F747" s="11">
        <v>3</v>
      </c>
      <c r="G747" s="13">
        <v>152.42718446601901</v>
      </c>
      <c r="H747" s="13">
        <v>4.8349514563106801</v>
      </c>
      <c r="I747" s="13">
        <f t="shared" si="11"/>
        <v>157.26213592232969</v>
      </c>
      <c r="J747" s="14">
        <v>47.572815533980602</v>
      </c>
      <c r="K747" s="11" t="s">
        <v>44</v>
      </c>
    </row>
    <row r="748" spans="1:11" x14ac:dyDescent="0.25">
      <c r="A748" s="13">
        <v>1.19003712592178E+17</v>
      </c>
      <c r="B748" s="20" t="s">
        <v>177</v>
      </c>
      <c r="C748" s="11" t="s">
        <v>16</v>
      </c>
      <c r="D748" s="13">
        <v>121007</v>
      </c>
      <c r="E748" s="13">
        <v>7117</v>
      </c>
      <c r="F748" s="11">
        <v>3</v>
      </c>
      <c r="G748" s="13">
        <v>164.07766990291199</v>
      </c>
      <c r="H748" s="13">
        <v>5.1844660194174796</v>
      </c>
      <c r="I748" s="13">
        <f t="shared" si="11"/>
        <v>169.26213592232946</v>
      </c>
      <c r="J748" s="14">
        <v>47.572815533980602</v>
      </c>
      <c r="K748" s="11" t="s">
        <v>63</v>
      </c>
    </row>
    <row r="749" spans="1:11" x14ac:dyDescent="0.25">
      <c r="A749" s="13">
        <v>1.2596792550834E+17</v>
      </c>
      <c r="B749" s="20" t="s">
        <v>179</v>
      </c>
      <c r="C749" s="11" t="s">
        <v>9</v>
      </c>
      <c r="D749" s="13">
        <v>272162</v>
      </c>
      <c r="E749" s="13">
        <v>7117</v>
      </c>
      <c r="F749" s="11">
        <v>3</v>
      </c>
      <c r="G749" s="13">
        <v>168.93203883495099</v>
      </c>
      <c r="H749" s="13">
        <v>5.3300970873786397</v>
      </c>
      <c r="I749" s="13">
        <f t="shared" si="11"/>
        <v>174.26213592232963</v>
      </c>
      <c r="J749" s="14">
        <v>47.572815533980602</v>
      </c>
      <c r="K749" s="11" t="s">
        <v>10</v>
      </c>
    </row>
    <row r="750" spans="1:11" x14ac:dyDescent="0.25">
      <c r="A750" s="13">
        <v>1.21948045668676E+17</v>
      </c>
      <c r="B750" s="20" t="s">
        <v>181</v>
      </c>
      <c r="C750" s="11" t="s">
        <v>16</v>
      </c>
      <c r="D750" s="13">
        <v>122015</v>
      </c>
      <c r="E750" s="13">
        <v>7117</v>
      </c>
      <c r="F750" s="11">
        <v>3</v>
      </c>
      <c r="G750" s="13">
        <v>147.57281553397999</v>
      </c>
      <c r="H750" s="13">
        <v>5.0970873786407802</v>
      </c>
      <c r="I750" s="13">
        <f t="shared" si="11"/>
        <v>152.66990291262078</v>
      </c>
      <c r="J750" s="14">
        <v>36.893203883495197</v>
      </c>
      <c r="K750" s="11" t="s">
        <v>63</v>
      </c>
    </row>
    <row r="751" spans="1:11" x14ac:dyDescent="0.25">
      <c r="A751" s="13">
        <v>1.1744831355655299E+17</v>
      </c>
      <c r="B751" s="20" t="s">
        <v>170</v>
      </c>
      <c r="C751" s="11" t="s">
        <v>21</v>
      </c>
      <c r="D751" s="13">
        <v>152128</v>
      </c>
      <c r="E751" s="13">
        <v>7117</v>
      </c>
      <c r="F751" s="11">
        <v>3</v>
      </c>
      <c r="G751" s="13">
        <v>137.864077669902</v>
      </c>
      <c r="H751" s="13">
        <v>4.3398058252427196</v>
      </c>
      <c r="I751" s="13">
        <f t="shared" si="11"/>
        <v>142.20388349514471</v>
      </c>
      <c r="J751" s="14">
        <v>49.514563106796103</v>
      </c>
      <c r="K751" s="11" t="s">
        <v>17</v>
      </c>
    </row>
    <row r="752" spans="1:11" x14ac:dyDescent="0.25">
      <c r="A752" s="13">
        <v>1.26291729287772E+17</v>
      </c>
      <c r="B752" s="20" t="s">
        <v>180</v>
      </c>
      <c r="C752" s="11" t="s">
        <v>9</v>
      </c>
      <c r="D752" s="13">
        <v>445001</v>
      </c>
      <c r="E752" s="13">
        <v>7117</v>
      </c>
      <c r="F752" s="11">
        <v>3</v>
      </c>
      <c r="G752" s="13">
        <v>156.31067961164999</v>
      </c>
      <c r="H752" s="13">
        <v>4.6893203883495103</v>
      </c>
      <c r="I752" s="13">
        <f t="shared" si="11"/>
        <v>160.99999999999949</v>
      </c>
      <c r="J752" s="14">
        <v>59.223300970873801</v>
      </c>
      <c r="K752" s="11" t="s">
        <v>41</v>
      </c>
    </row>
    <row r="753" spans="1:11" x14ac:dyDescent="0.25">
      <c r="A753" s="13">
        <v>1.2145541757336301E+17</v>
      </c>
      <c r="B753" s="20" t="s">
        <v>171</v>
      </c>
      <c r="C753" s="11" t="s">
        <v>21</v>
      </c>
      <c r="D753" s="13">
        <v>284404</v>
      </c>
      <c r="E753" s="13">
        <v>7117</v>
      </c>
      <c r="F753" s="11">
        <v>3</v>
      </c>
      <c r="G753" s="13">
        <v>138.83495145630999</v>
      </c>
      <c r="H753" s="13">
        <v>4.42718446601942</v>
      </c>
      <c r="I753" s="13">
        <f t="shared" si="11"/>
        <v>143.26213592232941</v>
      </c>
      <c r="J753" s="14">
        <v>50.485436893203897</v>
      </c>
      <c r="K753" s="11" t="s">
        <v>10</v>
      </c>
    </row>
    <row r="754" spans="1:11" x14ac:dyDescent="0.25">
      <c r="A754" s="13">
        <v>1.1748361914839501E+17</v>
      </c>
      <c r="B754" s="20" t="s">
        <v>170</v>
      </c>
      <c r="C754" s="11" t="s">
        <v>16</v>
      </c>
      <c r="D754" s="13">
        <v>333032</v>
      </c>
      <c r="E754" s="13">
        <v>7117</v>
      </c>
      <c r="F754" s="11">
        <v>3</v>
      </c>
      <c r="G754" s="13">
        <v>154.368932038834</v>
      </c>
      <c r="H754" s="13">
        <v>4.8349514563106801</v>
      </c>
      <c r="I754" s="13">
        <f t="shared" si="11"/>
        <v>159.20388349514468</v>
      </c>
      <c r="J754" s="14">
        <v>49.514563106796103</v>
      </c>
      <c r="K754" s="11" t="s">
        <v>46</v>
      </c>
    </row>
    <row r="755" spans="1:11" x14ac:dyDescent="0.25">
      <c r="A755" s="13">
        <v>1.1760819876412899E+17</v>
      </c>
      <c r="B755" s="20" t="s">
        <v>170</v>
      </c>
      <c r="C755" s="11" t="s">
        <v>16</v>
      </c>
      <c r="D755" s="13">
        <v>735222</v>
      </c>
      <c r="E755" s="13">
        <v>7117</v>
      </c>
      <c r="F755" s="11">
        <v>3</v>
      </c>
      <c r="G755" s="13">
        <v>144.66019417475701</v>
      </c>
      <c r="H755" s="13">
        <v>4.3398058252427196</v>
      </c>
      <c r="I755" s="13">
        <f t="shared" si="11"/>
        <v>148.99999999999972</v>
      </c>
      <c r="J755" s="14">
        <v>56.3106796116505</v>
      </c>
      <c r="K755" s="11" t="s">
        <v>14</v>
      </c>
    </row>
    <row r="756" spans="1:11" x14ac:dyDescent="0.25">
      <c r="A756" s="13">
        <v>8.88911766325932E+16</v>
      </c>
      <c r="B756" s="20" t="s">
        <v>70</v>
      </c>
      <c r="C756" s="11" t="s">
        <v>25</v>
      </c>
      <c r="D756" s="13">
        <v>143507</v>
      </c>
      <c r="E756" s="13">
        <v>340600</v>
      </c>
      <c r="F756" s="11">
        <v>12</v>
      </c>
      <c r="G756" s="13">
        <v>0</v>
      </c>
      <c r="H756" s="13">
        <v>0</v>
      </c>
      <c r="I756" s="13">
        <f t="shared" si="11"/>
        <v>0</v>
      </c>
      <c r="J756" s="14">
        <v>-8.0357142857143007</v>
      </c>
      <c r="K756" s="11" t="s">
        <v>17</v>
      </c>
    </row>
    <row r="757" spans="1:11" x14ac:dyDescent="0.25">
      <c r="A757" s="13">
        <v>1.2552076466034499E+17</v>
      </c>
      <c r="B757" s="20" t="s">
        <v>185</v>
      </c>
      <c r="C757" s="11" t="s">
        <v>9</v>
      </c>
      <c r="D757" s="13">
        <v>133302</v>
      </c>
      <c r="E757" s="13">
        <v>7117</v>
      </c>
      <c r="F757" s="11">
        <v>3</v>
      </c>
      <c r="G757" s="13">
        <v>84.466019417475707</v>
      </c>
      <c r="H757" s="13">
        <v>3.1747572815534002</v>
      </c>
      <c r="I757" s="13">
        <f t="shared" si="11"/>
        <v>87.640776699029104</v>
      </c>
      <c r="J757" s="14">
        <v>36.893203883495197</v>
      </c>
      <c r="K757" s="11" t="s">
        <v>63</v>
      </c>
    </row>
    <row r="758" spans="1:11" x14ac:dyDescent="0.25">
      <c r="A758" s="13">
        <v>1.2086863101286301E+17</v>
      </c>
      <c r="B758" s="20" t="s">
        <v>186</v>
      </c>
      <c r="C758" s="11" t="s">
        <v>16</v>
      </c>
      <c r="D758" s="13">
        <v>222148</v>
      </c>
      <c r="E758" s="13">
        <v>7117</v>
      </c>
      <c r="F758" s="11">
        <v>3</v>
      </c>
      <c r="G758" s="13">
        <v>161.16504854368901</v>
      </c>
      <c r="H758" s="13">
        <v>5.0970873786407802</v>
      </c>
      <c r="I758" s="13">
        <f t="shared" si="11"/>
        <v>166.2621359223298</v>
      </c>
      <c r="J758" s="14">
        <v>50.485436893203897</v>
      </c>
      <c r="K758" s="11" t="s">
        <v>10</v>
      </c>
    </row>
    <row r="759" spans="1:11" x14ac:dyDescent="0.25">
      <c r="A759" s="13">
        <v>1.193790838048E+17</v>
      </c>
      <c r="B759" s="20" t="s">
        <v>178</v>
      </c>
      <c r="C759" s="11" t="s">
        <v>16</v>
      </c>
      <c r="D759" s="13">
        <v>533229</v>
      </c>
      <c r="E759" s="13">
        <v>7117</v>
      </c>
      <c r="F759" s="11">
        <v>3</v>
      </c>
      <c r="G759" s="13">
        <v>170.873786407767</v>
      </c>
      <c r="H759" s="13">
        <v>5.1262135922330101</v>
      </c>
      <c r="I759" s="13">
        <f t="shared" si="11"/>
        <v>176</v>
      </c>
      <c r="J759" s="14">
        <v>54.368932038834998</v>
      </c>
      <c r="K759" s="11" t="s">
        <v>39</v>
      </c>
    </row>
    <row r="760" spans="1:11" x14ac:dyDescent="0.25">
      <c r="A760" s="13">
        <v>1.22733284428992E+17</v>
      </c>
      <c r="B760" s="20" t="s">
        <v>172</v>
      </c>
      <c r="C760" s="11" t="s">
        <v>16</v>
      </c>
      <c r="D760" s="13">
        <v>342603</v>
      </c>
      <c r="E760" s="13">
        <v>7117</v>
      </c>
      <c r="F760" s="11">
        <v>3</v>
      </c>
      <c r="G760" s="13">
        <v>172.81553398058199</v>
      </c>
      <c r="H760" s="13">
        <v>5.1844660194174796</v>
      </c>
      <c r="I760" s="13">
        <f t="shared" si="11"/>
        <v>177.99999999999946</v>
      </c>
      <c r="J760" s="14">
        <v>56.3106796116505</v>
      </c>
      <c r="K760" s="11" t="s">
        <v>46</v>
      </c>
    </row>
    <row r="761" spans="1:11" x14ac:dyDescent="0.25">
      <c r="A761" s="13">
        <v>8.3364523666969904E+16</v>
      </c>
      <c r="B761" s="20" t="s">
        <v>34</v>
      </c>
      <c r="C761" s="11" t="s">
        <v>33</v>
      </c>
      <c r="D761" s="13">
        <v>123401</v>
      </c>
      <c r="E761" s="13">
        <v>7117</v>
      </c>
      <c r="F761" s="11">
        <v>3</v>
      </c>
      <c r="G761" s="13">
        <v>0</v>
      </c>
      <c r="H761" s="13">
        <v>0</v>
      </c>
      <c r="I761" s="13">
        <f t="shared" si="11"/>
        <v>0</v>
      </c>
      <c r="J761" s="14">
        <v>-6.7961165048543997</v>
      </c>
      <c r="K761" s="11" t="s">
        <v>63</v>
      </c>
    </row>
    <row r="762" spans="1:11" x14ac:dyDescent="0.25">
      <c r="A762" s="13">
        <v>1.17469107401682E+17</v>
      </c>
      <c r="B762" s="20" t="s">
        <v>170</v>
      </c>
      <c r="C762" s="11" t="s">
        <v>16</v>
      </c>
      <c r="D762" s="13">
        <v>821108</v>
      </c>
      <c r="E762" s="13">
        <v>7117</v>
      </c>
      <c r="F762" s="11">
        <v>3</v>
      </c>
      <c r="G762" s="13">
        <v>161.16504854368901</v>
      </c>
      <c r="H762" s="13">
        <v>4.8349514563106801</v>
      </c>
      <c r="I762" s="13">
        <f t="shared" si="11"/>
        <v>165.99999999999969</v>
      </c>
      <c r="J762" s="14">
        <v>56.3106796116505</v>
      </c>
      <c r="K762" s="11" t="s">
        <v>22</v>
      </c>
    </row>
    <row r="763" spans="1:11" x14ac:dyDescent="0.25">
      <c r="A763" s="13">
        <v>1.2360885255303699E+17</v>
      </c>
      <c r="B763" s="20" t="s">
        <v>188</v>
      </c>
      <c r="C763" s="11" t="s">
        <v>25</v>
      </c>
      <c r="D763" s="13">
        <v>410503</v>
      </c>
      <c r="E763" s="13">
        <v>7117</v>
      </c>
      <c r="F763" s="11">
        <v>3</v>
      </c>
      <c r="G763" s="13">
        <v>209.70873786407699</v>
      </c>
      <c r="H763" s="13">
        <v>6.29126213592233</v>
      </c>
      <c r="I763" s="13">
        <f t="shared" si="11"/>
        <v>215.99999999999932</v>
      </c>
      <c r="J763" s="14">
        <v>59.223300970873801</v>
      </c>
      <c r="K763" s="11" t="s">
        <v>41</v>
      </c>
    </row>
    <row r="764" spans="1:11" x14ac:dyDescent="0.25">
      <c r="A764" s="13">
        <v>1.1974749539706099E+17</v>
      </c>
      <c r="B764" s="20" t="s">
        <v>174</v>
      </c>
      <c r="C764" s="11" t="s">
        <v>16</v>
      </c>
      <c r="D764" s="13">
        <v>110044</v>
      </c>
      <c r="E764" s="13">
        <v>7117</v>
      </c>
      <c r="F764" s="11">
        <v>3</v>
      </c>
      <c r="G764" s="13">
        <v>151.45631067961099</v>
      </c>
      <c r="H764" s="13">
        <v>4.8058252427184502</v>
      </c>
      <c r="I764" s="13">
        <f t="shared" si="11"/>
        <v>156.26213592232943</v>
      </c>
      <c r="J764" s="14">
        <v>48.543689320388303</v>
      </c>
      <c r="K764" s="11" t="s">
        <v>28</v>
      </c>
    </row>
    <row r="765" spans="1:11" x14ac:dyDescent="0.25">
      <c r="A765" s="13">
        <v>8.05450147526536E+16</v>
      </c>
      <c r="B765" s="20" t="s">
        <v>51</v>
      </c>
      <c r="C765" s="11" t="s">
        <v>25</v>
      </c>
      <c r="D765" s="13">
        <v>141016</v>
      </c>
      <c r="E765" s="13">
        <v>7117</v>
      </c>
      <c r="F765" s="11">
        <v>3</v>
      </c>
      <c r="G765" s="13">
        <v>0</v>
      </c>
      <c r="H765" s="13">
        <v>0</v>
      </c>
      <c r="I765" s="13">
        <f t="shared" si="11"/>
        <v>0</v>
      </c>
      <c r="J765" s="14">
        <v>-9.7087378640776993</v>
      </c>
      <c r="K765" s="11" t="s">
        <v>17</v>
      </c>
    </row>
    <row r="766" spans="1:11" x14ac:dyDescent="0.25">
      <c r="A766" s="13">
        <v>1.21542298522776E+17</v>
      </c>
      <c r="B766" s="20" t="s">
        <v>171</v>
      </c>
      <c r="C766" s="11" t="s">
        <v>52</v>
      </c>
      <c r="D766" s="13">
        <v>212601</v>
      </c>
      <c r="E766" s="13">
        <v>7117</v>
      </c>
      <c r="F766" s="11">
        <v>3</v>
      </c>
      <c r="G766" s="13">
        <v>145.631067961165</v>
      </c>
      <c r="H766" s="13">
        <v>5.0679611650485397</v>
      </c>
      <c r="I766" s="13">
        <f t="shared" si="11"/>
        <v>150.69902912621353</v>
      </c>
      <c r="J766" s="14">
        <v>33.980582524271803</v>
      </c>
      <c r="K766" s="11" t="s">
        <v>10</v>
      </c>
    </row>
    <row r="767" spans="1:11" x14ac:dyDescent="0.25">
      <c r="A767" s="13">
        <v>1.2521652468334E+17</v>
      </c>
      <c r="B767" s="20" t="s">
        <v>189</v>
      </c>
      <c r="C767" s="11" t="s">
        <v>25</v>
      </c>
      <c r="D767" s="13">
        <v>769001</v>
      </c>
      <c r="E767" s="13">
        <v>7117</v>
      </c>
      <c r="F767" s="11">
        <v>3</v>
      </c>
      <c r="G767" s="13">
        <v>177.66990291262101</v>
      </c>
      <c r="H767" s="13">
        <v>5.3300970873786397</v>
      </c>
      <c r="I767" s="13">
        <f t="shared" si="11"/>
        <v>182.99999999999966</v>
      </c>
      <c r="J767" s="14">
        <v>56.3106796116505</v>
      </c>
      <c r="K767" s="11" t="s">
        <v>54</v>
      </c>
    </row>
    <row r="768" spans="1:11" x14ac:dyDescent="0.25">
      <c r="A768" s="13">
        <v>1.1797000739228499E+17</v>
      </c>
      <c r="B768" s="20" t="s">
        <v>184</v>
      </c>
      <c r="C768" s="11" t="s">
        <v>21</v>
      </c>
      <c r="D768" s="13">
        <v>782445</v>
      </c>
      <c r="E768" s="13">
        <v>7117</v>
      </c>
      <c r="F768" s="11">
        <v>3</v>
      </c>
      <c r="G768" s="13">
        <v>172.81553398058199</v>
      </c>
      <c r="H768" s="13">
        <v>5.1844660194174796</v>
      </c>
      <c r="I768" s="13">
        <f t="shared" si="11"/>
        <v>177.99999999999946</v>
      </c>
      <c r="J768" s="14">
        <v>74.757281553398101</v>
      </c>
      <c r="K768" s="11" t="s">
        <v>35</v>
      </c>
    </row>
    <row r="769" spans="1:11" x14ac:dyDescent="0.25">
      <c r="A769" s="13">
        <v>1.1941996730426499E+17</v>
      </c>
      <c r="B769" s="20" t="s">
        <v>178</v>
      </c>
      <c r="C769" s="11" t="s">
        <v>16</v>
      </c>
      <c r="D769" s="13">
        <v>272302</v>
      </c>
      <c r="E769" s="13">
        <v>7117</v>
      </c>
      <c r="F769" s="11">
        <v>3</v>
      </c>
      <c r="G769" s="13">
        <v>155.339805825242</v>
      </c>
      <c r="H769" s="13">
        <v>4.8932038834951497</v>
      </c>
      <c r="I769" s="13">
        <f t="shared" si="11"/>
        <v>160.23300970873714</v>
      </c>
      <c r="J769" s="14">
        <v>46.601941747572802</v>
      </c>
      <c r="K769" s="11" t="s">
        <v>10</v>
      </c>
    </row>
    <row r="770" spans="1:11" x14ac:dyDescent="0.25">
      <c r="A770" s="13">
        <v>1.22661062259798E+17</v>
      </c>
      <c r="B770" s="20" t="s">
        <v>172</v>
      </c>
      <c r="C770" s="11" t="s">
        <v>16</v>
      </c>
      <c r="D770" s="13">
        <v>813210</v>
      </c>
      <c r="E770" s="13">
        <v>7117</v>
      </c>
      <c r="F770" s="11">
        <v>3</v>
      </c>
      <c r="G770" s="13">
        <v>154.368932038834</v>
      </c>
      <c r="H770" s="13">
        <v>4.6310679611650496</v>
      </c>
      <c r="I770" s="13">
        <f t="shared" si="11"/>
        <v>158.99999999999906</v>
      </c>
      <c r="J770" s="14">
        <v>56.3106796116505</v>
      </c>
      <c r="K770" s="11" t="s">
        <v>22</v>
      </c>
    </row>
    <row r="771" spans="1:11" x14ac:dyDescent="0.25">
      <c r="A771" s="13">
        <v>1.1751170523977699E+17</v>
      </c>
      <c r="B771" s="20" t="s">
        <v>170</v>
      </c>
      <c r="C771" s="11" t="s">
        <v>21</v>
      </c>
      <c r="D771" s="13">
        <v>123001</v>
      </c>
      <c r="E771" s="13">
        <v>7117</v>
      </c>
      <c r="F771" s="11">
        <v>3</v>
      </c>
      <c r="G771" s="13">
        <v>154.368932038834</v>
      </c>
      <c r="H771" s="13">
        <v>4.8349514563106801</v>
      </c>
      <c r="I771" s="13">
        <f t="shared" ref="I771:I834" si="12">G771+H771</f>
        <v>159.20388349514468</v>
      </c>
      <c r="J771" s="14">
        <v>49.514563106796103</v>
      </c>
      <c r="K771" s="11" t="s">
        <v>63</v>
      </c>
    </row>
    <row r="772" spans="1:11" x14ac:dyDescent="0.25">
      <c r="A772" s="13">
        <v>1.19659524197084E+17</v>
      </c>
      <c r="B772" s="20" t="s">
        <v>174</v>
      </c>
      <c r="C772" s="11" t="s">
        <v>16</v>
      </c>
      <c r="D772" s="13">
        <v>814112</v>
      </c>
      <c r="E772" s="13">
        <v>7117</v>
      </c>
      <c r="F772" s="11">
        <v>3</v>
      </c>
      <c r="G772" s="13">
        <v>170.873786407767</v>
      </c>
      <c r="H772" s="13">
        <v>5.1262135922330101</v>
      </c>
      <c r="I772" s="13">
        <f t="shared" si="12"/>
        <v>176</v>
      </c>
      <c r="J772" s="14">
        <v>54.368932038834998</v>
      </c>
      <c r="K772" s="11" t="s">
        <v>37</v>
      </c>
    </row>
    <row r="773" spans="1:11" x14ac:dyDescent="0.25">
      <c r="A773" s="13">
        <v>1.1892148243660499E+17</v>
      </c>
      <c r="B773" s="20" t="s">
        <v>177</v>
      </c>
      <c r="C773" s="11" t="s">
        <v>25</v>
      </c>
      <c r="D773" s="13">
        <v>389120</v>
      </c>
      <c r="E773" s="13">
        <v>7117</v>
      </c>
      <c r="F773" s="11">
        <v>3</v>
      </c>
      <c r="G773" s="13">
        <v>154.368932038834</v>
      </c>
      <c r="H773" s="13">
        <v>4.6310679611650496</v>
      </c>
      <c r="I773" s="13">
        <f t="shared" si="12"/>
        <v>158.99999999999906</v>
      </c>
      <c r="J773" s="14">
        <v>56.3106796116505</v>
      </c>
      <c r="K773" s="11" t="s">
        <v>12</v>
      </c>
    </row>
    <row r="774" spans="1:11" x14ac:dyDescent="0.25">
      <c r="A774" s="13">
        <v>8.0865079555253904E+16</v>
      </c>
      <c r="B774" s="20" t="s">
        <v>31</v>
      </c>
      <c r="C774" s="11" t="s">
        <v>25</v>
      </c>
      <c r="D774" s="13">
        <v>144211</v>
      </c>
      <c r="E774" s="13">
        <v>7117</v>
      </c>
      <c r="F774" s="11">
        <v>3</v>
      </c>
      <c r="G774" s="13">
        <v>0</v>
      </c>
      <c r="H774" s="13">
        <v>0</v>
      </c>
      <c r="I774" s="13">
        <f t="shared" si="12"/>
        <v>0</v>
      </c>
      <c r="J774" s="14">
        <v>-6.7961165048543997</v>
      </c>
      <c r="K774" s="11" t="s">
        <v>17</v>
      </c>
    </row>
    <row r="775" spans="1:11" x14ac:dyDescent="0.25">
      <c r="A775" s="13">
        <v>1.2295943377206899E+17</v>
      </c>
      <c r="B775" s="20" t="s">
        <v>173</v>
      </c>
      <c r="C775" s="11" t="s">
        <v>16</v>
      </c>
      <c r="D775" s="13">
        <v>457001</v>
      </c>
      <c r="E775" s="13">
        <v>7117</v>
      </c>
      <c r="F775" s="11">
        <v>3</v>
      </c>
      <c r="G775" s="13">
        <v>155.339805825242</v>
      </c>
      <c r="H775" s="13">
        <v>5.1844660194174796</v>
      </c>
      <c r="I775" s="13">
        <f t="shared" si="12"/>
        <v>160.52427184465947</v>
      </c>
      <c r="J775" s="14">
        <v>38.834951456310698</v>
      </c>
      <c r="K775" s="11" t="s">
        <v>26</v>
      </c>
    </row>
    <row r="776" spans="1:11" x14ac:dyDescent="0.25">
      <c r="A776" s="13">
        <v>7.9700916300670592E+16</v>
      </c>
      <c r="B776" s="20" t="s">
        <v>40</v>
      </c>
      <c r="C776" s="11" t="s">
        <v>25</v>
      </c>
      <c r="D776" s="13">
        <v>572137</v>
      </c>
      <c r="E776" s="13">
        <v>7117</v>
      </c>
      <c r="F776" s="11">
        <v>3</v>
      </c>
      <c r="G776" s="13">
        <v>0</v>
      </c>
      <c r="H776" s="13">
        <v>0</v>
      </c>
      <c r="I776" s="13">
        <f t="shared" si="12"/>
        <v>0</v>
      </c>
      <c r="J776" s="14">
        <v>-5.8252427184466002</v>
      </c>
      <c r="K776" s="11" t="s">
        <v>19</v>
      </c>
    </row>
    <row r="777" spans="1:11" x14ac:dyDescent="0.25">
      <c r="A777" s="13">
        <v>8.3238848961325904E+16</v>
      </c>
      <c r="B777" s="20" t="s">
        <v>32</v>
      </c>
      <c r="C777" s="11" t="s">
        <v>25</v>
      </c>
      <c r="D777" s="13">
        <v>271855</v>
      </c>
      <c r="E777" s="13">
        <v>7117</v>
      </c>
      <c r="F777" s="11">
        <v>3</v>
      </c>
      <c r="G777" s="13">
        <v>0</v>
      </c>
      <c r="H777" s="13">
        <v>0</v>
      </c>
      <c r="I777" s="13">
        <f t="shared" si="12"/>
        <v>0</v>
      </c>
      <c r="J777" s="14">
        <v>-9.7087378640776993</v>
      </c>
      <c r="K777" s="11" t="s">
        <v>10</v>
      </c>
    </row>
    <row r="778" spans="1:11" x14ac:dyDescent="0.25">
      <c r="A778" s="13">
        <v>1.2057378556598301E+17</v>
      </c>
      <c r="B778" s="20" t="s">
        <v>176</v>
      </c>
      <c r="C778" s="11" t="s">
        <v>16</v>
      </c>
      <c r="D778" s="13">
        <v>734003</v>
      </c>
      <c r="E778" s="13">
        <v>7117</v>
      </c>
      <c r="F778" s="11">
        <v>3</v>
      </c>
      <c r="G778" s="13">
        <v>169.90291262135901</v>
      </c>
      <c r="H778" s="13">
        <v>5.0970873786407802</v>
      </c>
      <c r="I778" s="13">
        <f t="shared" si="12"/>
        <v>174.9999999999998</v>
      </c>
      <c r="J778" s="14">
        <v>59.223300970873801</v>
      </c>
      <c r="K778" s="11" t="s">
        <v>14</v>
      </c>
    </row>
    <row r="779" spans="1:11" x14ac:dyDescent="0.25">
      <c r="A779" s="13">
        <v>1.2185602621049699E+17</v>
      </c>
      <c r="B779" s="20" t="s">
        <v>181</v>
      </c>
      <c r="C779" s="11" t="s">
        <v>16</v>
      </c>
      <c r="D779" s="13">
        <v>261001</v>
      </c>
      <c r="E779" s="13">
        <v>7117</v>
      </c>
      <c r="F779" s="11">
        <v>3</v>
      </c>
      <c r="G779" s="13">
        <v>164.07766990291199</v>
      </c>
      <c r="H779" s="13">
        <v>5.1844660194174796</v>
      </c>
      <c r="I779" s="13">
        <f t="shared" si="12"/>
        <v>169.26213592232946</v>
      </c>
      <c r="J779" s="14">
        <v>47.572815533980602</v>
      </c>
      <c r="K779" s="11" t="s">
        <v>10</v>
      </c>
    </row>
    <row r="780" spans="1:11" x14ac:dyDescent="0.25">
      <c r="A780" s="13">
        <v>1.2239160934516701E+17</v>
      </c>
      <c r="B780" s="20" t="s">
        <v>182</v>
      </c>
      <c r="C780" s="11" t="s">
        <v>16</v>
      </c>
      <c r="D780" s="13">
        <v>462044</v>
      </c>
      <c r="E780" s="13">
        <v>7117</v>
      </c>
      <c r="F780" s="11">
        <v>3</v>
      </c>
      <c r="G780" s="13">
        <v>172.81553398058199</v>
      </c>
      <c r="H780" s="13">
        <v>5.1844660194174796</v>
      </c>
      <c r="I780" s="13">
        <f t="shared" si="12"/>
        <v>177.99999999999946</v>
      </c>
      <c r="J780" s="14">
        <v>56.3106796116505</v>
      </c>
      <c r="K780" s="11" t="s">
        <v>26</v>
      </c>
    </row>
    <row r="781" spans="1:11" x14ac:dyDescent="0.25">
      <c r="A781" s="13">
        <v>1.21535902279598E+17</v>
      </c>
      <c r="B781" s="20" t="s">
        <v>171</v>
      </c>
      <c r="C781" s="11" t="s">
        <v>16</v>
      </c>
      <c r="D781" s="13">
        <v>394210</v>
      </c>
      <c r="E781" s="13">
        <v>7117</v>
      </c>
      <c r="F781" s="11">
        <v>3</v>
      </c>
      <c r="G781" s="13">
        <v>107.766990291262</v>
      </c>
      <c r="H781" s="13">
        <v>3.78640776699029</v>
      </c>
      <c r="I781" s="13">
        <f t="shared" si="12"/>
        <v>111.5533980582523</v>
      </c>
      <c r="J781" s="14">
        <v>40.776699029126199</v>
      </c>
      <c r="K781" s="11" t="s">
        <v>12</v>
      </c>
    </row>
    <row r="782" spans="1:11" x14ac:dyDescent="0.25">
      <c r="A782" s="13">
        <v>8.10092355226284E+16</v>
      </c>
      <c r="B782" s="20" t="s">
        <v>31</v>
      </c>
      <c r="C782" s="11" t="s">
        <v>25</v>
      </c>
      <c r="D782" s="13">
        <v>201102</v>
      </c>
      <c r="E782" s="13">
        <v>7117</v>
      </c>
      <c r="F782" s="11">
        <v>3</v>
      </c>
      <c r="G782" s="13">
        <v>0</v>
      </c>
      <c r="H782" s="13">
        <v>0</v>
      </c>
      <c r="I782" s="13">
        <f t="shared" si="12"/>
        <v>0</v>
      </c>
      <c r="J782" s="14">
        <v>-9.7087378640776993</v>
      </c>
      <c r="K782" s="11" t="s">
        <v>10</v>
      </c>
    </row>
    <row r="783" spans="1:11" x14ac:dyDescent="0.25">
      <c r="A783" s="13">
        <v>1.17245979736002E+17</v>
      </c>
      <c r="B783" s="20" t="s">
        <v>151</v>
      </c>
      <c r="C783" s="11" t="s">
        <v>16</v>
      </c>
      <c r="D783" s="13">
        <v>390010</v>
      </c>
      <c r="E783" s="13">
        <v>7117</v>
      </c>
      <c r="F783" s="11">
        <v>3</v>
      </c>
      <c r="G783" s="13">
        <v>147.57281553397999</v>
      </c>
      <c r="H783" s="13">
        <v>4.42718446601942</v>
      </c>
      <c r="I783" s="13">
        <f t="shared" si="12"/>
        <v>151.9999999999994</v>
      </c>
      <c r="J783" s="14">
        <v>59.223300970873801</v>
      </c>
      <c r="K783" s="11" t="s">
        <v>12</v>
      </c>
    </row>
    <row r="784" spans="1:11" x14ac:dyDescent="0.25">
      <c r="A784" s="13">
        <v>8.6706459009807104E+16</v>
      </c>
      <c r="B784" s="20" t="s">
        <v>90</v>
      </c>
      <c r="C784" s="11" t="s">
        <v>25</v>
      </c>
      <c r="D784" s="13">
        <v>160101</v>
      </c>
      <c r="E784" s="13">
        <v>7117</v>
      </c>
      <c r="F784" s="11">
        <v>3</v>
      </c>
      <c r="G784" s="13">
        <v>0</v>
      </c>
      <c r="H784" s="13">
        <v>0</v>
      </c>
      <c r="I784" s="13">
        <f t="shared" si="12"/>
        <v>0</v>
      </c>
      <c r="J784" s="14">
        <v>-9.7087378640776993</v>
      </c>
      <c r="K784" s="11" t="s">
        <v>85</v>
      </c>
    </row>
    <row r="785" spans="1:11" x14ac:dyDescent="0.25">
      <c r="A785" s="13">
        <v>1.1729365464236499E+17</v>
      </c>
      <c r="B785" s="20" t="s">
        <v>151</v>
      </c>
      <c r="C785" s="11" t="s">
        <v>16</v>
      </c>
      <c r="D785" s="13">
        <v>301019</v>
      </c>
      <c r="E785" s="13">
        <v>7117</v>
      </c>
      <c r="F785" s="11">
        <v>3</v>
      </c>
      <c r="G785" s="13">
        <v>167.96116504854299</v>
      </c>
      <c r="H785" s="13">
        <v>5.1844660194174796</v>
      </c>
      <c r="I785" s="13">
        <f t="shared" si="12"/>
        <v>173.14563106796047</v>
      </c>
      <c r="J785" s="14">
        <v>51.456310679611697</v>
      </c>
      <c r="K785" s="11" t="s">
        <v>46</v>
      </c>
    </row>
    <row r="786" spans="1:11" x14ac:dyDescent="0.25">
      <c r="A786" s="13">
        <v>1.1897879313383101E+17</v>
      </c>
      <c r="B786" s="20" t="s">
        <v>177</v>
      </c>
      <c r="C786" s="11" t="s">
        <v>25</v>
      </c>
      <c r="D786" s="13">
        <v>143501</v>
      </c>
      <c r="E786" s="13">
        <v>7117</v>
      </c>
      <c r="F786" s="11">
        <v>3</v>
      </c>
      <c r="G786" s="13">
        <v>164.07766990291199</v>
      </c>
      <c r="H786" s="13">
        <v>5.1844660194174796</v>
      </c>
      <c r="I786" s="13">
        <f t="shared" si="12"/>
        <v>169.26213592232946</v>
      </c>
      <c r="J786" s="14">
        <v>47.572815533980602</v>
      </c>
      <c r="K786" s="11" t="s">
        <v>17</v>
      </c>
    </row>
    <row r="787" spans="1:11" x14ac:dyDescent="0.25">
      <c r="A787" s="13">
        <v>1.1751289489538701E+17</v>
      </c>
      <c r="B787" s="20" t="s">
        <v>170</v>
      </c>
      <c r="C787" s="11" t="s">
        <v>16</v>
      </c>
      <c r="D787" s="13">
        <v>829210</v>
      </c>
      <c r="E787" s="13">
        <v>7117</v>
      </c>
      <c r="F787" s="11">
        <v>3</v>
      </c>
      <c r="G787" s="13">
        <v>143.68932038834899</v>
      </c>
      <c r="H787" s="13">
        <v>4.8349514563106801</v>
      </c>
      <c r="I787" s="13">
        <f t="shared" si="12"/>
        <v>148.52427184465967</v>
      </c>
      <c r="J787" s="14">
        <v>38.834951456310698</v>
      </c>
      <c r="K787" s="11" t="s">
        <v>37</v>
      </c>
    </row>
    <row r="788" spans="1:11" x14ac:dyDescent="0.25">
      <c r="A788" s="13">
        <v>1.17101768911122E+17</v>
      </c>
      <c r="B788" s="20" t="s">
        <v>151</v>
      </c>
      <c r="C788" s="11" t="s">
        <v>16</v>
      </c>
      <c r="D788" s="13">
        <v>110084</v>
      </c>
      <c r="E788" s="13">
        <v>7117</v>
      </c>
      <c r="F788" s="11">
        <v>3</v>
      </c>
      <c r="G788" s="13">
        <v>145.631067961165</v>
      </c>
      <c r="H788" s="13">
        <v>4.6310679611650496</v>
      </c>
      <c r="I788" s="13">
        <f t="shared" si="12"/>
        <v>150.26213592233006</v>
      </c>
      <c r="J788" s="14">
        <v>47.572815533980602</v>
      </c>
      <c r="K788" s="11" t="s">
        <v>28</v>
      </c>
    </row>
    <row r="789" spans="1:11" x14ac:dyDescent="0.25">
      <c r="A789" s="13">
        <v>1.2016822005651299E+17</v>
      </c>
      <c r="B789" s="20" t="s">
        <v>175</v>
      </c>
      <c r="C789" s="11" t="s">
        <v>25</v>
      </c>
      <c r="D789" s="13">
        <v>518502</v>
      </c>
      <c r="E789" s="13">
        <v>7117</v>
      </c>
      <c r="F789" s="11">
        <v>3</v>
      </c>
      <c r="G789" s="13">
        <v>170.873786407767</v>
      </c>
      <c r="H789" s="13">
        <v>5.1262135922330101</v>
      </c>
      <c r="I789" s="13">
        <f t="shared" si="12"/>
        <v>176</v>
      </c>
      <c r="J789" s="14">
        <v>59.223300970873801</v>
      </c>
      <c r="K789" s="11" t="s">
        <v>39</v>
      </c>
    </row>
    <row r="790" spans="1:11" x14ac:dyDescent="0.25">
      <c r="A790" s="13">
        <v>1.19821325828214E+17</v>
      </c>
      <c r="B790" s="20" t="s">
        <v>174</v>
      </c>
      <c r="C790" s="11" t="s">
        <v>21</v>
      </c>
      <c r="D790" s="13">
        <v>843129</v>
      </c>
      <c r="E790" s="13">
        <v>7117</v>
      </c>
      <c r="F790" s="11">
        <v>3</v>
      </c>
      <c r="G790" s="13">
        <v>169.90291262135901</v>
      </c>
      <c r="H790" s="13">
        <v>5.0970873786407802</v>
      </c>
      <c r="I790" s="13">
        <f t="shared" si="12"/>
        <v>174.9999999999998</v>
      </c>
      <c r="J790" s="14">
        <v>59.223300970873801</v>
      </c>
      <c r="K790" s="11" t="s">
        <v>22</v>
      </c>
    </row>
    <row r="791" spans="1:11" x14ac:dyDescent="0.25">
      <c r="A791" s="13">
        <v>1.17629672610886E+17</v>
      </c>
      <c r="B791" s="20" t="s">
        <v>170</v>
      </c>
      <c r="C791" s="11" t="s">
        <v>21</v>
      </c>
      <c r="D791" s="13">
        <v>761035</v>
      </c>
      <c r="E791" s="13">
        <v>7117</v>
      </c>
      <c r="F791" s="11">
        <v>3</v>
      </c>
      <c r="G791" s="13">
        <v>161.16504854368901</v>
      </c>
      <c r="H791" s="13">
        <v>4.8349514563106801</v>
      </c>
      <c r="I791" s="13">
        <f t="shared" si="12"/>
        <v>165.99999999999969</v>
      </c>
      <c r="J791" s="14">
        <v>56.3106796116505</v>
      </c>
      <c r="K791" s="11" t="s">
        <v>54</v>
      </c>
    </row>
    <row r="792" spans="1:11" x14ac:dyDescent="0.25">
      <c r="A792" s="13">
        <v>1.19317096441344E+17</v>
      </c>
      <c r="B792" s="20" t="s">
        <v>178</v>
      </c>
      <c r="C792" s="11" t="s">
        <v>25</v>
      </c>
      <c r="D792" s="13">
        <v>786614</v>
      </c>
      <c r="E792" s="13">
        <v>961590</v>
      </c>
      <c r="F792" s="11">
        <v>12</v>
      </c>
      <c r="G792" s="13">
        <v>161.60714285714201</v>
      </c>
      <c r="H792" s="13">
        <v>19.3928571428571</v>
      </c>
      <c r="I792" s="13">
        <f t="shared" si="12"/>
        <v>180.99999999999912</v>
      </c>
      <c r="J792" s="14">
        <v>67.857142857142904</v>
      </c>
      <c r="K792" s="11" t="s">
        <v>35</v>
      </c>
    </row>
    <row r="793" spans="1:11" x14ac:dyDescent="0.25">
      <c r="A793" s="13">
        <v>1.2258074976652099E+17</v>
      </c>
      <c r="B793" s="20" t="s">
        <v>172</v>
      </c>
      <c r="C793" s="11" t="s">
        <v>25</v>
      </c>
      <c r="D793" s="13">
        <v>486001</v>
      </c>
      <c r="E793" s="13">
        <v>7117</v>
      </c>
      <c r="F793" s="11">
        <v>3</v>
      </c>
      <c r="G793" s="13">
        <v>166.01941747572801</v>
      </c>
      <c r="H793" s="13">
        <v>5.0970873786407802</v>
      </c>
      <c r="I793" s="13">
        <f t="shared" si="12"/>
        <v>171.1165048543688</v>
      </c>
      <c r="J793" s="14">
        <v>55.339805825242699</v>
      </c>
      <c r="K793" s="11" t="s">
        <v>26</v>
      </c>
    </row>
    <row r="794" spans="1:11" x14ac:dyDescent="0.25">
      <c r="A794" s="13">
        <v>1.1763172361764499E+17</v>
      </c>
      <c r="B794" s="20" t="s">
        <v>170</v>
      </c>
      <c r="C794" s="11" t="s">
        <v>16</v>
      </c>
      <c r="D794" s="13">
        <v>484771</v>
      </c>
      <c r="E794" s="13">
        <v>7117</v>
      </c>
      <c r="F794" s="11">
        <v>3</v>
      </c>
      <c r="G794" s="13">
        <v>156.31067961164999</v>
      </c>
      <c r="H794" s="13">
        <v>4.8349514563106801</v>
      </c>
      <c r="I794" s="13">
        <f t="shared" si="12"/>
        <v>161.14563106796066</v>
      </c>
      <c r="J794" s="14">
        <v>51.456310679611697</v>
      </c>
      <c r="K794" s="11" t="s">
        <v>26</v>
      </c>
    </row>
    <row r="795" spans="1:11" x14ac:dyDescent="0.25">
      <c r="A795" s="13">
        <v>1.25128857598888E+17</v>
      </c>
      <c r="B795" s="20" t="s">
        <v>189</v>
      </c>
      <c r="C795" s="11" t="s">
        <v>33</v>
      </c>
      <c r="D795" s="13">
        <v>140201</v>
      </c>
      <c r="E795" s="13">
        <v>7117</v>
      </c>
      <c r="F795" s="11">
        <v>3</v>
      </c>
      <c r="G795" s="13">
        <v>146.601941747572</v>
      </c>
      <c r="H795" s="13">
        <v>4.6601941747572804</v>
      </c>
      <c r="I795" s="13">
        <f t="shared" si="12"/>
        <v>151.26213592232929</v>
      </c>
      <c r="J795" s="14">
        <v>52.427184466019398</v>
      </c>
      <c r="K795" s="11" t="s">
        <v>17</v>
      </c>
    </row>
    <row r="796" spans="1:11" x14ac:dyDescent="0.25">
      <c r="A796" s="13">
        <v>1.21140068655822E+17</v>
      </c>
      <c r="B796" s="20" t="s">
        <v>187</v>
      </c>
      <c r="C796" s="11" t="s">
        <v>16</v>
      </c>
      <c r="D796" s="13">
        <v>209861</v>
      </c>
      <c r="E796" s="13">
        <v>7117</v>
      </c>
      <c r="F796" s="11">
        <v>3</v>
      </c>
      <c r="G796" s="13">
        <v>164.07766990291199</v>
      </c>
      <c r="H796" s="13">
        <v>5.1844660194174796</v>
      </c>
      <c r="I796" s="13">
        <f t="shared" si="12"/>
        <v>169.26213592232946</v>
      </c>
      <c r="J796" s="14">
        <v>47.572815533980602</v>
      </c>
      <c r="K796" s="11" t="s">
        <v>10</v>
      </c>
    </row>
    <row r="797" spans="1:11" x14ac:dyDescent="0.25">
      <c r="A797" s="13">
        <v>7.6989792849111904E+16</v>
      </c>
      <c r="B797" s="20" t="s">
        <v>30</v>
      </c>
      <c r="C797" s="11" t="s">
        <v>25</v>
      </c>
      <c r="D797" s="13">
        <v>700041</v>
      </c>
      <c r="E797" s="13">
        <v>7117</v>
      </c>
      <c r="F797" s="11">
        <v>3</v>
      </c>
      <c r="G797" s="13">
        <v>0</v>
      </c>
      <c r="H797" s="13">
        <v>0</v>
      </c>
      <c r="I797" s="13">
        <f t="shared" si="12"/>
        <v>0</v>
      </c>
      <c r="J797" s="14">
        <v>-18.446601941747598</v>
      </c>
      <c r="K797" s="11" t="s">
        <v>14</v>
      </c>
    </row>
    <row r="798" spans="1:11" x14ac:dyDescent="0.25">
      <c r="A798" s="13">
        <v>1.17626681724006E+17</v>
      </c>
      <c r="B798" s="20" t="s">
        <v>170</v>
      </c>
      <c r="C798" s="11" t="s">
        <v>16</v>
      </c>
      <c r="D798" s="13">
        <v>828202</v>
      </c>
      <c r="E798" s="13">
        <v>7117</v>
      </c>
      <c r="F798" s="11">
        <v>3</v>
      </c>
      <c r="G798" s="13">
        <v>127.184466019417</v>
      </c>
      <c r="H798" s="13">
        <v>4.3398058252427196</v>
      </c>
      <c r="I798" s="13">
        <f t="shared" si="12"/>
        <v>131.52427184465972</v>
      </c>
      <c r="J798" s="14">
        <v>38.834951456310698</v>
      </c>
      <c r="K798" s="11" t="s">
        <v>37</v>
      </c>
    </row>
    <row r="799" spans="1:11" x14ac:dyDescent="0.25">
      <c r="A799" s="13">
        <v>1.2190920279185299E+17</v>
      </c>
      <c r="B799" s="20" t="s">
        <v>181</v>
      </c>
      <c r="C799" s="11" t="s">
        <v>25</v>
      </c>
      <c r="D799" s="13">
        <v>676101</v>
      </c>
      <c r="E799" s="13">
        <v>7117</v>
      </c>
      <c r="F799" s="11">
        <v>3</v>
      </c>
      <c r="G799" s="13">
        <v>134.95145631067899</v>
      </c>
      <c r="H799" s="13">
        <v>4.0485436893203897</v>
      </c>
      <c r="I799" s="13">
        <f t="shared" si="12"/>
        <v>138.99999999999937</v>
      </c>
      <c r="J799" s="14">
        <v>67.961165048543705</v>
      </c>
      <c r="K799" s="11" t="s">
        <v>98</v>
      </c>
    </row>
    <row r="800" spans="1:11" x14ac:dyDescent="0.25">
      <c r="A800" s="13">
        <v>1.1747998961145E+17</v>
      </c>
      <c r="B800" s="20" t="s">
        <v>170</v>
      </c>
      <c r="C800" s="11" t="s">
        <v>21</v>
      </c>
      <c r="D800" s="13">
        <v>395013</v>
      </c>
      <c r="E800" s="13">
        <v>7117</v>
      </c>
      <c r="F800" s="11">
        <v>3</v>
      </c>
      <c r="G800" s="13">
        <v>161.16504854368901</v>
      </c>
      <c r="H800" s="13">
        <v>4.8349514563106801</v>
      </c>
      <c r="I800" s="13">
        <f t="shared" si="12"/>
        <v>165.99999999999969</v>
      </c>
      <c r="J800" s="14">
        <v>56.3106796116505</v>
      </c>
      <c r="K800" s="11" t="s">
        <v>12</v>
      </c>
    </row>
    <row r="801" spans="1:11" x14ac:dyDescent="0.25">
      <c r="A801" s="13">
        <v>1.2568173951030899E+17</v>
      </c>
      <c r="B801" s="20" t="s">
        <v>179</v>
      </c>
      <c r="C801" s="11" t="s">
        <v>9</v>
      </c>
      <c r="D801" s="13">
        <v>682010</v>
      </c>
      <c r="E801" s="13">
        <v>7117</v>
      </c>
      <c r="F801" s="11">
        <v>3</v>
      </c>
      <c r="G801" s="13">
        <v>143.68932038834899</v>
      </c>
      <c r="H801" s="13">
        <v>4.9514563106796103</v>
      </c>
      <c r="I801" s="13">
        <f t="shared" si="12"/>
        <v>148.64077669902861</v>
      </c>
      <c r="J801" s="14">
        <v>48.543689320388303</v>
      </c>
      <c r="K801" s="11" t="s">
        <v>98</v>
      </c>
    </row>
    <row r="802" spans="1:11" x14ac:dyDescent="0.25">
      <c r="A802" s="13">
        <v>1.20780893915868E+17</v>
      </c>
      <c r="B802" s="20" t="s">
        <v>186</v>
      </c>
      <c r="C802" s="11" t="s">
        <v>16</v>
      </c>
      <c r="D802" s="13">
        <v>812006</v>
      </c>
      <c r="E802" s="13">
        <v>7117</v>
      </c>
      <c r="F802" s="11">
        <v>3</v>
      </c>
      <c r="G802" s="13">
        <v>147.57281553397999</v>
      </c>
      <c r="H802" s="13">
        <v>4.42718446601942</v>
      </c>
      <c r="I802" s="13">
        <f t="shared" si="12"/>
        <v>151.9999999999994</v>
      </c>
      <c r="J802" s="14">
        <v>59.223300970873801</v>
      </c>
      <c r="K802" s="11" t="s">
        <v>22</v>
      </c>
    </row>
    <row r="803" spans="1:11" x14ac:dyDescent="0.25">
      <c r="A803" s="13">
        <v>1.1969061072997101E+17</v>
      </c>
      <c r="B803" s="20" t="s">
        <v>174</v>
      </c>
      <c r="C803" s="11" t="s">
        <v>25</v>
      </c>
      <c r="D803" s="13">
        <v>274501</v>
      </c>
      <c r="E803" s="13">
        <v>7117</v>
      </c>
      <c r="F803" s="11">
        <v>3</v>
      </c>
      <c r="G803" s="13">
        <v>163.106796116504</v>
      </c>
      <c r="H803" s="13">
        <v>5.1262135922330101</v>
      </c>
      <c r="I803" s="13">
        <f t="shared" si="12"/>
        <v>168.233009708737</v>
      </c>
      <c r="J803" s="14">
        <v>46.601941747572802</v>
      </c>
      <c r="K803" s="11" t="s">
        <v>10</v>
      </c>
    </row>
    <row r="804" spans="1:11" x14ac:dyDescent="0.25">
      <c r="A804" s="13">
        <v>1.2156081509839299E+17</v>
      </c>
      <c r="B804" s="20" t="s">
        <v>171</v>
      </c>
      <c r="C804" s="11" t="s">
        <v>16</v>
      </c>
      <c r="D804" s="13">
        <v>734003</v>
      </c>
      <c r="E804" s="13">
        <v>7117</v>
      </c>
      <c r="F804" s="11">
        <v>3</v>
      </c>
      <c r="G804" s="13">
        <v>194.17475728155301</v>
      </c>
      <c r="H804" s="13">
        <v>5.8252427184466002</v>
      </c>
      <c r="I804" s="13">
        <f t="shared" si="12"/>
        <v>199.9999999999996</v>
      </c>
      <c r="J804" s="14">
        <v>59.223300970873801</v>
      </c>
      <c r="K804" s="11" t="s">
        <v>14</v>
      </c>
    </row>
    <row r="805" spans="1:11" x14ac:dyDescent="0.25">
      <c r="A805" s="13">
        <v>1.2125185281900099E+17</v>
      </c>
      <c r="B805" s="20" t="s">
        <v>187</v>
      </c>
      <c r="C805" s="11" t="s">
        <v>16</v>
      </c>
      <c r="D805" s="13">
        <v>281501</v>
      </c>
      <c r="E805" s="13">
        <v>7117</v>
      </c>
      <c r="F805" s="11">
        <v>3</v>
      </c>
      <c r="G805" s="13">
        <v>164.07766990291199</v>
      </c>
      <c r="H805" s="13">
        <v>5.1844660194174796</v>
      </c>
      <c r="I805" s="13">
        <f t="shared" si="12"/>
        <v>169.26213592232946</v>
      </c>
      <c r="J805" s="14">
        <v>47.572815533980602</v>
      </c>
      <c r="K805" s="11" t="s">
        <v>10</v>
      </c>
    </row>
    <row r="806" spans="1:11" x14ac:dyDescent="0.25">
      <c r="A806" s="13">
        <v>1.2073046907039299E+17</v>
      </c>
      <c r="B806" s="20" t="s">
        <v>186</v>
      </c>
      <c r="C806" s="11" t="s">
        <v>16</v>
      </c>
      <c r="D806" s="13">
        <v>221603</v>
      </c>
      <c r="E806" s="13">
        <v>7117</v>
      </c>
      <c r="F806" s="11">
        <v>3</v>
      </c>
      <c r="G806" s="13">
        <v>157.28155339805801</v>
      </c>
      <c r="H806" s="13">
        <v>4.9805825242718402</v>
      </c>
      <c r="I806" s="13">
        <f t="shared" si="12"/>
        <v>162.26213592232986</v>
      </c>
      <c r="J806" s="14">
        <v>48.543689320388303</v>
      </c>
      <c r="K806" s="11" t="s">
        <v>10</v>
      </c>
    </row>
    <row r="807" spans="1:11" x14ac:dyDescent="0.25">
      <c r="A807" s="13">
        <v>1.20066106221294E+17</v>
      </c>
      <c r="B807" s="20" t="s">
        <v>175</v>
      </c>
      <c r="C807" s="11" t="s">
        <v>16</v>
      </c>
      <c r="D807" s="13">
        <v>695002</v>
      </c>
      <c r="E807" s="13">
        <v>7117</v>
      </c>
      <c r="F807" s="11">
        <v>3</v>
      </c>
      <c r="G807" s="13">
        <v>149.514563106796</v>
      </c>
      <c r="H807" s="13">
        <v>5.0679611650485397</v>
      </c>
      <c r="I807" s="13">
        <f t="shared" si="12"/>
        <v>154.58252427184453</v>
      </c>
      <c r="J807" s="14">
        <v>46.601941747572802</v>
      </c>
      <c r="K807" s="11" t="s">
        <v>98</v>
      </c>
    </row>
    <row r="808" spans="1:11" x14ac:dyDescent="0.25">
      <c r="A808" s="13">
        <v>1.2294011692999E+17</v>
      </c>
      <c r="B808" s="20" t="s">
        <v>173</v>
      </c>
      <c r="C808" s="11" t="s">
        <v>16</v>
      </c>
      <c r="D808" s="13">
        <v>413216</v>
      </c>
      <c r="E808" s="13">
        <v>7117</v>
      </c>
      <c r="F808" s="11">
        <v>3</v>
      </c>
      <c r="G808" s="13">
        <v>172.81553398058199</v>
      </c>
      <c r="H808" s="13">
        <v>5.1844660194174796</v>
      </c>
      <c r="I808" s="13">
        <f t="shared" si="12"/>
        <v>177.99999999999946</v>
      </c>
      <c r="J808" s="14">
        <v>56.3106796116505</v>
      </c>
      <c r="K808" s="11" t="s">
        <v>41</v>
      </c>
    </row>
    <row r="809" spans="1:11" x14ac:dyDescent="0.25">
      <c r="A809" s="13">
        <v>8.0985967641105696E+16</v>
      </c>
      <c r="B809" s="20" t="s">
        <v>31</v>
      </c>
      <c r="C809" s="11" t="s">
        <v>25</v>
      </c>
      <c r="D809" s="13">
        <v>301701</v>
      </c>
      <c r="E809" s="13">
        <v>7117</v>
      </c>
      <c r="F809" s="11">
        <v>3</v>
      </c>
      <c r="G809" s="13">
        <v>0</v>
      </c>
      <c r="H809" s="13">
        <v>0</v>
      </c>
      <c r="I809" s="13">
        <f t="shared" si="12"/>
        <v>0</v>
      </c>
      <c r="J809" s="14">
        <v>-6.7961165048543997</v>
      </c>
      <c r="K809" s="11" t="s">
        <v>46</v>
      </c>
    </row>
    <row r="810" spans="1:11" x14ac:dyDescent="0.25">
      <c r="A810" s="13">
        <v>1.19815628269548E+17</v>
      </c>
      <c r="B810" s="20" t="s">
        <v>174</v>
      </c>
      <c r="C810" s="11" t="s">
        <v>52</v>
      </c>
      <c r="D810" s="13">
        <v>324002</v>
      </c>
      <c r="E810" s="13">
        <v>7117</v>
      </c>
      <c r="F810" s="11">
        <v>3</v>
      </c>
      <c r="G810" s="13">
        <v>164.07766990291199</v>
      </c>
      <c r="H810" s="13">
        <v>5.1844660194174796</v>
      </c>
      <c r="I810" s="13">
        <f t="shared" si="12"/>
        <v>169.26213592232946</v>
      </c>
      <c r="J810" s="14">
        <v>47.572815533980602</v>
      </c>
      <c r="K810" s="11" t="s">
        <v>46</v>
      </c>
    </row>
    <row r="811" spans="1:11" x14ac:dyDescent="0.25">
      <c r="A811" s="13">
        <v>1.2082949988892301E+17</v>
      </c>
      <c r="B811" s="20" t="s">
        <v>186</v>
      </c>
      <c r="C811" s="11" t="s">
        <v>21</v>
      </c>
      <c r="D811" s="13">
        <v>803101</v>
      </c>
      <c r="E811" s="13">
        <v>7117</v>
      </c>
      <c r="F811" s="11">
        <v>3</v>
      </c>
      <c r="G811" s="13">
        <v>147.57281553397999</v>
      </c>
      <c r="H811" s="13">
        <v>4.42718446601942</v>
      </c>
      <c r="I811" s="13">
        <f t="shared" si="12"/>
        <v>151.9999999999994</v>
      </c>
      <c r="J811" s="14">
        <v>59.223300970873801</v>
      </c>
      <c r="K811" s="11" t="s">
        <v>22</v>
      </c>
    </row>
    <row r="812" spans="1:11" x14ac:dyDescent="0.25">
      <c r="A812" s="13">
        <v>1.2030403881388899E+17</v>
      </c>
      <c r="B812" s="20" t="s">
        <v>176</v>
      </c>
      <c r="C812" s="11" t="s">
        <v>16</v>
      </c>
      <c r="D812" s="13">
        <v>852139</v>
      </c>
      <c r="E812" s="13">
        <v>7117</v>
      </c>
      <c r="F812" s="11">
        <v>3</v>
      </c>
      <c r="G812" s="13">
        <v>172.81553398058199</v>
      </c>
      <c r="H812" s="13">
        <v>5.1844660194174796</v>
      </c>
      <c r="I812" s="13">
        <f t="shared" si="12"/>
        <v>177.99999999999946</v>
      </c>
      <c r="J812" s="14">
        <v>56.3106796116505</v>
      </c>
      <c r="K812" s="11" t="s">
        <v>22</v>
      </c>
    </row>
    <row r="813" spans="1:11" x14ac:dyDescent="0.25">
      <c r="A813" s="13">
        <v>1.2310283856143699E+17</v>
      </c>
      <c r="B813" s="20" t="s">
        <v>173</v>
      </c>
      <c r="C813" s="11" t="s">
        <v>16</v>
      </c>
      <c r="D813" s="13">
        <v>110085</v>
      </c>
      <c r="E813" s="13">
        <v>7117</v>
      </c>
      <c r="F813" s="11">
        <v>3</v>
      </c>
      <c r="G813" s="13">
        <v>200</v>
      </c>
      <c r="H813" s="13">
        <v>6.6407766990291304</v>
      </c>
      <c r="I813" s="13">
        <f t="shared" si="12"/>
        <v>206.64077669902912</v>
      </c>
      <c r="J813" s="14">
        <v>34.951456310679603</v>
      </c>
      <c r="K813" s="11" t="s">
        <v>28</v>
      </c>
    </row>
    <row r="814" spans="1:11" x14ac:dyDescent="0.25">
      <c r="A814" s="13">
        <v>1.2270101743038899E+17</v>
      </c>
      <c r="B814" s="20" t="s">
        <v>172</v>
      </c>
      <c r="C814" s="11" t="s">
        <v>16</v>
      </c>
      <c r="D814" s="13">
        <v>600118</v>
      </c>
      <c r="E814" s="13">
        <v>7117</v>
      </c>
      <c r="F814" s="11">
        <v>3</v>
      </c>
      <c r="G814" s="13">
        <v>160.19417475728099</v>
      </c>
      <c r="H814" s="13">
        <v>4.8058252427184502</v>
      </c>
      <c r="I814" s="13">
        <f t="shared" si="12"/>
        <v>164.99999999999943</v>
      </c>
      <c r="J814" s="14">
        <v>57.2815533980583</v>
      </c>
      <c r="K814" s="11" t="s">
        <v>27</v>
      </c>
    </row>
    <row r="815" spans="1:11" x14ac:dyDescent="0.25">
      <c r="A815" s="13">
        <v>1.22230901064232E+17</v>
      </c>
      <c r="B815" s="20" t="s">
        <v>182</v>
      </c>
      <c r="C815" s="11" t="s">
        <v>16</v>
      </c>
      <c r="D815" s="13">
        <v>497111</v>
      </c>
      <c r="E815" s="13">
        <v>7117</v>
      </c>
      <c r="F815" s="11">
        <v>3</v>
      </c>
      <c r="G815" s="13">
        <v>154.368932038834</v>
      </c>
      <c r="H815" s="13">
        <v>4.6310679611650496</v>
      </c>
      <c r="I815" s="13">
        <f t="shared" si="12"/>
        <v>158.99999999999906</v>
      </c>
      <c r="J815" s="14">
        <v>56.3106796116505</v>
      </c>
      <c r="K815" s="11" t="s">
        <v>23</v>
      </c>
    </row>
    <row r="816" spans="1:11" x14ac:dyDescent="0.25">
      <c r="A816" s="13">
        <v>1.1896476366238099E+17</v>
      </c>
      <c r="B816" s="20" t="s">
        <v>177</v>
      </c>
      <c r="C816" s="11" t="s">
        <v>16</v>
      </c>
      <c r="D816" s="13">
        <v>222170</v>
      </c>
      <c r="E816" s="13">
        <v>7117</v>
      </c>
      <c r="F816" s="11">
        <v>3</v>
      </c>
      <c r="G816" s="13">
        <v>145.631067961165</v>
      </c>
      <c r="H816" s="13">
        <v>4.6310679611650496</v>
      </c>
      <c r="I816" s="13">
        <f t="shared" si="12"/>
        <v>150.26213592233006</v>
      </c>
      <c r="J816" s="14">
        <v>47.572815533980602</v>
      </c>
      <c r="K816" s="11" t="s">
        <v>10</v>
      </c>
    </row>
    <row r="817" spans="1:11" x14ac:dyDescent="0.25">
      <c r="A817" s="13">
        <v>1.2160761036239299E+17</v>
      </c>
      <c r="B817" s="20" t="s">
        <v>171</v>
      </c>
      <c r="C817" s="11" t="s">
        <v>16</v>
      </c>
      <c r="D817" s="13">
        <v>123029</v>
      </c>
      <c r="E817" s="13">
        <v>7117</v>
      </c>
      <c r="F817" s="11">
        <v>3</v>
      </c>
      <c r="G817" s="13">
        <v>150.485436893203</v>
      </c>
      <c r="H817" s="13">
        <v>5.1844660194174796</v>
      </c>
      <c r="I817" s="13">
        <f t="shared" si="12"/>
        <v>155.66990291262047</v>
      </c>
      <c r="J817" s="14">
        <v>33.980582524271803</v>
      </c>
      <c r="K817" s="11" t="s">
        <v>63</v>
      </c>
    </row>
    <row r="818" spans="1:11" x14ac:dyDescent="0.25">
      <c r="A818" s="13">
        <v>1.22355860335914E+17</v>
      </c>
      <c r="B818" s="20" t="s">
        <v>182</v>
      </c>
      <c r="C818" s="11" t="s">
        <v>16</v>
      </c>
      <c r="D818" s="13">
        <v>224001</v>
      </c>
      <c r="E818" s="13">
        <v>7117</v>
      </c>
      <c r="F818" s="11">
        <v>3</v>
      </c>
      <c r="G818" s="13">
        <v>164.07766990291199</v>
      </c>
      <c r="H818" s="13">
        <v>5.1844660194174796</v>
      </c>
      <c r="I818" s="13">
        <f t="shared" si="12"/>
        <v>169.26213592232946</v>
      </c>
      <c r="J818" s="14">
        <v>47.572815533980602</v>
      </c>
      <c r="K818" s="11" t="s">
        <v>10</v>
      </c>
    </row>
    <row r="819" spans="1:11" x14ac:dyDescent="0.25">
      <c r="A819" s="13">
        <v>1.2263652368544E+17</v>
      </c>
      <c r="B819" s="20" t="s">
        <v>172</v>
      </c>
      <c r="C819" s="11" t="s">
        <v>16</v>
      </c>
      <c r="D819" s="13">
        <v>609108</v>
      </c>
      <c r="E819" s="13">
        <v>7117</v>
      </c>
      <c r="F819" s="11">
        <v>3</v>
      </c>
      <c r="G819" s="13">
        <v>154.368932038834</v>
      </c>
      <c r="H819" s="13">
        <v>4.6310679611650496</v>
      </c>
      <c r="I819" s="13">
        <f t="shared" si="12"/>
        <v>158.99999999999906</v>
      </c>
      <c r="J819" s="14">
        <v>56.3106796116505</v>
      </c>
      <c r="K819" s="11" t="s">
        <v>27</v>
      </c>
    </row>
    <row r="820" spans="1:11" x14ac:dyDescent="0.25">
      <c r="A820" s="13">
        <v>1.1868875951137101E+17</v>
      </c>
      <c r="B820" s="20" t="s">
        <v>192</v>
      </c>
      <c r="C820" s="11" t="s">
        <v>16</v>
      </c>
      <c r="D820" s="13">
        <v>232331</v>
      </c>
      <c r="E820" s="13">
        <v>7117</v>
      </c>
      <c r="F820" s="11">
        <v>3</v>
      </c>
      <c r="G820" s="13">
        <v>164.07766990291199</v>
      </c>
      <c r="H820" s="13">
        <v>5.1844660194174796</v>
      </c>
      <c r="I820" s="13">
        <f t="shared" si="12"/>
        <v>169.26213592232946</v>
      </c>
      <c r="J820" s="14">
        <v>47.572815533980602</v>
      </c>
      <c r="K820" s="11" t="s">
        <v>10</v>
      </c>
    </row>
    <row r="821" spans="1:11" x14ac:dyDescent="0.25">
      <c r="A821" s="13">
        <v>1.2218896144254899E+17</v>
      </c>
      <c r="B821" s="20" t="s">
        <v>182</v>
      </c>
      <c r="C821" s="11" t="s">
        <v>16</v>
      </c>
      <c r="D821" s="13">
        <v>110032</v>
      </c>
      <c r="E821" s="13">
        <v>7117</v>
      </c>
      <c r="F821" s="11">
        <v>3</v>
      </c>
      <c r="G821" s="13">
        <v>164.07766990291199</v>
      </c>
      <c r="H821" s="13">
        <v>5.1844660194174796</v>
      </c>
      <c r="I821" s="13">
        <f t="shared" si="12"/>
        <v>169.26213592232946</v>
      </c>
      <c r="J821" s="14">
        <v>47.572815533980602</v>
      </c>
      <c r="K821" s="11" t="s">
        <v>28</v>
      </c>
    </row>
    <row r="822" spans="1:11" x14ac:dyDescent="0.25">
      <c r="A822" s="13">
        <v>1.1732148032873699E+17</v>
      </c>
      <c r="B822" s="20" t="s">
        <v>151</v>
      </c>
      <c r="C822" s="11" t="s">
        <v>16</v>
      </c>
      <c r="D822" s="13">
        <v>816104</v>
      </c>
      <c r="E822" s="13">
        <v>7117</v>
      </c>
      <c r="F822" s="11">
        <v>3</v>
      </c>
      <c r="G822" s="13">
        <v>172.81553398058199</v>
      </c>
      <c r="H822" s="13">
        <v>5.1844660194174796</v>
      </c>
      <c r="I822" s="13">
        <f t="shared" si="12"/>
        <v>177.99999999999946</v>
      </c>
      <c r="J822" s="14">
        <v>56.3106796116505</v>
      </c>
      <c r="K822" s="11" t="s">
        <v>37</v>
      </c>
    </row>
    <row r="823" spans="1:11" x14ac:dyDescent="0.25">
      <c r="A823" s="13">
        <v>1.2157337311251299E+17</v>
      </c>
      <c r="B823" s="20" t="s">
        <v>171</v>
      </c>
      <c r="C823" s="11" t="s">
        <v>16</v>
      </c>
      <c r="D823" s="13">
        <v>413716</v>
      </c>
      <c r="E823" s="13">
        <v>7117</v>
      </c>
      <c r="F823" s="11">
        <v>3</v>
      </c>
      <c r="G823" s="13">
        <v>169.90291262135901</v>
      </c>
      <c r="H823" s="13">
        <v>5.0970873786407802</v>
      </c>
      <c r="I823" s="13">
        <f t="shared" si="12"/>
        <v>174.9999999999998</v>
      </c>
      <c r="J823" s="14">
        <v>59.223300970873801</v>
      </c>
      <c r="K823" s="11" t="s">
        <v>41</v>
      </c>
    </row>
    <row r="824" spans="1:11" x14ac:dyDescent="0.25">
      <c r="A824" s="13">
        <v>1.1748844511025E+17</v>
      </c>
      <c r="B824" s="20" t="s">
        <v>170</v>
      </c>
      <c r="C824" s="11" t="s">
        <v>52</v>
      </c>
      <c r="D824" s="13">
        <v>695002</v>
      </c>
      <c r="E824" s="13">
        <v>7117</v>
      </c>
      <c r="F824" s="11">
        <v>3</v>
      </c>
      <c r="G824" s="13">
        <v>139.80582524271799</v>
      </c>
      <c r="H824" s="13">
        <v>4.7766990291262097</v>
      </c>
      <c r="I824" s="13">
        <f t="shared" si="12"/>
        <v>144.58252427184419</v>
      </c>
      <c r="J824" s="14">
        <v>46.601941747572802</v>
      </c>
      <c r="K824" s="11" t="s">
        <v>98</v>
      </c>
    </row>
    <row r="825" spans="1:11" x14ac:dyDescent="0.25">
      <c r="A825" s="13">
        <v>1.2123718235009501E+17</v>
      </c>
      <c r="B825" s="20" t="s">
        <v>187</v>
      </c>
      <c r="C825" s="11" t="s">
        <v>16</v>
      </c>
      <c r="D825" s="13">
        <v>226014</v>
      </c>
      <c r="E825" s="13">
        <v>7117</v>
      </c>
      <c r="F825" s="11">
        <v>3</v>
      </c>
      <c r="G825" s="13">
        <v>160.19417475728099</v>
      </c>
      <c r="H825" s="13">
        <v>5.1844660194174796</v>
      </c>
      <c r="I825" s="13">
        <f t="shared" si="12"/>
        <v>165.37864077669846</v>
      </c>
      <c r="J825" s="14">
        <v>43.6893203883495</v>
      </c>
      <c r="K825" s="11" t="s">
        <v>10</v>
      </c>
    </row>
    <row r="826" spans="1:11" x14ac:dyDescent="0.25">
      <c r="A826" s="13">
        <v>1.21995067888304E+17</v>
      </c>
      <c r="B826" s="20" t="s">
        <v>181</v>
      </c>
      <c r="C826" s="11" t="s">
        <v>16</v>
      </c>
      <c r="D826" s="13">
        <v>273015</v>
      </c>
      <c r="E826" s="13">
        <v>7117</v>
      </c>
      <c r="F826" s="11">
        <v>3</v>
      </c>
      <c r="G826" s="13">
        <v>149.514563106796</v>
      </c>
      <c r="H826" s="13">
        <v>5.1844660194174796</v>
      </c>
      <c r="I826" s="13">
        <f t="shared" si="12"/>
        <v>154.69902912621347</v>
      </c>
      <c r="J826" s="14">
        <v>33.009708737864102</v>
      </c>
      <c r="K826" s="11" t="s">
        <v>10</v>
      </c>
    </row>
    <row r="827" spans="1:11" x14ac:dyDescent="0.25">
      <c r="A827" s="13">
        <v>1.18367729827828E+17</v>
      </c>
      <c r="B827" s="20" t="s">
        <v>190</v>
      </c>
      <c r="C827" s="11" t="s">
        <v>21</v>
      </c>
      <c r="D827" s="13">
        <v>208013</v>
      </c>
      <c r="E827" s="13">
        <v>7117</v>
      </c>
      <c r="F827" s="11">
        <v>3</v>
      </c>
      <c r="G827" s="13">
        <v>164.07766990291199</v>
      </c>
      <c r="H827" s="13">
        <v>5.1844660194174796</v>
      </c>
      <c r="I827" s="13">
        <f t="shared" si="12"/>
        <v>169.26213592232946</v>
      </c>
      <c r="J827" s="14">
        <v>47.572815533980602</v>
      </c>
      <c r="K827" s="11" t="s">
        <v>10</v>
      </c>
    </row>
    <row r="828" spans="1:11" x14ac:dyDescent="0.25">
      <c r="A828" s="13">
        <v>1.1746782160843E+17</v>
      </c>
      <c r="B828" s="20" t="s">
        <v>170</v>
      </c>
      <c r="C828" s="11" t="s">
        <v>16</v>
      </c>
      <c r="D828" s="13">
        <v>821108</v>
      </c>
      <c r="E828" s="13">
        <v>7117</v>
      </c>
      <c r="F828" s="11">
        <v>3</v>
      </c>
      <c r="G828" s="13">
        <v>161.16504854368901</v>
      </c>
      <c r="H828" s="13">
        <v>4.8349514563106801</v>
      </c>
      <c r="I828" s="13">
        <f t="shared" si="12"/>
        <v>165.99999999999969</v>
      </c>
      <c r="J828" s="14">
        <v>56.3106796116505</v>
      </c>
      <c r="K828" s="11" t="s">
        <v>22</v>
      </c>
    </row>
    <row r="829" spans="1:11" x14ac:dyDescent="0.25">
      <c r="A829" s="13">
        <v>1.1969298940155901E+17</v>
      </c>
      <c r="B829" s="20" t="s">
        <v>174</v>
      </c>
      <c r="C829" s="11" t="s">
        <v>16</v>
      </c>
      <c r="D829" s="13">
        <v>843326</v>
      </c>
      <c r="E829" s="13">
        <v>7117</v>
      </c>
      <c r="F829" s="11">
        <v>3</v>
      </c>
      <c r="G829" s="13">
        <v>170.873786407767</v>
      </c>
      <c r="H829" s="13">
        <v>5.1262135922330101</v>
      </c>
      <c r="I829" s="13">
        <f t="shared" si="12"/>
        <v>176</v>
      </c>
      <c r="J829" s="14">
        <v>54.368932038834998</v>
      </c>
      <c r="K829" s="11" t="s">
        <v>22</v>
      </c>
    </row>
    <row r="830" spans="1:11" x14ac:dyDescent="0.25">
      <c r="A830" s="13">
        <v>1.2381889220328899E+17</v>
      </c>
      <c r="B830" s="20" t="s">
        <v>188</v>
      </c>
      <c r="C830" s="11" t="s">
        <v>25</v>
      </c>
      <c r="D830" s="13">
        <v>244223</v>
      </c>
      <c r="E830" s="13">
        <v>7117</v>
      </c>
      <c r="F830" s="11">
        <v>3</v>
      </c>
      <c r="G830" s="13">
        <v>151.45631067961099</v>
      </c>
      <c r="H830" s="13">
        <v>4.8058252427184502</v>
      </c>
      <c r="I830" s="13">
        <f t="shared" si="12"/>
        <v>156.26213592232943</v>
      </c>
      <c r="J830" s="14">
        <v>48.543689320388303</v>
      </c>
      <c r="K830" s="11" t="s">
        <v>10</v>
      </c>
    </row>
    <row r="831" spans="1:11" x14ac:dyDescent="0.25">
      <c r="A831" s="13">
        <v>1.18647645514564E+17</v>
      </c>
      <c r="B831" s="20" t="s">
        <v>192</v>
      </c>
      <c r="C831" s="11" t="s">
        <v>16</v>
      </c>
      <c r="D831" s="13">
        <v>852215</v>
      </c>
      <c r="E831" s="13">
        <v>7117</v>
      </c>
      <c r="F831" s="11">
        <v>3</v>
      </c>
      <c r="G831" s="13">
        <v>154.368932038834</v>
      </c>
      <c r="H831" s="13">
        <v>4.6310679611650496</v>
      </c>
      <c r="I831" s="13">
        <f t="shared" si="12"/>
        <v>158.99999999999906</v>
      </c>
      <c r="J831" s="14">
        <v>56.3106796116505</v>
      </c>
      <c r="K831" s="11" t="s">
        <v>22</v>
      </c>
    </row>
    <row r="832" spans="1:11" x14ac:dyDescent="0.25">
      <c r="A832" s="13">
        <v>1.2546995166562899E+17</v>
      </c>
      <c r="B832" s="20" t="s">
        <v>185</v>
      </c>
      <c r="C832" s="11" t="s">
        <v>71</v>
      </c>
      <c r="D832" s="13">
        <v>227808</v>
      </c>
      <c r="E832" s="13">
        <v>7117</v>
      </c>
      <c r="F832" s="11">
        <v>3</v>
      </c>
      <c r="G832" s="13">
        <v>207.766990291262</v>
      </c>
      <c r="H832" s="13">
        <v>6.6699029126213603</v>
      </c>
      <c r="I832" s="13">
        <f t="shared" si="12"/>
        <v>214.43689320388336</v>
      </c>
      <c r="J832" s="14">
        <v>42.7184466019418</v>
      </c>
      <c r="K832" s="11" t="s">
        <v>10</v>
      </c>
    </row>
    <row r="833" spans="1:11" x14ac:dyDescent="0.25">
      <c r="A833" s="13">
        <v>1.2006344777767E+17</v>
      </c>
      <c r="B833" s="20" t="s">
        <v>175</v>
      </c>
      <c r="C833" s="11" t="s">
        <v>16</v>
      </c>
      <c r="D833" s="13">
        <v>160019</v>
      </c>
      <c r="E833" s="13">
        <v>7117</v>
      </c>
      <c r="F833" s="11">
        <v>3</v>
      </c>
      <c r="G833" s="13">
        <v>145.631067961165</v>
      </c>
      <c r="H833" s="13">
        <v>4.6310679611650496</v>
      </c>
      <c r="I833" s="13">
        <f t="shared" si="12"/>
        <v>150.26213592233006</v>
      </c>
      <c r="J833" s="14">
        <v>47.572815533980602</v>
      </c>
      <c r="K833" s="11" t="s">
        <v>85</v>
      </c>
    </row>
    <row r="834" spans="1:11" x14ac:dyDescent="0.25">
      <c r="A834" s="13">
        <v>8.0929583877729104E+16</v>
      </c>
      <c r="B834" s="20" t="s">
        <v>31</v>
      </c>
      <c r="C834" s="11" t="s">
        <v>25</v>
      </c>
      <c r="D834" s="13">
        <v>221010</v>
      </c>
      <c r="E834" s="13">
        <v>7117</v>
      </c>
      <c r="F834" s="11">
        <v>3</v>
      </c>
      <c r="G834" s="13">
        <v>0</v>
      </c>
      <c r="H834" s="13">
        <v>0</v>
      </c>
      <c r="I834" s="13">
        <f t="shared" si="12"/>
        <v>0</v>
      </c>
      <c r="J834" s="14">
        <v>-9.7087378640776993</v>
      </c>
      <c r="K834" s="11" t="s">
        <v>10</v>
      </c>
    </row>
    <row r="835" spans="1:11" x14ac:dyDescent="0.25">
      <c r="A835" s="13">
        <v>1.22185806630352E+17</v>
      </c>
      <c r="B835" s="20" t="s">
        <v>182</v>
      </c>
      <c r="C835" s="11" t="s">
        <v>16</v>
      </c>
      <c r="D835" s="13">
        <v>421306</v>
      </c>
      <c r="E835" s="13">
        <v>7117</v>
      </c>
      <c r="F835" s="11">
        <v>3</v>
      </c>
      <c r="G835" s="13">
        <v>172.81553398058199</v>
      </c>
      <c r="H835" s="13">
        <v>5.1844660194174796</v>
      </c>
      <c r="I835" s="13">
        <f t="shared" ref="I835:I898" si="13">G835+H835</f>
        <v>177.99999999999946</v>
      </c>
      <c r="J835" s="14">
        <v>56.3106796116505</v>
      </c>
      <c r="K835" s="11" t="s">
        <v>41</v>
      </c>
    </row>
    <row r="836" spans="1:11" x14ac:dyDescent="0.25">
      <c r="A836" s="13">
        <v>1.1754010679315299E+17</v>
      </c>
      <c r="B836" s="20" t="s">
        <v>170</v>
      </c>
      <c r="C836" s="11" t="s">
        <v>25</v>
      </c>
      <c r="D836" s="13">
        <v>246763</v>
      </c>
      <c r="E836" s="13">
        <v>7117</v>
      </c>
      <c r="F836" s="11">
        <v>3</v>
      </c>
      <c r="G836" s="13">
        <v>133.980582524271</v>
      </c>
      <c r="H836" s="13">
        <v>4.1650485436893199</v>
      </c>
      <c r="I836" s="13">
        <f t="shared" si="13"/>
        <v>138.14563106796032</v>
      </c>
      <c r="J836" s="14">
        <v>54.368932038834998</v>
      </c>
      <c r="K836" s="11" t="s">
        <v>10</v>
      </c>
    </row>
    <row r="837" spans="1:11" x14ac:dyDescent="0.25">
      <c r="A837" s="13">
        <v>1.2202028906344899E+17</v>
      </c>
      <c r="B837" s="20" t="s">
        <v>181</v>
      </c>
      <c r="C837" s="11" t="s">
        <v>16</v>
      </c>
      <c r="D837" s="13">
        <v>250404</v>
      </c>
      <c r="E837" s="13">
        <v>7117</v>
      </c>
      <c r="F837" s="11">
        <v>3</v>
      </c>
      <c r="G837" s="13">
        <v>138.83495145630999</v>
      </c>
      <c r="H837" s="13">
        <v>4.42718446601942</v>
      </c>
      <c r="I837" s="13">
        <f t="shared" si="13"/>
        <v>143.26213592232941</v>
      </c>
      <c r="J837" s="14">
        <v>50.485436893203897</v>
      </c>
      <c r="K837" s="11" t="s">
        <v>10</v>
      </c>
    </row>
    <row r="838" spans="1:11" x14ac:dyDescent="0.25">
      <c r="A838" s="13">
        <v>1.1827205799283501E+17</v>
      </c>
      <c r="B838" s="20" t="s">
        <v>190</v>
      </c>
      <c r="C838" s="11" t="s">
        <v>21</v>
      </c>
      <c r="D838" s="13">
        <v>272271</v>
      </c>
      <c r="E838" s="13">
        <v>7117</v>
      </c>
      <c r="F838" s="11">
        <v>3</v>
      </c>
      <c r="G838" s="13">
        <v>164.07766990291199</v>
      </c>
      <c r="H838" s="13">
        <v>5.1844660194174796</v>
      </c>
      <c r="I838" s="13">
        <f t="shared" si="13"/>
        <v>169.26213592232946</v>
      </c>
      <c r="J838" s="14">
        <v>47.572815533980602</v>
      </c>
      <c r="K838" s="11" t="s">
        <v>10</v>
      </c>
    </row>
    <row r="839" spans="1:11" x14ac:dyDescent="0.25">
      <c r="A839" s="13">
        <v>1.1745851157908301E+17</v>
      </c>
      <c r="B839" s="20" t="s">
        <v>170</v>
      </c>
      <c r="C839" s="11" t="s">
        <v>16</v>
      </c>
      <c r="D839" s="13">
        <v>204101</v>
      </c>
      <c r="E839" s="13">
        <v>7117</v>
      </c>
      <c r="F839" s="11">
        <v>3</v>
      </c>
      <c r="G839" s="13">
        <v>135.92233009708701</v>
      </c>
      <c r="H839" s="13">
        <v>4.3398058252427196</v>
      </c>
      <c r="I839" s="13">
        <f t="shared" si="13"/>
        <v>140.26213592232972</v>
      </c>
      <c r="J839" s="14">
        <v>47.572815533980602</v>
      </c>
      <c r="K839" s="11" t="s">
        <v>10</v>
      </c>
    </row>
    <row r="840" spans="1:11" x14ac:dyDescent="0.25">
      <c r="A840" s="13">
        <v>1.20793414248812E+17</v>
      </c>
      <c r="B840" s="20" t="s">
        <v>186</v>
      </c>
      <c r="C840" s="11" t="s">
        <v>16</v>
      </c>
      <c r="D840" s="13">
        <v>313031</v>
      </c>
      <c r="E840" s="13">
        <v>7117</v>
      </c>
      <c r="F840" s="11">
        <v>3</v>
      </c>
      <c r="G840" s="13">
        <v>145.631067961165</v>
      </c>
      <c r="H840" s="13">
        <v>4.6310679611650496</v>
      </c>
      <c r="I840" s="13">
        <f t="shared" si="13"/>
        <v>150.26213592233006</v>
      </c>
      <c r="J840" s="14">
        <v>47.572815533980602</v>
      </c>
      <c r="K840" s="11" t="s">
        <v>46</v>
      </c>
    </row>
    <row r="841" spans="1:11" x14ac:dyDescent="0.25">
      <c r="A841" s="13">
        <v>1.1706877017826499E+17</v>
      </c>
      <c r="B841" s="20" t="s">
        <v>151</v>
      </c>
      <c r="C841" s="11" t="s">
        <v>16</v>
      </c>
      <c r="D841" s="13">
        <v>226021</v>
      </c>
      <c r="E841" s="13">
        <v>7117</v>
      </c>
      <c r="F841" s="11">
        <v>3</v>
      </c>
      <c r="G841" s="13">
        <v>143.68932038834899</v>
      </c>
      <c r="H841" s="13">
        <v>5.0679611650485397</v>
      </c>
      <c r="I841" s="13">
        <f t="shared" si="13"/>
        <v>148.75728155339752</v>
      </c>
      <c r="J841" s="14">
        <v>32.038834951456302</v>
      </c>
      <c r="K841" s="11" t="s">
        <v>10</v>
      </c>
    </row>
    <row r="842" spans="1:11" x14ac:dyDescent="0.25">
      <c r="A842" s="13">
        <v>1.1748761257567901E+17</v>
      </c>
      <c r="B842" s="20" t="s">
        <v>170</v>
      </c>
      <c r="C842" s="11" t="s">
        <v>16</v>
      </c>
      <c r="D842" s="13">
        <v>243724</v>
      </c>
      <c r="E842" s="13">
        <v>7117</v>
      </c>
      <c r="F842" s="11">
        <v>3</v>
      </c>
      <c r="G842" s="13">
        <v>121.35922330097</v>
      </c>
      <c r="H842" s="13">
        <v>4.3398058252427196</v>
      </c>
      <c r="I842" s="13">
        <f t="shared" si="13"/>
        <v>125.69902912621272</v>
      </c>
      <c r="J842" s="14">
        <v>33.009708737864102</v>
      </c>
      <c r="K842" s="11" t="s">
        <v>10</v>
      </c>
    </row>
    <row r="843" spans="1:11" x14ac:dyDescent="0.25">
      <c r="A843" s="13">
        <v>1.24744017670114E+17</v>
      </c>
      <c r="B843" s="20" t="s">
        <v>193</v>
      </c>
      <c r="C843" s="11" t="s">
        <v>21</v>
      </c>
      <c r="D843" s="13">
        <v>813210</v>
      </c>
      <c r="E843" s="13">
        <v>7117</v>
      </c>
      <c r="F843" s="11">
        <v>3</v>
      </c>
      <c r="G843" s="13">
        <v>177.66990291262101</v>
      </c>
      <c r="H843" s="13">
        <v>5.3300970873786397</v>
      </c>
      <c r="I843" s="13">
        <f t="shared" si="13"/>
        <v>182.99999999999966</v>
      </c>
      <c r="J843" s="14">
        <v>56.3106796116505</v>
      </c>
      <c r="K843" s="11" t="s">
        <v>22</v>
      </c>
    </row>
    <row r="844" spans="1:11" x14ac:dyDescent="0.25">
      <c r="A844" s="13">
        <v>1.17874432464286E+17</v>
      </c>
      <c r="B844" s="20" t="s">
        <v>184</v>
      </c>
      <c r="C844" s="11" t="s">
        <v>16</v>
      </c>
      <c r="D844" s="13">
        <v>410513</v>
      </c>
      <c r="E844" s="13">
        <v>7117</v>
      </c>
      <c r="F844" s="11">
        <v>3</v>
      </c>
      <c r="G844" s="13">
        <v>172.81553398058199</v>
      </c>
      <c r="H844" s="13">
        <v>5.1844660194174796</v>
      </c>
      <c r="I844" s="13">
        <f t="shared" si="13"/>
        <v>177.99999999999946</v>
      </c>
      <c r="J844" s="14">
        <v>56.3106796116505</v>
      </c>
      <c r="K844" s="11" t="s">
        <v>41</v>
      </c>
    </row>
    <row r="845" spans="1:11" x14ac:dyDescent="0.25">
      <c r="A845" s="13">
        <v>1.21211637175972E+17</v>
      </c>
      <c r="B845" s="20" t="s">
        <v>187</v>
      </c>
      <c r="C845" s="11" t="s">
        <v>16</v>
      </c>
      <c r="D845" s="13">
        <v>782435</v>
      </c>
      <c r="E845" s="13">
        <v>7117</v>
      </c>
      <c r="F845" s="11">
        <v>3</v>
      </c>
      <c r="G845" s="13">
        <v>189.32038834951399</v>
      </c>
      <c r="H845" s="13">
        <v>5.6796116504854401</v>
      </c>
      <c r="I845" s="13">
        <f t="shared" si="13"/>
        <v>194.99999999999943</v>
      </c>
      <c r="J845" s="14">
        <v>78.640776699029104</v>
      </c>
      <c r="K845" s="11" t="s">
        <v>35</v>
      </c>
    </row>
    <row r="846" spans="1:11" x14ac:dyDescent="0.25">
      <c r="A846" s="13">
        <v>1.19849851575596E+17</v>
      </c>
      <c r="B846" s="20" t="s">
        <v>174</v>
      </c>
      <c r="C846" s="11" t="s">
        <v>25</v>
      </c>
      <c r="D846" s="13">
        <v>571313</v>
      </c>
      <c r="E846" s="13">
        <v>7117</v>
      </c>
      <c r="F846" s="11">
        <v>3</v>
      </c>
      <c r="G846" s="13">
        <v>147.57281553397999</v>
      </c>
      <c r="H846" s="13">
        <v>4.42718446601942</v>
      </c>
      <c r="I846" s="13">
        <f t="shared" si="13"/>
        <v>151.9999999999994</v>
      </c>
      <c r="J846" s="14">
        <v>59.223300970873801</v>
      </c>
      <c r="K846" s="11" t="s">
        <v>19</v>
      </c>
    </row>
    <row r="847" spans="1:11" x14ac:dyDescent="0.25">
      <c r="A847" s="13">
        <v>1.2042774049482E+17</v>
      </c>
      <c r="B847" s="20" t="s">
        <v>176</v>
      </c>
      <c r="C847" s="11" t="s">
        <v>16</v>
      </c>
      <c r="D847" s="13">
        <v>132105</v>
      </c>
      <c r="E847" s="13">
        <v>7117</v>
      </c>
      <c r="F847" s="11">
        <v>3</v>
      </c>
      <c r="G847" s="13">
        <v>161.16504854368901</v>
      </c>
      <c r="H847" s="13">
        <v>5.0970873786407802</v>
      </c>
      <c r="I847" s="13">
        <f t="shared" si="13"/>
        <v>166.2621359223298</v>
      </c>
      <c r="J847" s="14">
        <v>50.485436893203897</v>
      </c>
      <c r="K847" s="11" t="s">
        <v>63</v>
      </c>
    </row>
    <row r="848" spans="1:11" x14ac:dyDescent="0.25">
      <c r="A848" s="13">
        <v>1.20385196653702E+17</v>
      </c>
      <c r="B848" s="20" t="s">
        <v>176</v>
      </c>
      <c r="C848" s="11" t="s">
        <v>16</v>
      </c>
      <c r="D848" s="13">
        <v>495001</v>
      </c>
      <c r="E848" s="13">
        <v>7117</v>
      </c>
      <c r="F848" s="11">
        <v>3</v>
      </c>
      <c r="G848" s="13">
        <v>172.81553398058199</v>
      </c>
      <c r="H848" s="13">
        <v>5.1844660194174796</v>
      </c>
      <c r="I848" s="13">
        <f t="shared" si="13"/>
        <v>177.99999999999946</v>
      </c>
      <c r="J848" s="14">
        <v>56.3106796116505</v>
      </c>
      <c r="K848" s="11" t="s">
        <v>23</v>
      </c>
    </row>
    <row r="849" spans="1:11" x14ac:dyDescent="0.25">
      <c r="A849" s="13">
        <v>1.22249008784764E+17</v>
      </c>
      <c r="B849" s="20" t="s">
        <v>182</v>
      </c>
      <c r="C849" s="11" t="s">
        <v>52</v>
      </c>
      <c r="D849" s="13">
        <v>431009</v>
      </c>
      <c r="E849" s="13">
        <v>7117</v>
      </c>
      <c r="F849" s="11">
        <v>3</v>
      </c>
      <c r="G849" s="13">
        <v>172.81553398058199</v>
      </c>
      <c r="H849" s="13">
        <v>5.1844660194174796</v>
      </c>
      <c r="I849" s="13">
        <f t="shared" si="13"/>
        <v>177.99999999999946</v>
      </c>
      <c r="J849" s="14">
        <v>56.3106796116505</v>
      </c>
      <c r="K849" s="11" t="s">
        <v>41</v>
      </c>
    </row>
    <row r="850" spans="1:11" x14ac:dyDescent="0.25">
      <c r="A850" s="13">
        <v>1.1723916595930301E+17</v>
      </c>
      <c r="B850" s="20" t="s">
        <v>151</v>
      </c>
      <c r="C850" s="11" t="s">
        <v>16</v>
      </c>
      <c r="D850" s="13">
        <v>248121</v>
      </c>
      <c r="E850" s="13">
        <v>7117</v>
      </c>
      <c r="F850" s="11">
        <v>3</v>
      </c>
      <c r="G850" s="13">
        <v>164.07766990291199</v>
      </c>
      <c r="H850" s="13">
        <v>5.1844660194174796</v>
      </c>
      <c r="I850" s="13">
        <f t="shared" si="13"/>
        <v>169.26213592232946</v>
      </c>
      <c r="J850" s="14">
        <v>47.572815533980602</v>
      </c>
      <c r="K850" s="11" t="s">
        <v>49</v>
      </c>
    </row>
    <row r="851" spans="1:11" x14ac:dyDescent="0.25">
      <c r="A851" s="13">
        <v>8.09856034618048E+16</v>
      </c>
      <c r="B851" s="20" t="s">
        <v>31</v>
      </c>
      <c r="C851" s="11" t="s">
        <v>25</v>
      </c>
      <c r="D851" s="13">
        <v>301701</v>
      </c>
      <c r="E851" s="13">
        <v>7117</v>
      </c>
      <c r="F851" s="11">
        <v>3</v>
      </c>
      <c r="G851" s="13">
        <v>0</v>
      </c>
      <c r="H851" s="13">
        <v>0</v>
      </c>
      <c r="I851" s="13">
        <f t="shared" si="13"/>
        <v>0</v>
      </c>
      <c r="J851" s="14">
        <v>-6.7961165048543997</v>
      </c>
      <c r="K851" s="11" t="s">
        <v>46</v>
      </c>
    </row>
    <row r="852" spans="1:11" x14ac:dyDescent="0.25">
      <c r="A852" s="13">
        <v>1.1760209127462899E+17</v>
      </c>
      <c r="B852" s="20" t="s">
        <v>170</v>
      </c>
      <c r="C852" s="11" t="s">
        <v>16</v>
      </c>
      <c r="D852" s="13">
        <v>324010</v>
      </c>
      <c r="E852" s="13">
        <v>7117</v>
      </c>
      <c r="F852" s="11">
        <v>3</v>
      </c>
      <c r="G852" s="13">
        <v>136.893203883495</v>
      </c>
      <c r="H852" s="13">
        <v>4.3689320388349504</v>
      </c>
      <c r="I852" s="13">
        <f t="shared" si="13"/>
        <v>141.26213592232995</v>
      </c>
      <c r="J852" s="14">
        <v>49.514563106796103</v>
      </c>
      <c r="K852" s="11" t="s">
        <v>46</v>
      </c>
    </row>
    <row r="853" spans="1:11" x14ac:dyDescent="0.25">
      <c r="A853" s="13">
        <v>8.9023742776374E+16</v>
      </c>
      <c r="B853" s="20" t="s">
        <v>70</v>
      </c>
      <c r="C853" s="11" t="s">
        <v>25</v>
      </c>
      <c r="D853" s="13">
        <v>140603</v>
      </c>
      <c r="E853" s="13">
        <v>7117</v>
      </c>
      <c r="F853" s="11">
        <v>3</v>
      </c>
      <c r="G853" s="13">
        <v>0</v>
      </c>
      <c r="H853" s="13">
        <v>0</v>
      </c>
      <c r="I853" s="13">
        <f t="shared" si="13"/>
        <v>0</v>
      </c>
      <c r="J853" s="14">
        <v>-9.7087378640776993</v>
      </c>
      <c r="K853" s="11" t="s">
        <v>17</v>
      </c>
    </row>
    <row r="854" spans="1:11" x14ac:dyDescent="0.25">
      <c r="A854" s="13">
        <v>1.2556058407812899E+17</v>
      </c>
      <c r="B854" s="20" t="s">
        <v>185</v>
      </c>
      <c r="C854" s="11" t="s">
        <v>25</v>
      </c>
      <c r="D854" s="13">
        <v>277401</v>
      </c>
      <c r="E854" s="13">
        <v>7117</v>
      </c>
      <c r="F854" s="11">
        <v>3</v>
      </c>
      <c r="G854" s="13">
        <v>151.45631067961099</v>
      </c>
      <c r="H854" s="13">
        <v>4.8058252427184502</v>
      </c>
      <c r="I854" s="13">
        <f t="shared" si="13"/>
        <v>156.26213592232943</v>
      </c>
      <c r="J854" s="14">
        <v>47.572815533980602</v>
      </c>
      <c r="K854" s="11" t="s">
        <v>10</v>
      </c>
    </row>
    <row r="855" spans="1:11" x14ac:dyDescent="0.25">
      <c r="A855" s="13">
        <v>1.2485337657619501E+17</v>
      </c>
      <c r="B855" s="20" t="s">
        <v>193</v>
      </c>
      <c r="C855" s="11" t="s">
        <v>25</v>
      </c>
      <c r="D855" s="13">
        <v>783337</v>
      </c>
      <c r="E855" s="13">
        <v>7117</v>
      </c>
      <c r="F855" s="11">
        <v>3</v>
      </c>
      <c r="G855" s="13">
        <v>171.844660194174</v>
      </c>
      <c r="H855" s="13">
        <v>5.8834951456310698</v>
      </c>
      <c r="I855" s="13">
        <f t="shared" si="13"/>
        <v>177.72815533980506</v>
      </c>
      <c r="J855" s="14">
        <v>50.485436893203897</v>
      </c>
      <c r="K855" s="11" t="s">
        <v>35</v>
      </c>
    </row>
    <row r="856" spans="1:11" x14ac:dyDescent="0.25">
      <c r="A856" s="13">
        <v>1.1791921495913299E+17</v>
      </c>
      <c r="B856" s="20" t="s">
        <v>184</v>
      </c>
      <c r="C856" s="11" t="s">
        <v>16</v>
      </c>
      <c r="D856" s="13">
        <v>321602</v>
      </c>
      <c r="E856" s="13">
        <v>7117</v>
      </c>
      <c r="F856" s="11">
        <v>3</v>
      </c>
      <c r="G856" s="13">
        <v>166.01941747572801</v>
      </c>
      <c r="H856" s="13">
        <v>5.2427184466019403</v>
      </c>
      <c r="I856" s="13">
        <f t="shared" si="13"/>
        <v>171.26213592232995</v>
      </c>
      <c r="J856" s="14">
        <v>48.543689320388303</v>
      </c>
      <c r="K856" s="11" t="s">
        <v>46</v>
      </c>
    </row>
    <row r="857" spans="1:11" x14ac:dyDescent="0.25">
      <c r="A857" s="13">
        <v>1.1974864799091901E+17</v>
      </c>
      <c r="B857" s="20" t="s">
        <v>174</v>
      </c>
      <c r="C857" s="11" t="s">
        <v>16</v>
      </c>
      <c r="D857" s="13">
        <v>273013</v>
      </c>
      <c r="E857" s="13">
        <v>7117</v>
      </c>
      <c r="F857" s="11">
        <v>3</v>
      </c>
      <c r="G857" s="13">
        <v>164.07766990291199</v>
      </c>
      <c r="H857" s="13">
        <v>5.1844660194174796</v>
      </c>
      <c r="I857" s="13">
        <f t="shared" si="13"/>
        <v>169.26213592232946</v>
      </c>
      <c r="J857" s="14">
        <v>47.572815533980602</v>
      </c>
      <c r="K857" s="11" t="s">
        <v>10</v>
      </c>
    </row>
    <row r="858" spans="1:11" x14ac:dyDescent="0.25">
      <c r="A858" s="13">
        <v>1.17055857308758E+17</v>
      </c>
      <c r="B858" s="20" t="s">
        <v>151</v>
      </c>
      <c r="C858" s="11" t="s">
        <v>16</v>
      </c>
      <c r="D858" s="13">
        <v>516329</v>
      </c>
      <c r="E858" s="13">
        <v>7117</v>
      </c>
      <c r="F858" s="11">
        <v>3</v>
      </c>
      <c r="G858" s="13">
        <v>172.81553398058199</v>
      </c>
      <c r="H858" s="13">
        <v>5.1844660194174796</v>
      </c>
      <c r="I858" s="13">
        <f t="shared" si="13"/>
        <v>177.99999999999946</v>
      </c>
      <c r="J858" s="14">
        <v>56.3106796116505</v>
      </c>
      <c r="K858" s="11" t="s">
        <v>39</v>
      </c>
    </row>
    <row r="859" spans="1:11" x14ac:dyDescent="0.25">
      <c r="A859" s="13">
        <v>1.265859877481E+17</v>
      </c>
      <c r="B859" s="20" t="s">
        <v>183</v>
      </c>
      <c r="C859" s="11" t="s">
        <v>25</v>
      </c>
      <c r="D859" s="13">
        <v>769001</v>
      </c>
      <c r="E859" s="13">
        <v>7117</v>
      </c>
      <c r="F859" s="11">
        <v>3</v>
      </c>
      <c r="G859" s="13">
        <v>177.66990291262101</v>
      </c>
      <c r="H859" s="13">
        <v>5.3300970873786397</v>
      </c>
      <c r="I859" s="13">
        <f t="shared" si="13"/>
        <v>182.99999999999966</v>
      </c>
      <c r="J859" s="14">
        <v>56.3106796116505</v>
      </c>
      <c r="K859" s="11" t="s">
        <v>54</v>
      </c>
    </row>
    <row r="860" spans="1:11" x14ac:dyDescent="0.25">
      <c r="A860" s="13">
        <v>1.22030063163306E+17</v>
      </c>
      <c r="B860" s="20" t="s">
        <v>181</v>
      </c>
      <c r="C860" s="11" t="s">
        <v>25</v>
      </c>
      <c r="D860" s="13">
        <v>275201</v>
      </c>
      <c r="E860" s="13">
        <v>7117</v>
      </c>
      <c r="F860" s="11">
        <v>3</v>
      </c>
      <c r="G860" s="13">
        <v>138.83495145630999</v>
      </c>
      <c r="H860" s="13">
        <v>4.42718446601942</v>
      </c>
      <c r="I860" s="13">
        <f t="shared" si="13"/>
        <v>143.26213592232941</v>
      </c>
      <c r="J860" s="14">
        <v>50.485436893203897</v>
      </c>
      <c r="K860" s="11" t="s">
        <v>10</v>
      </c>
    </row>
    <row r="861" spans="1:11" x14ac:dyDescent="0.25">
      <c r="A861" s="13">
        <v>8.3520462140728992E+16</v>
      </c>
      <c r="B861" s="20" t="s">
        <v>34</v>
      </c>
      <c r="C861" s="11" t="s">
        <v>25</v>
      </c>
      <c r="D861" s="13">
        <v>110053</v>
      </c>
      <c r="E861" s="13">
        <v>7117</v>
      </c>
      <c r="F861" s="11">
        <v>3</v>
      </c>
      <c r="G861" s="13">
        <v>0</v>
      </c>
      <c r="H861" s="13">
        <v>0</v>
      </c>
      <c r="I861" s="13">
        <f t="shared" si="13"/>
        <v>0</v>
      </c>
      <c r="J861" s="14">
        <v>-9.7087378640776993</v>
      </c>
      <c r="K861" s="11" t="s">
        <v>28</v>
      </c>
    </row>
    <row r="862" spans="1:11" x14ac:dyDescent="0.25">
      <c r="A862" s="13">
        <v>1.2038820124878499E+17</v>
      </c>
      <c r="B862" s="20" t="s">
        <v>176</v>
      </c>
      <c r="C862" s="11" t="s">
        <v>16</v>
      </c>
      <c r="D862" s="13">
        <v>495001</v>
      </c>
      <c r="E862" s="13">
        <v>7117</v>
      </c>
      <c r="F862" s="11">
        <v>3</v>
      </c>
      <c r="G862" s="13">
        <v>200.970873786407</v>
      </c>
      <c r="H862" s="13">
        <v>6.5825242718446599</v>
      </c>
      <c r="I862" s="13">
        <f t="shared" si="13"/>
        <v>207.55339805825164</v>
      </c>
      <c r="J862" s="14">
        <v>39.805825242718498</v>
      </c>
      <c r="K862" s="11" t="s">
        <v>23</v>
      </c>
    </row>
    <row r="863" spans="1:11" x14ac:dyDescent="0.25">
      <c r="A863" s="13">
        <v>8.0578271516437296E+16</v>
      </c>
      <c r="B863" s="20" t="s">
        <v>51</v>
      </c>
      <c r="C863" s="11" t="s">
        <v>25</v>
      </c>
      <c r="D863" s="13">
        <v>444704</v>
      </c>
      <c r="E863" s="13">
        <v>7117</v>
      </c>
      <c r="F863" s="11">
        <v>3</v>
      </c>
      <c r="G863" s="13">
        <v>0</v>
      </c>
      <c r="H863" s="13">
        <v>0</v>
      </c>
      <c r="I863" s="13">
        <f t="shared" si="13"/>
        <v>0</v>
      </c>
      <c r="J863" s="14">
        <v>-20.3883495145631</v>
      </c>
      <c r="K863" s="11" t="s">
        <v>41</v>
      </c>
    </row>
    <row r="864" spans="1:11" x14ac:dyDescent="0.25">
      <c r="A864" s="13">
        <v>8.6099288442204896E+16</v>
      </c>
      <c r="B864" s="20" t="s">
        <v>73</v>
      </c>
      <c r="C864" s="11" t="s">
        <v>25</v>
      </c>
      <c r="D864" s="13">
        <v>151207</v>
      </c>
      <c r="E864" s="13">
        <v>7117</v>
      </c>
      <c r="F864" s="11">
        <v>3</v>
      </c>
      <c r="G864" s="13">
        <v>0</v>
      </c>
      <c r="H864" s="13">
        <v>0</v>
      </c>
      <c r="I864" s="13">
        <f t="shared" si="13"/>
        <v>0</v>
      </c>
      <c r="J864" s="14">
        <v>-9.7087378640776993</v>
      </c>
      <c r="K864" s="11" t="s">
        <v>17</v>
      </c>
    </row>
    <row r="865" spans="1:11" x14ac:dyDescent="0.25">
      <c r="A865" s="13">
        <v>1.22640792409108E+17</v>
      </c>
      <c r="B865" s="20" t="s">
        <v>172</v>
      </c>
      <c r="C865" s="11" t="s">
        <v>16</v>
      </c>
      <c r="D865" s="13">
        <v>276303</v>
      </c>
      <c r="E865" s="13">
        <v>7117</v>
      </c>
      <c r="F865" s="11">
        <v>3</v>
      </c>
      <c r="G865" s="13">
        <v>164.07766990291199</v>
      </c>
      <c r="H865" s="13">
        <v>5.1844660194174796</v>
      </c>
      <c r="I865" s="13">
        <f t="shared" si="13"/>
        <v>169.26213592232946</v>
      </c>
      <c r="J865" s="14">
        <v>47.572815533980602</v>
      </c>
      <c r="K865" s="11" t="s">
        <v>10</v>
      </c>
    </row>
    <row r="866" spans="1:11" x14ac:dyDescent="0.25">
      <c r="A866" s="13">
        <v>1.2663956767483299E+17</v>
      </c>
      <c r="B866" s="20" t="s">
        <v>183</v>
      </c>
      <c r="C866" s="11" t="s">
        <v>9</v>
      </c>
      <c r="D866" s="13">
        <v>761108</v>
      </c>
      <c r="E866" s="13">
        <v>7117</v>
      </c>
      <c r="F866" s="11">
        <v>3</v>
      </c>
      <c r="G866" s="13">
        <v>177.66990291262101</v>
      </c>
      <c r="H866" s="13">
        <v>5.3300970873786397</v>
      </c>
      <c r="I866" s="13">
        <f t="shared" si="13"/>
        <v>182.99999999999966</v>
      </c>
      <c r="J866" s="14">
        <v>56.3106796116505</v>
      </c>
      <c r="K866" s="11" t="s">
        <v>54</v>
      </c>
    </row>
    <row r="867" spans="1:11" x14ac:dyDescent="0.25">
      <c r="A867" s="13">
        <v>1.2369722277685299E+17</v>
      </c>
      <c r="B867" s="20" t="s">
        <v>188</v>
      </c>
      <c r="C867" s="11" t="s">
        <v>16</v>
      </c>
      <c r="D867" s="13">
        <v>226002</v>
      </c>
      <c r="E867" s="13">
        <v>7117</v>
      </c>
      <c r="F867" s="11">
        <v>3</v>
      </c>
      <c r="G867" s="13">
        <v>81.553398058252398</v>
      </c>
      <c r="H867" s="13">
        <v>3.23300970873786</v>
      </c>
      <c r="I867" s="13">
        <f t="shared" si="13"/>
        <v>84.786407766990251</v>
      </c>
      <c r="J867" s="14">
        <v>33.009708737864102</v>
      </c>
      <c r="K867" s="11" t="s">
        <v>10</v>
      </c>
    </row>
    <row r="868" spans="1:11" x14ac:dyDescent="0.25">
      <c r="A868" s="13">
        <v>8.6369948575721104E+16</v>
      </c>
      <c r="B868" s="20" t="s">
        <v>94</v>
      </c>
      <c r="C868" s="11" t="s">
        <v>25</v>
      </c>
      <c r="D868" s="13">
        <v>232102</v>
      </c>
      <c r="E868" s="13">
        <v>7117</v>
      </c>
      <c r="F868" s="11">
        <v>3</v>
      </c>
      <c r="G868" s="13">
        <v>0</v>
      </c>
      <c r="H868" s="13">
        <v>0</v>
      </c>
      <c r="I868" s="13">
        <f t="shared" si="13"/>
        <v>0</v>
      </c>
      <c r="J868" s="14">
        <v>-9.7087378640776993</v>
      </c>
      <c r="K868" s="11" t="s">
        <v>10</v>
      </c>
    </row>
    <row r="869" spans="1:11" x14ac:dyDescent="0.25">
      <c r="A869" s="13">
        <v>1.16972605390746E+17</v>
      </c>
      <c r="B869" s="20" t="s">
        <v>151</v>
      </c>
      <c r="C869" s="11" t="s">
        <v>16</v>
      </c>
      <c r="D869" s="13">
        <v>121004</v>
      </c>
      <c r="E869" s="13">
        <v>7117</v>
      </c>
      <c r="F869" s="11">
        <v>3</v>
      </c>
      <c r="G869" s="13">
        <v>164.07766990291199</v>
      </c>
      <c r="H869" s="13">
        <v>5.1844660194174796</v>
      </c>
      <c r="I869" s="13">
        <f t="shared" si="13"/>
        <v>169.26213592232946</v>
      </c>
      <c r="J869" s="14">
        <v>47.572815533980602</v>
      </c>
      <c r="K869" s="11" t="s">
        <v>63</v>
      </c>
    </row>
    <row r="870" spans="1:11" x14ac:dyDescent="0.25">
      <c r="A870" s="13">
        <v>1.2234953474662899E+17</v>
      </c>
      <c r="B870" s="20" t="s">
        <v>182</v>
      </c>
      <c r="C870" s="11" t="s">
        <v>25</v>
      </c>
      <c r="D870" s="13">
        <v>132041</v>
      </c>
      <c r="E870" s="13">
        <v>7117</v>
      </c>
      <c r="F870" s="11">
        <v>3</v>
      </c>
      <c r="G870" s="13">
        <v>160.19417475728099</v>
      </c>
      <c r="H870" s="13">
        <v>5.0679611650485397</v>
      </c>
      <c r="I870" s="13">
        <f t="shared" si="13"/>
        <v>165.26213592232952</v>
      </c>
      <c r="J870" s="14">
        <v>48.543689320388303</v>
      </c>
      <c r="K870" s="11" t="s">
        <v>63</v>
      </c>
    </row>
    <row r="871" spans="1:11" x14ac:dyDescent="0.25">
      <c r="A871" s="13">
        <v>1.1763167546221699E+17</v>
      </c>
      <c r="B871" s="20" t="s">
        <v>170</v>
      </c>
      <c r="C871" s="11" t="s">
        <v>16</v>
      </c>
      <c r="D871" s="13">
        <v>132001</v>
      </c>
      <c r="E871" s="13">
        <v>7117</v>
      </c>
      <c r="F871" s="11">
        <v>3</v>
      </c>
      <c r="G871" s="13">
        <v>152.42718446601901</v>
      </c>
      <c r="H871" s="13">
        <v>4.8349514563106801</v>
      </c>
      <c r="I871" s="13">
        <f t="shared" si="13"/>
        <v>157.26213592232969</v>
      </c>
      <c r="J871" s="14">
        <v>47.572815533980602</v>
      </c>
      <c r="K871" s="11" t="s">
        <v>63</v>
      </c>
    </row>
    <row r="872" spans="1:11" x14ac:dyDescent="0.25">
      <c r="A872" s="13">
        <v>1.1755194491420301E+17</v>
      </c>
      <c r="B872" s="20" t="s">
        <v>170</v>
      </c>
      <c r="C872" s="11" t="s">
        <v>16</v>
      </c>
      <c r="D872" s="13">
        <v>802158</v>
      </c>
      <c r="E872" s="13">
        <v>7117</v>
      </c>
      <c r="F872" s="11">
        <v>3</v>
      </c>
      <c r="G872" s="13">
        <v>101.941747572815</v>
      </c>
      <c r="H872" s="13">
        <v>3.8737864077669899</v>
      </c>
      <c r="I872" s="13">
        <f t="shared" si="13"/>
        <v>105.81553398058199</v>
      </c>
      <c r="J872" s="14">
        <v>30.097087378640801</v>
      </c>
      <c r="K872" s="11" t="s">
        <v>22</v>
      </c>
    </row>
    <row r="873" spans="1:11" x14ac:dyDescent="0.25">
      <c r="A873" s="13">
        <v>1.2157395138522701E+17</v>
      </c>
      <c r="B873" s="20" t="s">
        <v>171</v>
      </c>
      <c r="C873" s="11" t="s">
        <v>25</v>
      </c>
      <c r="D873" s="13">
        <v>845438</v>
      </c>
      <c r="E873" s="13">
        <v>7117</v>
      </c>
      <c r="F873" s="11">
        <v>3</v>
      </c>
      <c r="G873" s="13">
        <v>166.01941747572801</v>
      </c>
      <c r="H873" s="13">
        <v>5.0970873786407802</v>
      </c>
      <c r="I873" s="13">
        <f t="shared" si="13"/>
        <v>171.1165048543688</v>
      </c>
      <c r="J873" s="14">
        <v>55.339805825242699</v>
      </c>
      <c r="K873" s="11" t="s">
        <v>22</v>
      </c>
    </row>
    <row r="874" spans="1:11" x14ac:dyDescent="0.25">
      <c r="A874" s="13">
        <v>1.18201586418872E+17</v>
      </c>
      <c r="B874" s="20" t="s">
        <v>190</v>
      </c>
      <c r="C874" s="11" t="s">
        <v>25</v>
      </c>
      <c r="D874" s="13">
        <v>841286</v>
      </c>
      <c r="E874" s="13">
        <v>7117</v>
      </c>
      <c r="F874" s="11">
        <v>3</v>
      </c>
      <c r="G874" s="13">
        <v>167.96116504854299</v>
      </c>
      <c r="H874" s="13">
        <v>5.1844660194174796</v>
      </c>
      <c r="I874" s="13">
        <f t="shared" si="13"/>
        <v>173.14563106796047</v>
      </c>
      <c r="J874" s="14">
        <v>51.456310679611697</v>
      </c>
      <c r="K874" s="11" t="s">
        <v>22</v>
      </c>
    </row>
    <row r="875" spans="1:11" x14ac:dyDescent="0.25">
      <c r="A875" s="13">
        <v>1.2633980828585901E+17</v>
      </c>
      <c r="B875" s="20" t="s">
        <v>180</v>
      </c>
      <c r="C875" s="11" t="s">
        <v>9</v>
      </c>
      <c r="D875" s="13">
        <v>517536</v>
      </c>
      <c r="E875" s="13">
        <v>7117</v>
      </c>
      <c r="F875" s="11">
        <v>3</v>
      </c>
      <c r="G875" s="13">
        <v>177.66990291262101</v>
      </c>
      <c r="H875" s="13">
        <v>5.3300970873786397</v>
      </c>
      <c r="I875" s="13">
        <f t="shared" si="13"/>
        <v>182.99999999999966</v>
      </c>
      <c r="J875" s="14">
        <v>56.3106796116505</v>
      </c>
      <c r="K875" s="11" t="s">
        <v>39</v>
      </c>
    </row>
    <row r="876" spans="1:11" x14ac:dyDescent="0.25">
      <c r="A876" s="13">
        <v>1.1985170680014099E+17</v>
      </c>
      <c r="B876" s="20" t="s">
        <v>174</v>
      </c>
      <c r="C876" s="11" t="s">
        <v>71</v>
      </c>
      <c r="D876" s="13">
        <v>571313</v>
      </c>
      <c r="E876" s="13">
        <v>7117</v>
      </c>
      <c r="F876" s="11">
        <v>3</v>
      </c>
      <c r="G876" s="13">
        <v>147.57281553397999</v>
      </c>
      <c r="H876" s="13">
        <v>4.42718446601942</v>
      </c>
      <c r="I876" s="13">
        <f t="shared" si="13"/>
        <v>151.9999999999994</v>
      </c>
      <c r="J876" s="14">
        <v>59.223300970873801</v>
      </c>
      <c r="K876" s="11" t="s">
        <v>19</v>
      </c>
    </row>
    <row r="877" spans="1:11" x14ac:dyDescent="0.25">
      <c r="A877" s="13">
        <v>1.22246788844646E+17</v>
      </c>
      <c r="B877" s="20" t="s">
        <v>182</v>
      </c>
      <c r="C877" s="11" t="s">
        <v>9</v>
      </c>
      <c r="D877" s="13">
        <v>221005</v>
      </c>
      <c r="E877" s="13">
        <v>7117</v>
      </c>
      <c r="F877" s="11">
        <v>3</v>
      </c>
      <c r="G877" s="13">
        <v>164.07766990291199</v>
      </c>
      <c r="H877" s="13">
        <v>5.1844660194174796</v>
      </c>
      <c r="I877" s="13">
        <f t="shared" si="13"/>
        <v>169.26213592232946</v>
      </c>
      <c r="J877" s="14">
        <v>47.572815533980602</v>
      </c>
      <c r="K877" s="11" t="s">
        <v>10</v>
      </c>
    </row>
    <row r="878" spans="1:11" x14ac:dyDescent="0.25">
      <c r="A878" s="13">
        <v>8.8894248221135392E+16</v>
      </c>
      <c r="B878" s="20" t="s">
        <v>70</v>
      </c>
      <c r="C878" s="11" t="s">
        <v>25</v>
      </c>
      <c r="D878" s="13">
        <v>208021</v>
      </c>
      <c r="E878" s="13">
        <v>7117</v>
      </c>
      <c r="F878" s="11">
        <v>3</v>
      </c>
      <c r="G878" s="13">
        <v>0</v>
      </c>
      <c r="H878" s="13">
        <v>0</v>
      </c>
      <c r="I878" s="13">
        <f t="shared" si="13"/>
        <v>0</v>
      </c>
      <c r="J878" s="14">
        <v>-9.7087378640776993</v>
      </c>
      <c r="K878" s="11" t="s">
        <v>10</v>
      </c>
    </row>
    <row r="879" spans="1:11" x14ac:dyDescent="0.25">
      <c r="A879" s="13">
        <v>1.19359413634232E+17</v>
      </c>
      <c r="B879" s="20" t="s">
        <v>178</v>
      </c>
      <c r="C879" s="11" t="s">
        <v>25</v>
      </c>
      <c r="D879" s="13">
        <v>786614</v>
      </c>
      <c r="E879" s="13">
        <v>961590</v>
      </c>
      <c r="F879" s="11">
        <v>12</v>
      </c>
      <c r="G879" s="13">
        <v>160.71428571428501</v>
      </c>
      <c r="H879" s="13">
        <v>19.285714285714199</v>
      </c>
      <c r="I879" s="13">
        <f t="shared" si="13"/>
        <v>179.9999999999992</v>
      </c>
      <c r="J879" s="14">
        <v>66.964285714285694</v>
      </c>
      <c r="K879" s="11" t="s">
        <v>35</v>
      </c>
    </row>
    <row r="880" spans="1:11" x14ac:dyDescent="0.25">
      <c r="A880" s="13">
        <v>8.6159935742399104E+16</v>
      </c>
      <c r="B880" s="20" t="s">
        <v>73</v>
      </c>
      <c r="C880" s="11" t="s">
        <v>25</v>
      </c>
      <c r="D880" s="13">
        <v>522101</v>
      </c>
      <c r="E880" s="13">
        <v>7117</v>
      </c>
      <c r="F880" s="11">
        <v>3</v>
      </c>
      <c r="G880" s="13">
        <v>0</v>
      </c>
      <c r="H880" s="13">
        <v>0</v>
      </c>
      <c r="I880" s="13">
        <f t="shared" si="13"/>
        <v>0</v>
      </c>
      <c r="J880" s="14">
        <v>-17.475728155339802</v>
      </c>
      <c r="K880" s="11" t="s">
        <v>39</v>
      </c>
    </row>
    <row r="881" spans="1:11" x14ac:dyDescent="0.25">
      <c r="A881" s="13">
        <v>1.2149252705553101E+17</v>
      </c>
      <c r="B881" s="20" t="s">
        <v>171</v>
      </c>
      <c r="C881" s="11" t="s">
        <v>25</v>
      </c>
      <c r="D881" s="13">
        <v>636705</v>
      </c>
      <c r="E881" s="13">
        <v>7117</v>
      </c>
      <c r="F881" s="11">
        <v>3</v>
      </c>
      <c r="G881" s="13">
        <v>175.728155339805</v>
      </c>
      <c r="H881" s="13">
        <v>5.2718446601941702</v>
      </c>
      <c r="I881" s="13">
        <f t="shared" si="13"/>
        <v>180.99999999999918</v>
      </c>
      <c r="J881" s="14">
        <v>59.223300970873801</v>
      </c>
      <c r="K881" s="11" t="s">
        <v>27</v>
      </c>
    </row>
    <row r="882" spans="1:11" x14ac:dyDescent="0.25">
      <c r="A882" s="13">
        <v>1.2234237426506E+17</v>
      </c>
      <c r="B882" s="20" t="s">
        <v>182</v>
      </c>
      <c r="C882" s="11" t="s">
        <v>25</v>
      </c>
      <c r="D882" s="13">
        <v>229301</v>
      </c>
      <c r="E882" s="13">
        <v>7117</v>
      </c>
      <c r="F882" s="11">
        <v>3</v>
      </c>
      <c r="G882" s="13">
        <v>145.631067961165</v>
      </c>
      <c r="H882" s="13">
        <v>4.6310679611650496</v>
      </c>
      <c r="I882" s="13">
        <f t="shared" si="13"/>
        <v>150.26213592233006</v>
      </c>
      <c r="J882" s="14">
        <v>47.572815533980602</v>
      </c>
      <c r="K882" s="11" t="s">
        <v>10</v>
      </c>
    </row>
    <row r="883" spans="1:11" x14ac:dyDescent="0.25">
      <c r="A883" s="13">
        <v>1.22379042637902E+17</v>
      </c>
      <c r="B883" s="20" t="s">
        <v>182</v>
      </c>
      <c r="C883" s="11" t="s">
        <v>25</v>
      </c>
      <c r="D883" s="13">
        <v>243632</v>
      </c>
      <c r="E883" s="13">
        <v>7117</v>
      </c>
      <c r="F883" s="11">
        <v>3</v>
      </c>
      <c r="G883" s="13">
        <v>145.631067961165</v>
      </c>
      <c r="H883" s="13">
        <v>4.6310679611650496</v>
      </c>
      <c r="I883" s="13">
        <f t="shared" si="13"/>
        <v>150.26213592233006</v>
      </c>
      <c r="J883" s="14">
        <v>47.572815533980602</v>
      </c>
      <c r="K883" s="11" t="s">
        <v>10</v>
      </c>
    </row>
    <row r="884" spans="1:11" x14ac:dyDescent="0.25">
      <c r="A884" s="13">
        <v>1.19296137709604E+17</v>
      </c>
      <c r="B884" s="20" t="s">
        <v>178</v>
      </c>
      <c r="C884" s="11" t="s">
        <v>16</v>
      </c>
      <c r="D884" s="13">
        <v>389120</v>
      </c>
      <c r="E884" s="13">
        <v>7117</v>
      </c>
      <c r="F884" s="11">
        <v>3</v>
      </c>
      <c r="G884" s="13">
        <v>154.368932038834</v>
      </c>
      <c r="H884" s="13">
        <v>4.6310679611650496</v>
      </c>
      <c r="I884" s="13">
        <f t="shared" si="13"/>
        <v>158.99999999999906</v>
      </c>
      <c r="J884" s="14">
        <v>56.3106796116505</v>
      </c>
      <c r="K884" s="11" t="s">
        <v>12</v>
      </c>
    </row>
    <row r="885" spans="1:11" x14ac:dyDescent="0.25">
      <c r="A885" s="13">
        <v>1.22913983069056E+17</v>
      </c>
      <c r="B885" s="20" t="s">
        <v>173</v>
      </c>
      <c r="C885" s="11" t="s">
        <v>16</v>
      </c>
      <c r="D885" s="13">
        <v>825403</v>
      </c>
      <c r="E885" s="13">
        <v>7117</v>
      </c>
      <c r="F885" s="11">
        <v>3</v>
      </c>
      <c r="G885" s="13">
        <v>172.81553398058199</v>
      </c>
      <c r="H885" s="13">
        <v>5.1844660194174796</v>
      </c>
      <c r="I885" s="13">
        <f t="shared" si="13"/>
        <v>177.99999999999946</v>
      </c>
      <c r="J885" s="14">
        <v>56.3106796116505</v>
      </c>
      <c r="K885" s="11" t="s">
        <v>37</v>
      </c>
    </row>
    <row r="886" spans="1:11" x14ac:dyDescent="0.25">
      <c r="A886" s="13">
        <v>1.1762748396902499E+17</v>
      </c>
      <c r="B886" s="20" t="s">
        <v>170</v>
      </c>
      <c r="C886" s="11" t="s">
        <v>25</v>
      </c>
      <c r="D886" s="13">
        <v>410513</v>
      </c>
      <c r="E886" s="13">
        <v>7117</v>
      </c>
      <c r="F886" s="11">
        <v>3</v>
      </c>
      <c r="G886" s="13">
        <v>161.16504854368901</v>
      </c>
      <c r="H886" s="13">
        <v>4.8349514563106801</v>
      </c>
      <c r="I886" s="13">
        <f t="shared" si="13"/>
        <v>165.99999999999969</v>
      </c>
      <c r="J886" s="14">
        <v>56.3106796116505</v>
      </c>
      <c r="K886" s="11" t="s">
        <v>41</v>
      </c>
    </row>
    <row r="887" spans="1:11" x14ac:dyDescent="0.25">
      <c r="A887" s="13">
        <v>1.2198507863621101E+17</v>
      </c>
      <c r="B887" s="20" t="s">
        <v>181</v>
      </c>
      <c r="C887" s="11" t="s">
        <v>25</v>
      </c>
      <c r="D887" s="13">
        <v>276305</v>
      </c>
      <c r="E887" s="13">
        <v>7117</v>
      </c>
      <c r="F887" s="11">
        <v>3</v>
      </c>
      <c r="G887" s="13">
        <v>161.16504854368901</v>
      </c>
      <c r="H887" s="13">
        <v>5.0970873786407802</v>
      </c>
      <c r="I887" s="13">
        <f t="shared" si="13"/>
        <v>166.2621359223298</v>
      </c>
      <c r="J887" s="14">
        <v>50.485436893203897</v>
      </c>
      <c r="K887" s="11" t="s">
        <v>10</v>
      </c>
    </row>
    <row r="888" spans="1:11" x14ac:dyDescent="0.25">
      <c r="A888" s="13">
        <v>1.20805665610134E+17</v>
      </c>
      <c r="B888" s="20" t="s">
        <v>186</v>
      </c>
      <c r="C888" s="11" t="s">
        <v>16</v>
      </c>
      <c r="D888" s="13">
        <v>273209</v>
      </c>
      <c r="E888" s="13">
        <v>7117</v>
      </c>
      <c r="F888" s="11">
        <v>3</v>
      </c>
      <c r="G888" s="13">
        <v>161.16504854368901</v>
      </c>
      <c r="H888" s="13">
        <v>5.0970873786407802</v>
      </c>
      <c r="I888" s="13">
        <f t="shared" si="13"/>
        <v>166.2621359223298</v>
      </c>
      <c r="J888" s="14">
        <v>50.485436893203897</v>
      </c>
      <c r="K888" s="11" t="s">
        <v>10</v>
      </c>
    </row>
    <row r="889" spans="1:11" x14ac:dyDescent="0.25">
      <c r="A889" s="13">
        <v>1.1862844864946499E+17</v>
      </c>
      <c r="B889" s="20" t="s">
        <v>192</v>
      </c>
      <c r="C889" s="11" t="s">
        <v>16</v>
      </c>
      <c r="D889" s="13">
        <v>224190</v>
      </c>
      <c r="E889" s="13">
        <v>7117</v>
      </c>
      <c r="F889" s="11">
        <v>3</v>
      </c>
      <c r="G889" s="13">
        <v>164.07766990291199</v>
      </c>
      <c r="H889" s="13">
        <v>5.1844660194174796</v>
      </c>
      <c r="I889" s="13">
        <f t="shared" si="13"/>
        <v>169.26213592232946</v>
      </c>
      <c r="J889" s="14">
        <v>47.572815533980602</v>
      </c>
      <c r="K889" s="11" t="s">
        <v>10</v>
      </c>
    </row>
    <row r="890" spans="1:11" x14ac:dyDescent="0.25">
      <c r="A890" s="13">
        <v>1.1748361914839501E+17</v>
      </c>
      <c r="B890" s="20" t="s">
        <v>170</v>
      </c>
      <c r="C890" s="11" t="s">
        <v>16</v>
      </c>
      <c r="D890" s="13">
        <v>333032</v>
      </c>
      <c r="E890" s="13">
        <v>7117</v>
      </c>
      <c r="F890" s="11">
        <v>3</v>
      </c>
      <c r="G890" s="13">
        <v>151.45631067961099</v>
      </c>
      <c r="H890" s="13">
        <v>4.7475728155339798</v>
      </c>
      <c r="I890" s="13">
        <f t="shared" si="13"/>
        <v>156.20388349514496</v>
      </c>
      <c r="J890" s="14">
        <v>50.485436893203897</v>
      </c>
      <c r="K890" s="11" t="s">
        <v>46</v>
      </c>
    </row>
    <row r="891" spans="1:11" x14ac:dyDescent="0.25">
      <c r="A891" s="13">
        <v>1.17503347459912E+17</v>
      </c>
      <c r="B891" s="20" t="s">
        <v>170</v>
      </c>
      <c r="C891" s="11" t="s">
        <v>16</v>
      </c>
      <c r="D891" s="13">
        <v>273303</v>
      </c>
      <c r="E891" s="13">
        <v>7117</v>
      </c>
      <c r="F891" s="11">
        <v>3</v>
      </c>
      <c r="G891" s="13">
        <v>152.42718446601901</v>
      </c>
      <c r="H891" s="13">
        <v>4.8349514563106801</v>
      </c>
      <c r="I891" s="13">
        <f t="shared" si="13"/>
        <v>157.26213592232969</v>
      </c>
      <c r="J891" s="14">
        <v>47.572815533980602</v>
      </c>
      <c r="K891" s="11" t="s">
        <v>10</v>
      </c>
    </row>
    <row r="892" spans="1:11" x14ac:dyDescent="0.25">
      <c r="A892" s="13">
        <v>8.90569689668048E+16</v>
      </c>
      <c r="B892" s="20" t="s">
        <v>70</v>
      </c>
      <c r="C892" s="11" t="s">
        <v>25</v>
      </c>
      <c r="D892" s="13">
        <v>110043</v>
      </c>
      <c r="E892" s="13">
        <v>7117</v>
      </c>
      <c r="F892" s="11">
        <v>3</v>
      </c>
      <c r="G892" s="13">
        <v>0</v>
      </c>
      <c r="H892" s="13">
        <v>0</v>
      </c>
      <c r="I892" s="13">
        <f t="shared" si="13"/>
        <v>0</v>
      </c>
      <c r="J892" s="14">
        <v>-9.7087378640776993</v>
      </c>
      <c r="K892" s="11" t="s">
        <v>28</v>
      </c>
    </row>
    <row r="893" spans="1:11" x14ac:dyDescent="0.25">
      <c r="A893" s="13">
        <v>1.22510577331074E+17</v>
      </c>
      <c r="B893" s="20" t="s">
        <v>172</v>
      </c>
      <c r="C893" s="11" t="s">
        <v>25</v>
      </c>
      <c r="D893" s="13">
        <v>495445</v>
      </c>
      <c r="E893" s="13">
        <v>7117</v>
      </c>
      <c r="F893" s="11">
        <v>3</v>
      </c>
      <c r="G893" s="13">
        <v>166.01941747572801</v>
      </c>
      <c r="H893" s="13">
        <v>4.9805825242718402</v>
      </c>
      <c r="I893" s="13">
        <f t="shared" si="13"/>
        <v>170.99999999999986</v>
      </c>
      <c r="J893" s="14">
        <v>57.2815533980583</v>
      </c>
      <c r="K893" s="11" t="s">
        <v>23</v>
      </c>
    </row>
    <row r="894" spans="1:11" x14ac:dyDescent="0.25">
      <c r="A894" s="13">
        <v>1.2257301108895299E+17</v>
      </c>
      <c r="B894" s="20" t="s">
        <v>172</v>
      </c>
      <c r="C894" s="11" t="s">
        <v>16</v>
      </c>
      <c r="D894" s="13">
        <v>486889</v>
      </c>
      <c r="E894" s="13">
        <v>7117</v>
      </c>
      <c r="F894" s="11">
        <v>3</v>
      </c>
      <c r="G894" s="13">
        <v>149.514563106796</v>
      </c>
      <c r="H894" s="13">
        <v>4.6310679611650496</v>
      </c>
      <c r="I894" s="13">
        <f t="shared" si="13"/>
        <v>154.14563106796106</v>
      </c>
      <c r="J894" s="14">
        <v>51.456310679611697</v>
      </c>
      <c r="K894" s="11" t="s">
        <v>26</v>
      </c>
    </row>
    <row r="895" spans="1:11" x14ac:dyDescent="0.25">
      <c r="A895" s="13">
        <v>1.2380960508405901E+17</v>
      </c>
      <c r="B895" s="20" t="s">
        <v>188</v>
      </c>
      <c r="C895" s="11" t="s">
        <v>16</v>
      </c>
      <c r="D895" s="13">
        <v>815301</v>
      </c>
      <c r="E895" s="13">
        <v>7117</v>
      </c>
      <c r="F895" s="11">
        <v>3</v>
      </c>
      <c r="G895" s="13">
        <v>160.19417475728099</v>
      </c>
      <c r="H895" s="13">
        <v>4.8058252427184502</v>
      </c>
      <c r="I895" s="13">
        <f t="shared" si="13"/>
        <v>164.99999999999943</v>
      </c>
      <c r="J895" s="14">
        <v>57.2815533980583</v>
      </c>
      <c r="K895" s="11" t="s">
        <v>37</v>
      </c>
    </row>
    <row r="896" spans="1:11" x14ac:dyDescent="0.25">
      <c r="A896" s="13">
        <v>1.2080716875700701E+17</v>
      </c>
      <c r="B896" s="20" t="s">
        <v>186</v>
      </c>
      <c r="C896" s="11" t="s">
        <v>16</v>
      </c>
      <c r="D896" s="13">
        <v>761115</v>
      </c>
      <c r="E896" s="13">
        <v>7117</v>
      </c>
      <c r="F896" s="11">
        <v>3</v>
      </c>
      <c r="G896" s="13">
        <v>154.368932038834</v>
      </c>
      <c r="H896" s="13">
        <v>4.6310679611650496</v>
      </c>
      <c r="I896" s="13">
        <f t="shared" si="13"/>
        <v>158.99999999999906</v>
      </c>
      <c r="J896" s="14">
        <v>56.3106796116505</v>
      </c>
      <c r="K896" s="11" t="s">
        <v>54</v>
      </c>
    </row>
    <row r="897" spans="1:11" x14ac:dyDescent="0.25">
      <c r="A897" s="13">
        <v>1.1749355127812899E+17</v>
      </c>
      <c r="B897" s="20" t="s">
        <v>170</v>
      </c>
      <c r="C897" s="11" t="s">
        <v>16</v>
      </c>
      <c r="D897" s="13">
        <v>803101</v>
      </c>
      <c r="E897" s="13">
        <v>7117</v>
      </c>
      <c r="F897" s="11">
        <v>3</v>
      </c>
      <c r="G897" s="13">
        <v>161.16504854368901</v>
      </c>
      <c r="H897" s="13">
        <v>4.8349514563106801</v>
      </c>
      <c r="I897" s="13">
        <f t="shared" si="13"/>
        <v>165.99999999999969</v>
      </c>
      <c r="J897" s="14">
        <v>56.3106796116505</v>
      </c>
      <c r="K897" s="11" t="s">
        <v>22</v>
      </c>
    </row>
    <row r="898" spans="1:11" x14ac:dyDescent="0.25">
      <c r="A898" s="13">
        <v>1.215291053848E+17</v>
      </c>
      <c r="B898" s="20" t="s">
        <v>171</v>
      </c>
      <c r="C898" s="11" t="s">
        <v>16</v>
      </c>
      <c r="D898" s="13">
        <v>761124</v>
      </c>
      <c r="E898" s="13">
        <v>7117</v>
      </c>
      <c r="F898" s="11">
        <v>3</v>
      </c>
      <c r="G898" s="13">
        <v>172.81553398058199</v>
      </c>
      <c r="H898" s="13">
        <v>5.1844660194174796</v>
      </c>
      <c r="I898" s="13">
        <f t="shared" si="13"/>
        <v>177.99999999999946</v>
      </c>
      <c r="J898" s="14">
        <v>56.3106796116505</v>
      </c>
      <c r="K898" s="11" t="s">
        <v>54</v>
      </c>
    </row>
    <row r="899" spans="1:11" x14ac:dyDescent="0.25">
      <c r="A899" s="13">
        <v>1.26591982427732E+17</v>
      </c>
      <c r="B899" s="20" t="s">
        <v>183</v>
      </c>
      <c r="C899" s="11" t="s">
        <v>9</v>
      </c>
      <c r="D899" s="13">
        <v>769001</v>
      </c>
      <c r="E899" s="13">
        <v>7117</v>
      </c>
      <c r="F899" s="11">
        <v>3</v>
      </c>
      <c r="G899" s="13">
        <v>177.66990291262101</v>
      </c>
      <c r="H899" s="13">
        <v>5.3300970873786397</v>
      </c>
      <c r="I899" s="13">
        <f t="shared" ref="I899:I962" si="14">G899+H899</f>
        <v>182.99999999999966</v>
      </c>
      <c r="J899" s="14">
        <v>56.3106796116505</v>
      </c>
      <c r="K899" s="11" t="s">
        <v>54</v>
      </c>
    </row>
    <row r="900" spans="1:11" x14ac:dyDescent="0.25">
      <c r="A900" s="13">
        <v>8.3267711284510896E+16</v>
      </c>
      <c r="B900" s="20" t="s">
        <v>34</v>
      </c>
      <c r="C900" s="11" t="s">
        <v>25</v>
      </c>
      <c r="D900" s="13">
        <v>110043</v>
      </c>
      <c r="E900" s="13">
        <v>7117</v>
      </c>
      <c r="F900" s="11">
        <v>3</v>
      </c>
      <c r="G900" s="13">
        <v>0</v>
      </c>
      <c r="H900" s="13">
        <v>0</v>
      </c>
      <c r="I900" s="13">
        <f t="shared" si="14"/>
        <v>0</v>
      </c>
      <c r="J900" s="14">
        <v>-9.7087378640776993</v>
      </c>
      <c r="K900" s="11" t="s">
        <v>28</v>
      </c>
    </row>
    <row r="901" spans="1:11" x14ac:dyDescent="0.25">
      <c r="A901" s="13">
        <v>1.20882558404816E+17</v>
      </c>
      <c r="B901" s="20" t="s">
        <v>186</v>
      </c>
      <c r="C901" s="11" t="s">
        <v>16</v>
      </c>
      <c r="D901" s="13">
        <v>477447</v>
      </c>
      <c r="E901" s="13">
        <v>7117</v>
      </c>
      <c r="F901" s="11">
        <v>3</v>
      </c>
      <c r="G901" s="13">
        <v>129.126213592233</v>
      </c>
      <c r="H901" s="13">
        <v>4.42718446601942</v>
      </c>
      <c r="I901" s="13">
        <f t="shared" si="14"/>
        <v>133.55339805825241</v>
      </c>
      <c r="J901" s="14">
        <v>40.776699029126199</v>
      </c>
      <c r="K901" s="11" t="s">
        <v>26</v>
      </c>
    </row>
    <row r="902" spans="1:11" x14ac:dyDescent="0.25">
      <c r="A902" s="13">
        <v>1.1859243645602499E+17</v>
      </c>
      <c r="B902" s="20" t="s">
        <v>192</v>
      </c>
      <c r="C902" s="11" t="s">
        <v>16</v>
      </c>
      <c r="D902" s="13">
        <v>502334</v>
      </c>
      <c r="E902" s="13">
        <v>7117</v>
      </c>
      <c r="F902" s="11">
        <v>3</v>
      </c>
      <c r="G902" s="13">
        <v>172.81553398058199</v>
      </c>
      <c r="H902" s="13">
        <v>5.1844660194174796</v>
      </c>
      <c r="I902" s="13">
        <f t="shared" si="14"/>
        <v>177.99999999999946</v>
      </c>
      <c r="J902" s="14">
        <v>56.3106796116505</v>
      </c>
      <c r="K902" s="11" t="s">
        <v>53</v>
      </c>
    </row>
    <row r="903" spans="1:11" x14ac:dyDescent="0.25">
      <c r="A903" s="13">
        <v>1.2588470791314499E+17</v>
      </c>
      <c r="B903" s="20" t="s">
        <v>179</v>
      </c>
      <c r="C903" s="11" t="s">
        <v>9</v>
      </c>
      <c r="D903" s="13">
        <v>481331</v>
      </c>
      <c r="E903" s="13">
        <v>7117</v>
      </c>
      <c r="F903" s="11">
        <v>3</v>
      </c>
      <c r="G903" s="13">
        <v>261.16504854368901</v>
      </c>
      <c r="H903" s="13">
        <v>8.3883495145631102</v>
      </c>
      <c r="I903" s="13">
        <f t="shared" si="14"/>
        <v>269.55339805825213</v>
      </c>
      <c r="J903" s="14">
        <v>42.7184466019418</v>
      </c>
      <c r="K903" s="11" t="s">
        <v>26</v>
      </c>
    </row>
    <row r="904" spans="1:11" x14ac:dyDescent="0.25">
      <c r="A904" s="13">
        <v>1.1980069738567699E+17</v>
      </c>
      <c r="B904" s="20" t="s">
        <v>174</v>
      </c>
      <c r="C904" s="11" t="s">
        <v>16</v>
      </c>
      <c r="D904" s="13">
        <v>505425</v>
      </c>
      <c r="E904" s="13">
        <v>7117</v>
      </c>
      <c r="F904" s="11">
        <v>3</v>
      </c>
      <c r="G904" s="13">
        <v>147.57281553397999</v>
      </c>
      <c r="H904" s="13">
        <v>4.42718446601942</v>
      </c>
      <c r="I904" s="13">
        <f t="shared" si="14"/>
        <v>151.9999999999994</v>
      </c>
      <c r="J904" s="14">
        <v>59.223300970873801</v>
      </c>
      <c r="K904" s="11" t="s">
        <v>53</v>
      </c>
    </row>
    <row r="905" spans="1:11" x14ac:dyDescent="0.25">
      <c r="A905" s="13">
        <v>1.1705515901569E+17</v>
      </c>
      <c r="B905" s="20" t="s">
        <v>151</v>
      </c>
      <c r="C905" s="11" t="s">
        <v>21</v>
      </c>
      <c r="D905" s="13">
        <v>262201</v>
      </c>
      <c r="E905" s="13">
        <v>7117</v>
      </c>
      <c r="F905" s="11">
        <v>3</v>
      </c>
      <c r="G905" s="13">
        <v>166.01941747572801</v>
      </c>
      <c r="H905" s="13">
        <v>5.1844660194174796</v>
      </c>
      <c r="I905" s="13">
        <f t="shared" si="14"/>
        <v>171.20388349514548</v>
      </c>
      <c r="J905" s="14">
        <v>49.514563106796103</v>
      </c>
      <c r="K905" s="11" t="s">
        <v>10</v>
      </c>
    </row>
    <row r="906" spans="1:11" x14ac:dyDescent="0.25">
      <c r="A906" s="13">
        <v>1.20376703402144E+17</v>
      </c>
      <c r="B906" s="20" t="s">
        <v>176</v>
      </c>
      <c r="C906" s="11" t="s">
        <v>16</v>
      </c>
      <c r="D906" s="13">
        <v>276139</v>
      </c>
      <c r="E906" s="13">
        <v>7117</v>
      </c>
      <c r="F906" s="11">
        <v>3</v>
      </c>
      <c r="G906" s="13">
        <v>164.07766990291199</v>
      </c>
      <c r="H906" s="13">
        <v>5.1844660194174796</v>
      </c>
      <c r="I906" s="13">
        <f t="shared" si="14"/>
        <v>169.26213592232946</v>
      </c>
      <c r="J906" s="14">
        <v>47.572815533980602</v>
      </c>
      <c r="K906" s="11" t="s">
        <v>10</v>
      </c>
    </row>
    <row r="907" spans="1:11" x14ac:dyDescent="0.25">
      <c r="A907" s="13">
        <v>7.9950710581670208E+16</v>
      </c>
      <c r="B907" s="20" t="s">
        <v>40</v>
      </c>
      <c r="C907" s="11" t="s">
        <v>25</v>
      </c>
      <c r="D907" s="13">
        <v>400101</v>
      </c>
      <c r="E907" s="13">
        <v>7117</v>
      </c>
      <c r="F907" s="11">
        <v>3</v>
      </c>
      <c r="G907" s="13">
        <v>0</v>
      </c>
      <c r="H907" s="13">
        <v>0</v>
      </c>
      <c r="I907" s="13">
        <f t="shared" si="14"/>
        <v>0</v>
      </c>
      <c r="J907" s="14">
        <v>-11.6504854368932</v>
      </c>
      <c r="K907" s="11" t="s">
        <v>41</v>
      </c>
    </row>
    <row r="908" spans="1:11" x14ac:dyDescent="0.25">
      <c r="A908" s="13">
        <v>1.2079864425233901E+17</v>
      </c>
      <c r="B908" s="20" t="s">
        <v>186</v>
      </c>
      <c r="C908" s="11" t="s">
        <v>25</v>
      </c>
      <c r="D908" s="13">
        <v>263153</v>
      </c>
      <c r="E908" s="13">
        <v>7117</v>
      </c>
      <c r="F908" s="11">
        <v>3</v>
      </c>
      <c r="G908" s="13">
        <v>164.07766990291199</v>
      </c>
      <c r="H908" s="13">
        <v>5.1844660194174796</v>
      </c>
      <c r="I908" s="13">
        <f t="shared" si="14"/>
        <v>169.26213592232946</v>
      </c>
      <c r="J908" s="14">
        <v>47.572815533980602</v>
      </c>
      <c r="K908" s="11" t="s">
        <v>49</v>
      </c>
    </row>
    <row r="909" spans="1:11" x14ac:dyDescent="0.25">
      <c r="A909" s="13">
        <v>9.3300070548278896E+16</v>
      </c>
      <c r="B909" s="20" t="s">
        <v>93</v>
      </c>
      <c r="C909" s="11" t="s">
        <v>25</v>
      </c>
      <c r="D909" s="13">
        <v>400068</v>
      </c>
      <c r="E909" s="13">
        <v>7117</v>
      </c>
      <c r="F909" s="11">
        <v>3</v>
      </c>
      <c r="G909" s="13">
        <v>0</v>
      </c>
      <c r="H909" s="13">
        <v>0</v>
      </c>
      <c r="I909" s="13">
        <f t="shared" si="14"/>
        <v>0</v>
      </c>
      <c r="J909" s="14">
        <v>-17.475728155339802</v>
      </c>
      <c r="K909" s="11" t="s">
        <v>41</v>
      </c>
    </row>
    <row r="910" spans="1:11" x14ac:dyDescent="0.25">
      <c r="A910" s="13">
        <v>1.26536146602982E+17</v>
      </c>
      <c r="B910" s="20" t="s">
        <v>183</v>
      </c>
      <c r="C910" s="11" t="s">
        <v>9</v>
      </c>
      <c r="D910" s="13">
        <v>825403</v>
      </c>
      <c r="E910" s="13">
        <v>7117</v>
      </c>
      <c r="F910" s="11">
        <v>3</v>
      </c>
      <c r="G910" s="13">
        <v>176.69902912621299</v>
      </c>
      <c r="H910" s="13">
        <v>5.3009708737864099</v>
      </c>
      <c r="I910" s="13">
        <f t="shared" si="14"/>
        <v>181.9999999999994</v>
      </c>
      <c r="J910" s="14">
        <v>55.339805825242699</v>
      </c>
      <c r="K910" s="11" t="s">
        <v>37</v>
      </c>
    </row>
    <row r="911" spans="1:11" x14ac:dyDescent="0.25">
      <c r="A911" s="13">
        <v>1.19499450368128E+17</v>
      </c>
      <c r="B911" s="20" t="s">
        <v>178</v>
      </c>
      <c r="C911" s="11" t="s">
        <v>16</v>
      </c>
      <c r="D911" s="13">
        <v>281006</v>
      </c>
      <c r="E911" s="13">
        <v>7117</v>
      </c>
      <c r="F911" s="11">
        <v>3</v>
      </c>
      <c r="G911" s="13">
        <v>132.03883495145601</v>
      </c>
      <c r="H911" s="13">
        <v>4.57281553398058</v>
      </c>
      <c r="I911" s="13">
        <f t="shared" si="14"/>
        <v>136.6116504854366</v>
      </c>
      <c r="J911" s="14">
        <v>33.980582524271803</v>
      </c>
      <c r="K911" s="11" t="s">
        <v>10</v>
      </c>
    </row>
    <row r="912" spans="1:11" x14ac:dyDescent="0.25">
      <c r="A912" s="13">
        <v>1.17238495352876E+17</v>
      </c>
      <c r="B912" s="20" t="s">
        <v>151</v>
      </c>
      <c r="C912" s="11" t="s">
        <v>25</v>
      </c>
      <c r="D912" s="13">
        <v>786614</v>
      </c>
      <c r="E912" s="13">
        <v>961590</v>
      </c>
      <c r="F912" s="11">
        <v>12</v>
      </c>
      <c r="G912" s="13">
        <v>161.60714285714201</v>
      </c>
      <c r="H912" s="13">
        <v>19.3928571428571</v>
      </c>
      <c r="I912" s="13">
        <f t="shared" si="14"/>
        <v>180.99999999999912</v>
      </c>
      <c r="J912" s="14">
        <v>67.857142857142904</v>
      </c>
      <c r="K912" s="11" t="s">
        <v>35</v>
      </c>
    </row>
    <row r="913" spans="1:11" x14ac:dyDescent="0.25">
      <c r="A913" s="13">
        <v>1.26338264960492E+17</v>
      </c>
      <c r="B913" s="20" t="s">
        <v>180</v>
      </c>
      <c r="C913" s="11" t="s">
        <v>9</v>
      </c>
      <c r="D913" s="13">
        <v>695008</v>
      </c>
      <c r="E913" s="13">
        <v>7117</v>
      </c>
      <c r="F913" s="11">
        <v>3</v>
      </c>
      <c r="G913" s="13">
        <v>306.79611650485401</v>
      </c>
      <c r="H913" s="13">
        <v>10.1941747572815</v>
      </c>
      <c r="I913" s="13">
        <f t="shared" si="14"/>
        <v>316.99029126213549</v>
      </c>
      <c r="J913" s="14">
        <v>93.203883495145604</v>
      </c>
      <c r="K913" s="11" t="s">
        <v>98</v>
      </c>
    </row>
    <row r="914" spans="1:11" x14ac:dyDescent="0.25">
      <c r="A914" s="13">
        <v>8.26945943698768E+16</v>
      </c>
      <c r="B914" s="20" t="s">
        <v>42</v>
      </c>
      <c r="C914" s="11" t="s">
        <v>25</v>
      </c>
      <c r="D914" s="13">
        <v>283111</v>
      </c>
      <c r="E914" s="13">
        <v>7117</v>
      </c>
      <c r="F914" s="11">
        <v>3</v>
      </c>
      <c r="G914" s="13">
        <v>0</v>
      </c>
      <c r="H914" s="13">
        <v>0</v>
      </c>
      <c r="I914" s="13">
        <f t="shared" si="14"/>
        <v>0</v>
      </c>
      <c r="J914" s="14">
        <v>-5.8252427184466002</v>
      </c>
      <c r="K914" s="11" t="s">
        <v>10</v>
      </c>
    </row>
    <row r="915" spans="1:11" x14ac:dyDescent="0.25">
      <c r="A915" s="13">
        <v>8.3266623985406496E+16</v>
      </c>
      <c r="B915" s="20" t="s">
        <v>34</v>
      </c>
      <c r="C915" s="11" t="s">
        <v>25</v>
      </c>
      <c r="D915" s="13">
        <v>110043</v>
      </c>
      <c r="E915" s="13">
        <v>7117</v>
      </c>
      <c r="F915" s="11">
        <v>3</v>
      </c>
      <c r="G915" s="13">
        <v>0</v>
      </c>
      <c r="H915" s="13">
        <v>0</v>
      </c>
      <c r="I915" s="13">
        <f t="shared" si="14"/>
        <v>0</v>
      </c>
      <c r="J915" s="14">
        <v>-19.417475728155299</v>
      </c>
      <c r="K915" s="11" t="s">
        <v>28</v>
      </c>
    </row>
    <row r="916" spans="1:11" x14ac:dyDescent="0.25">
      <c r="A916" s="13">
        <v>1.2115575440965699E+17</v>
      </c>
      <c r="B916" s="20" t="s">
        <v>187</v>
      </c>
      <c r="C916" s="11" t="s">
        <v>16</v>
      </c>
      <c r="D916" s="13">
        <v>491559</v>
      </c>
      <c r="E916" s="13">
        <v>7117</v>
      </c>
      <c r="F916" s="11">
        <v>3</v>
      </c>
      <c r="G916" s="13">
        <v>172.81553398058199</v>
      </c>
      <c r="H916" s="13">
        <v>5.1844660194174796</v>
      </c>
      <c r="I916" s="13">
        <f t="shared" si="14"/>
        <v>177.99999999999946</v>
      </c>
      <c r="J916" s="14">
        <v>56.3106796116505</v>
      </c>
      <c r="K916" s="11" t="s">
        <v>23</v>
      </c>
    </row>
    <row r="917" spans="1:11" x14ac:dyDescent="0.25">
      <c r="A917" s="13">
        <v>1.22922845297864E+17</v>
      </c>
      <c r="B917" s="20" t="s">
        <v>173</v>
      </c>
      <c r="C917" s="11" t="s">
        <v>21</v>
      </c>
      <c r="D917" s="13">
        <v>496001</v>
      </c>
      <c r="E917" s="13">
        <v>7117</v>
      </c>
      <c r="F917" s="11">
        <v>3</v>
      </c>
      <c r="G917" s="13">
        <v>169.90291262135901</v>
      </c>
      <c r="H917" s="13">
        <v>5.0970873786407802</v>
      </c>
      <c r="I917" s="13">
        <f t="shared" si="14"/>
        <v>174.9999999999998</v>
      </c>
      <c r="J917" s="14">
        <v>59.223300970873801</v>
      </c>
      <c r="K917" s="11" t="s">
        <v>23</v>
      </c>
    </row>
    <row r="918" spans="1:11" x14ac:dyDescent="0.25">
      <c r="A918" s="13">
        <v>1.2153198794958499E+17</v>
      </c>
      <c r="B918" s="20" t="s">
        <v>171</v>
      </c>
      <c r="C918" s="11" t="s">
        <v>25</v>
      </c>
      <c r="D918" s="13">
        <v>211019</v>
      </c>
      <c r="E918" s="13">
        <v>7117</v>
      </c>
      <c r="F918" s="11">
        <v>3</v>
      </c>
      <c r="G918" s="13">
        <v>166.990291262135</v>
      </c>
      <c r="H918" s="13">
        <v>5.2718446601941702</v>
      </c>
      <c r="I918" s="13">
        <f t="shared" si="14"/>
        <v>172.26213592232918</v>
      </c>
      <c r="J918" s="14">
        <v>49.514563106796103</v>
      </c>
      <c r="K918" s="11" t="s">
        <v>10</v>
      </c>
    </row>
    <row r="919" spans="1:11" x14ac:dyDescent="0.25">
      <c r="A919" s="13">
        <v>1.1864523813817101E+17</v>
      </c>
      <c r="B919" s="20" t="s">
        <v>192</v>
      </c>
      <c r="C919" s="11" t="s">
        <v>16</v>
      </c>
      <c r="D919" s="13">
        <v>277213</v>
      </c>
      <c r="E919" s="13">
        <v>7117</v>
      </c>
      <c r="F919" s="11">
        <v>3</v>
      </c>
      <c r="G919" s="13">
        <v>145.631067961165</v>
      </c>
      <c r="H919" s="13">
        <v>4.6310679611650496</v>
      </c>
      <c r="I919" s="13">
        <f t="shared" si="14"/>
        <v>150.26213592233006</v>
      </c>
      <c r="J919" s="14">
        <v>47.572815533980602</v>
      </c>
      <c r="K919" s="11" t="s">
        <v>10</v>
      </c>
    </row>
    <row r="920" spans="1:11" x14ac:dyDescent="0.25">
      <c r="A920" s="13">
        <v>1.19715167982056E+17</v>
      </c>
      <c r="B920" s="20" t="s">
        <v>174</v>
      </c>
      <c r="C920" s="11" t="s">
        <v>16</v>
      </c>
      <c r="D920" s="13">
        <v>211019</v>
      </c>
      <c r="E920" s="13">
        <v>7117</v>
      </c>
      <c r="F920" s="11">
        <v>3</v>
      </c>
      <c r="G920" s="13">
        <v>164.07766990291199</v>
      </c>
      <c r="H920" s="13">
        <v>5.1844660194174796</v>
      </c>
      <c r="I920" s="13">
        <f t="shared" si="14"/>
        <v>169.26213592232946</v>
      </c>
      <c r="J920" s="14">
        <v>47.572815533980602</v>
      </c>
      <c r="K920" s="11" t="s">
        <v>10</v>
      </c>
    </row>
    <row r="921" spans="1:11" x14ac:dyDescent="0.25">
      <c r="A921" s="13">
        <v>1.2188733946757101E+17</v>
      </c>
      <c r="B921" s="20" t="s">
        <v>181</v>
      </c>
      <c r="C921" s="11" t="s">
        <v>25</v>
      </c>
      <c r="D921" s="13">
        <v>221508</v>
      </c>
      <c r="E921" s="13">
        <v>7117</v>
      </c>
      <c r="F921" s="11">
        <v>3</v>
      </c>
      <c r="G921" s="13">
        <v>161.16504854368901</v>
      </c>
      <c r="H921" s="13">
        <v>5.0970873786407802</v>
      </c>
      <c r="I921" s="13">
        <f t="shared" si="14"/>
        <v>166.2621359223298</v>
      </c>
      <c r="J921" s="14">
        <v>50.485436893203897</v>
      </c>
      <c r="K921" s="11" t="s">
        <v>10</v>
      </c>
    </row>
    <row r="922" spans="1:11" x14ac:dyDescent="0.25">
      <c r="A922" s="13">
        <v>1.22596170307588E+17</v>
      </c>
      <c r="B922" s="20" t="s">
        <v>172</v>
      </c>
      <c r="C922" s="11" t="s">
        <v>21</v>
      </c>
      <c r="D922" s="13">
        <v>227805</v>
      </c>
      <c r="E922" s="13">
        <v>7117</v>
      </c>
      <c r="F922" s="11">
        <v>3</v>
      </c>
      <c r="G922" s="13">
        <v>164.07766990291199</v>
      </c>
      <c r="H922" s="13">
        <v>5.1844660194174796</v>
      </c>
      <c r="I922" s="13">
        <f t="shared" si="14"/>
        <v>169.26213592232946</v>
      </c>
      <c r="J922" s="14">
        <v>47.572815533980602</v>
      </c>
      <c r="K922" s="11" t="s">
        <v>10</v>
      </c>
    </row>
    <row r="923" spans="1:11" x14ac:dyDescent="0.25">
      <c r="A923" s="13">
        <v>1.2260271640943E+17</v>
      </c>
      <c r="B923" s="20" t="s">
        <v>172</v>
      </c>
      <c r="C923" s="11" t="s">
        <v>16</v>
      </c>
      <c r="D923" s="13">
        <v>453331</v>
      </c>
      <c r="E923" s="13">
        <v>7117</v>
      </c>
      <c r="F923" s="11">
        <v>3</v>
      </c>
      <c r="G923" s="13">
        <v>154.368932038834</v>
      </c>
      <c r="H923" s="13">
        <v>4.6310679611650496</v>
      </c>
      <c r="I923" s="13">
        <f t="shared" si="14"/>
        <v>158.99999999999906</v>
      </c>
      <c r="J923" s="14">
        <v>56.3106796116505</v>
      </c>
      <c r="K923" s="11" t="s">
        <v>26</v>
      </c>
    </row>
    <row r="924" spans="1:11" x14ac:dyDescent="0.25">
      <c r="A924" s="13">
        <v>1.2594986775144301E+17</v>
      </c>
      <c r="B924" s="20" t="s">
        <v>179</v>
      </c>
      <c r="C924" s="11" t="s">
        <v>9</v>
      </c>
      <c r="D924" s="13">
        <v>756133</v>
      </c>
      <c r="E924" s="13">
        <v>7117</v>
      </c>
      <c r="F924" s="11">
        <v>3</v>
      </c>
      <c r="G924" s="13">
        <v>163.106796116504</v>
      </c>
      <c r="H924" s="13">
        <v>4.8932038834951497</v>
      </c>
      <c r="I924" s="13">
        <f t="shared" si="14"/>
        <v>167.99999999999915</v>
      </c>
      <c r="J924" s="14">
        <v>59.223300970873801</v>
      </c>
      <c r="K924" s="11" t="s">
        <v>54</v>
      </c>
    </row>
    <row r="925" spans="1:11" x14ac:dyDescent="0.25">
      <c r="A925" s="13">
        <v>1.2149067365127299E+17</v>
      </c>
      <c r="B925" s="20" t="s">
        <v>171</v>
      </c>
      <c r="C925" s="11" t="s">
        <v>16</v>
      </c>
      <c r="D925" s="13">
        <v>626114</v>
      </c>
      <c r="E925" s="13">
        <v>7117</v>
      </c>
      <c r="F925" s="11">
        <v>3</v>
      </c>
      <c r="G925" s="13">
        <v>172.81553398058199</v>
      </c>
      <c r="H925" s="13">
        <v>5.1844660194174796</v>
      </c>
      <c r="I925" s="13">
        <f t="shared" si="14"/>
        <v>177.99999999999946</v>
      </c>
      <c r="J925" s="14">
        <v>56.3106796116505</v>
      </c>
      <c r="K925" s="11" t="s">
        <v>27</v>
      </c>
    </row>
    <row r="926" spans="1:11" x14ac:dyDescent="0.25">
      <c r="A926" s="13">
        <v>1.219356975817E+17</v>
      </c>
      <c r="B926" s="20" t="s">
        <v>181</v>
      </c>
      <c r="C926" s="11" t="s">
        <v>16</v>
      </c>
      <c r="D926" s="13">
        <v>224190</v>
      </c>
      <c r="E926" s="13">
        <v>7117</v>
      </c>
      <c r="F926" s="11">
        <v>3</v>
      </c>
      <c r="G926" s="13">
        <v>164.07766990291199</v>
      </c>
      <c r="H926" s="13">
        <v>5.1844660194174796</v>
      </c>
      <c r="I926" s="13">
        <f t="shared" si="14"/>
        <v>169.26213592232946</v>
      </c>
      <c r="J926" s="14">
        <v>47.572815533980602</v>
      </c>
      <c r="K926" s="11" t="s">
        <v>10</v>
      </c>
    </row>
    <row r="927" spans="1:11" x14ac:dyDescent="0.25">
      <c r="A927" s="13">
        <v>1.20826081803792E+17</v>
      </c>
      <c r="B927" s="20" t="s">
        <v>186</v>
      </c>
      <c r="C927" s="11" t="s">
        <v>21</v>
      </c>
      <c r="D927" s="13">
        <v>209821</v>
      </c>
      <c r="E927" s="13">
        <v>7117</v>
      </c>
      <c r="F927" s="11">
        <v>3</v>
      </c>
      <c r="G927" s="13">
        <v>164.07766990291199</v>
      </c>
      <c r="H927" s="13">
        <v>5.1844660194174796</v>
      </c>
      <c r="I927" s="13">
        <f t="shared" si="14"/>
        <v>169.26213592232946</v>
      </c>
      <c r="J927" s="14">
        <v>47.572815533980602</v>
      </c>
      <c r="K927" s="11" t="s">
        <v>10</v>
      </c>
    </row>
    <row r="928" spans="1:11" x14ac:dyDescent="0.25">
      <c r="A928" s="13">
        <v>1.1748056620661501E+17</v>
      </c>
      <c r="B928" s="20" t="s">
        <v>170</v>
      </c>
      <c r="C928" s="11" t="s">
        <v>16</v>
      </c>
      <c r="D928" s="13">
        <v>395006</v>
      </c>
      <c r="E928" s="13">
        <v>7117</v>
      </c>
      <c r="F928" s="11">
        <v>3</v>
      </c>
      <c r="G928" s="13">
        <v>150.485436893203</v>
      </c>
      <c r="H928" s="13">
        <v>4.5145631067961203</v>
      </c>
      <c r="I928" s="13">
        <f t="shared" si="14"/>
        <v>154.99999999999912</v>
      </c>
      <c r="J928" s="14">
        <v>57.2815533980583</v>
      </c>
      <c r="K928" s="11" t="s">
        <v>12</v>
      </c>
    </row>
    <row r="929" spans="1:11" x14ac:dyDescent="0.25">
      <c r="A929" s="13">
        <v>1.1732473459260899E+17</v>
      </c>
      <c r="B929" s="20" t="s">
        <v>151</v>
      </c>
      <c r="C929" s="11" t="s">
        <v>25</v>
      </c>
      <c r="D929" s="13">
        <v>225124</v>
      </c>
      <c r="E929" s="13">
        <v>7117</v>
      </c>
      <c r="F929" s="11">
        <v>3</v>
      </c>
      <c r="G929" s="13">
        <v>164.07766990291199</v>
      </c>
      <c r="H929" s="13">
        <v>5.1844660194174796</v>
      </c>
      <c r="I929" s="13">
        <f t="shared" si="14"/>
        <v>169.26213592232946</v>
      </c>
      <c r="J929" s="14">
        <v>47.572815533980602</v>
      </c>
      <c r="K929" s="11" t="s">
        <v>10</v>
      </c>
    </row>
    <row r="930" spans="1:11" x14ac:dyDescent="0.25">
      <c r="A930" s="13">
        <v>1.17461695655472E+17</v>
      </c>
      <c r="B930" s="20" t="s">
        <v>170</v>
      </c>
      <c r="C930" s="11" t="s">
        <v>16</v>
      </c>
      <c r="D930" s="13">
        <v>141007</v>
      </c>
      <c r="E930" s="13">
        <v>7117</v>
      </c>
      <c r="F930" s="11">
        <v>3</v>
      </c>
      <c r="G930" s="13">
        <v>152.42718446601901</v>
      </c>
      <c r="H930" s="13">
        <v>4.8349514563106801</v>
      </c>
      <c r="I930" s="13">
        <f t="shared" si="14"/>
        <v>157.26213592232969</v>
      </c>
      <c r="J930" s="14">
        <v>47.572815533980602</v>
      </c>
      <c r="K930" s="11" t="s">
        <v>17</v>
      </c>
    </row>
    <row r="931" spans="1:11" x14ac:dyDescent="0.25">
      <c r="A931" s="13">
        <v>1.1933456424932499E+17</v>
      </c>
      <c r="B931" s="20" t="s">
        <v>178</v>
      </c>
      <c r="C931" s="11" t="s">
        <v>21</v>
      </c>
      <c r="D931" s="13">
        <v>841411</v>
      </c>
      <c r="E931" s="13">
        <v>7117</v>
      </c>
      <c r="F931" s="11">
        <v>3</v>
      </c>
      <c r="G931" s="13">
        <v>161.16504854368901</v>
      </c>
      <c r="H931" s="13">
        <v>4.9805825242718402</v>
      </c>
      <c r="I931" s="13">
        <f t="shared" si="14"/>
        <v>166.14563106796086</v>
      </c>
      <c r="J931" s="14">
        <v>49.514563106796103</v>
      </c>
      <c r="K931" s="11" t="s">
        <v>22</v>
      </c>
    </row>
    <row r="932" spans="1:11" x14ac:dyDescent="0.25">
      <c r="A932" s="13">
        <v>1.17459382882692E+17</v>
      </c>
      <c r="B932" s="20" t="s">
        <v>170</v>
      </c>
      <c r="C932" s="11" t="s">
        <v>25</v>
      </c>
      <c r="D932" s="13">
        <v>847109</v>
      </c>
      <c r="E932" s="13">
        <v>7117</v>
      </c>
      <c r="F932" s="11">
        <v>3</v>
      </c>
      <c r="G932" s="13">
        <v>144.66019417475701</v>
      </c>
      <c r="H932" s="13">
        <v>4.3398058252427196</v>
      </c>
      <c r="I932" s="13">
        <f t="shared" si="14"/>
        <v>148.99999999999972</v>
      </c>
      <c r="J932" s="14">
        <v>56.3106796116505</v>
      </c>
      <c r="K932" s="11" t="s">
        <v>22</v>
      </c>
    </row>
    <row r="933" spans="1:11" x14ac:dyDescent="0.25">
      <c r="A933" s="13">
        <v>1.2412160605751901E+17</v>
      </c>
      <c r="B933" s="20" t="s">
        <v>194</v>
      </c>
      <c r="C933" s="11" t="s">
        <v>16</v>
      </c>
      <c r="D933" s="13">
        <v>305001</v>
      </c>
      <c r="E933" s="13">
        <v>7117</v>
      </c>
      <c r="F933" s="11">
        <v>3</v>
      </c>
      <c r="G933" s="13">
        <v>138.83495145630999</v>
      </c>
      <c r="H933" s="13">
        <v>4.8058252427184502</v>
      </c>
      <c r="I933" s="13">
        <f t="shared" si="14"/>
        <v>143.64077669902844</v>
      </c>
      <c r="J933" s="14">
        <v>35.922330097087404</v>
      </c>
      <c r="K933" s="11" t="s">
        <v>46</v>
      </c>
    </row>
    <row r="934" spans="1:11" x14ac:dyDescent="0.25">
      <c r="A934" s="13">
        <v>1.22720779799654E+17</v>
      </c>
      <c r="B934" s="20" t="s">
        <v>172</v>
      </c>
      <c r="C934" s="11" t="s">
        <v>52</v>
      </c>
      <c r="D934" s="13">
        <v>572101</v>
      </c>
      <c r="E934" s="13">
        <v>7117</v>
      </c>
      <c r="F934" s="11">
        <v>3</v>
      </c>
      <c r="G934" s="13">
        <v>172.81553398058199</v>
      </c>
      <c r="H934" s="13">
        <v>5.1844660194174796</v>
      </c>
      <c r="I934" s="13">
        <f t="shared" si="14"/>
        <v>177.99999999999946</v>
      </c>
      <c r="J934" s="14">
        <v>56.3106796116505</v>
      </c>
      <c r="K934" s="11" t="s">
        <v>19</v>
      </c>
    </row>
    <row r="935" spans="1:11" x14ac:dyDescent="0.25">
      <c r="A935" s="13">
        <v>1.2089024922805501E+17</v>
      </c>
      <c r="B935" s="20" t="s">
        <v>186</v>
      </c>
      <c r="C935" s="11" t="s">
        <v>16</v>
      </c>
      <c r="D935" s="13">
        <v>273413</v>
      </c>
      <c r="E935" s="13">
        <v>7117</v>
      </c>
      <c r="F935" s="11">
        <v>3</v>
      </c>
      <c r="G935" s="13">
        <v>164.07766990291199</v>
      </c>
      <c r="H935" s="13">
        <v>5.1844660194174796</v>
      </c>
      <c r="I935" s="13">
        <f t="shared" si="14"/>
        <v>169.26213592232946</v>
      </c>
      <c r="J935" s="14">
        <v>47.572815533980602</v>
      </c>
      <c r="K935" s="11" t="s">
        <v>10</v>
      </c>
    </row>
    <row r="936" spans="1:11" x14ac:dyDescent="0.25">
      <c r="A936" s="13">
        <v>1.1767073450730701E+17</v>
      </c>
      <c r="B936" s="20" t="s">
        <v>170</v>
      </c>
      <c r="C936" s="11" t="s">
        <v>16</v>
      </c>
      <c r="D936" s="13">
        <v>721101</v>
      </c>
      <c r="E936" s="13">
        <v>7117</v>
      </c>
      <c r="F936" s="11">
        <v>3</v>
      </c>
      <c r="G936" s="13">
        <v>150.485436893203</v>
      </c>
      <c r="H936" s="13">
        <v>4.5145631067961203</v>
      </c>
      <c r="I936" s="13">
        <f t="shared" si="14"/>
        <v>154.99999999999912</v>
      </c>
      <c r="J936" s="14">
        <v>57.2815533980583</v>
      </c>
      <c r="K936" s="11" t="s">
        <v>14</v>
      </c>
    </row>
    <row r="937" spans="1:11" x14ac:dyDescent="0.25">
      <c r="A937" s="13">
        <v>1.1857488313016701E+17</v>
      </c>
      <c r="B937" s="20" t="s">
        <v>192</v>
      </c>
      <c r="C937" s="11" t="s">
        <v>16</v>
      </c>
      <c r="D937" s="13">
        <v>825401</v>
      </c>
      <c r="E937" s="13">
        <v>7117</v>
      </c>
      <c r="F937" s="11">
        <v>3</v>
      </c>
      <c r="G937" s="13">
        <v>172.81553398058199</v>
      </c>
      <c r="H937" s="13">
        <v>5.1844660194174796</v>
      </c>
      <c r="I937" s="13">
        <f t="shared" si="14"/>
        <v>177.99999999999946</v>
      </c>
      <c r="J937" s="14">
        <v>56.3106796116505</v>
      </c>
      <c r="K937" s="11" t="s">
        <v>37</v>
      </c>
    </row>
    <row r="938" spans="1:11" x14ac:dyDescent="0.25">
      <c r="A938" s="13">
        <v>1.19911462487192E+17</v>
      </c>
      <c r="B938" s="20" t="s">
        <v>175</v>
      </c>
      <c r="C938" s="11" t="s">
        <v>21</v>
      </c>
      <c r="D938" s="13">
        <v>122022</v>
      </c>
      <c r="E938" s="13">
        <v>7117</v>
      </c>
      <c r="F938" s="11">
        <v>3</v>
      </c>
      <c r="G938" s="13">
        <v>151.45631067961099</v>
      </c>
      <c r="H938" s="13">
        <v>4.8058252427184502</v>
      </c>
      <c r="I938" s="13">
        <f t="shared" si="14"/>
        <v>156.26213592232943</v>
      </c>
      <c r="J938" s="14">
        <v>48.543689320388303</v>
      </c>
      <c r="K938" s="11" t="s">
        <v>63</v>
      </c>
    </row>
    <row r="939" spans="1:11" x14ac:dyDescent="0.25">
      <c r="A939" s="13">
        <v>8.06745028073024E+16</v>
      </c>
      <c r="B939" s="20" t="s">
        <v>51</v>
      </c>
      <c r="C939" s="11" t="s">
        <v>25</v>
      </c>
      <c r="D939" s="13">
        <v>140603</v>
      </c>
      <c r="E939" s="13">
        <v>7117</v>
      </c>
      <c r="F939" s="11">
        <v>3</v>
      </c>
      <c r="G939" s="13">
        <v>0</v>
      </c>
      <c r="H939" s="13">
        <v>0</v>
      </c>
      <c r="I939" s="13">
        <f t="shared" si="14"/>
        <v>0</v>
      </c>
      <c r="J939" s="14">
        <v>-11.6504854368932</v>
      </c>
      <c r="K939" s="11" t="s">
        <v>17</v>
      </c>
    </row>
    <row r="940" spans="1:11" x14ac:dyDescent="0.25">
      <c r="A940" s="13">
        <v>1.2451792391739101E+17</v>
      </c>
      <c r="B940" s="20" t="s">
        <v>195</v>
      </c>
      <c r="C940" s="11" t="s">
        <v>16</v>
      </c>
      <c r="D940" s="13">
        <v>224186</v>
      </c>
      <c r="E940" s="13">
        <v>7117</v>
      </c>
      <c r="F940" s="11">
        <v>3</v>
      </c>
      <c r="G940" s="13">
        <v>193.20388349514499</v>
      </c>
      <c r="H940" s="13">
        <v>6.0582524271844704</v>
      </c>
      <c r="I940" s="13">
        <f t="shared" si="14"/>
        <v>199.26213592232946</v>
      </c>
      <c r="J940" s="14">
        <v>47.572815533980602</v>
      </c>
      <c r="K940" s="11" t="s">
        <v>10</v>
      </c>
    </row>
    <row r="941" spans="1:11" x14ac:dyDescent="0.25">
      <c r="A941" s="13">
        <v>1.17867772077306E+17</v>
      </c>
      <c r="B941" s="20" t="s">
        <v>184</v>
      </c>
      <c r="C941" s="11" t="s">
        <v>16</v>
      </c>
      <c r="D941" s="13">
        <v>802131</v>
      </c>
      <c r="E941" s="13">
        <v>7117</v>
      </c>
      <c r="F941" s="11">
        <v>3</v>
      </c>
      <c r="G941" s="13">
        <v>167.96116504854299</v>
      </c>
      <c r="H941" s="13">
        <v>5.1844660194174796</v>
      </c>
      <c r="I941" s="13">
        <f t="shared" si="14"/>
        <v>173.14563106796047</v>
      </c>
      <c r="J941" s="14">
        <v>51.456310679611697</v>
      </c>
      <c r="K941" s="11" t="s">
        <v>22</v>
      </c>
    </row>
    <row r="942" spans="1:11" x14ac:dyDescent="0.25">
      <c r="A942" s="13">
        <v>8.9253134354019104E+16</v>
      </c>
      <c r="B942" s="20" t="s">
        <v>78</v>
      </c>
      <c r="C942" s="11" t="s">
        <v>25</v>
      </c>
      <c r="D942" s="13">
        <v>522101</v>
      </c>
      <c r="E942" s="13">
        <v>7117</v>
      </c>
      <c r="F942" s="11">
        <v>3</v>
      </c>
      <c r="G942" s="13">
        <v>0</v>
      </c>
      <c r="H942" s="13">
        <v>0</v>
      </c>
      <c r="I942" s="13">
        <f t="shared" si="14"/>
        <v>0</v>
      </c>
      <c r="J942" s="14">
        <v>-17.475728155339802</v>
      </c>
      <c r="K942" s="11" t="s">
        <v>39</v>
      </c>
    </row>
    <row r="943" spans="1:11" x14ac:dyDescent="0.25">
      <c r="A943" s="13">
        <v>1.22735581250874E+17</v>
      </c>
      <c r="B943" s="20" t="s">
        <v>172</v>
      </c>
      <c r="C943" s="11" t="s">
        <v>16</v>
      </c>
      <c r="D943" s="13">
        <v>342603</v>
      </c>
      <c r="E943" s="13">
        <v>7117</v>
      </c>
      <c r="F943" s="11">
        <v>3</v>
      </c>
      <c r="G943" s="13">
        <v>172.81553398058199</v>
      </c>
      <c r="H943" s="13">
        <v>5.1844660194174796</v>
      </c>
      <c r="I943" s="13">
        <f t="shared" si="14"/>
        <v>177.99999999999946</v>
      </c>
      <c r="J943" s="14">
        <v>56.3106796116505</v>
      </c>
      <c r="K943" s="11" t="s">
        <v>46</v>
      </c>
    </row>
    <row r="944" spans="1:11" x14ac:dyDescent="0.25">
      <c r="A944" s="13">
        <v>1.17501425071844E+17</v>
      </c>
      <c r="B944" s="20" t="s">
        <v>170</v>
      </c>
      <c r="C944" s="11" t="s">
        <v>21</v>
      </c>
      <c r="D944" s="13">
        <v>841405</v>
      </c>
      <c r="E944" s="13">
        <v>7117</v>
      </c>
      <c r="F944" s="11">
        <v>3</v>
      </c>
      <c r="G944" s="13">
        <v>139.80582524271799</v>
      </c>
      <c r="H944" s="13">
        <v>4.3398058252427196</v>
      </c>
      <c r="I944" s="13">
        <f t="shared" si="14"/>
        <v>144.14563106796069</v>
      </c>
      <c r="J944" s="14">
        <v>51.456310679611697</v>
      </c>
      <c r="K944" s="11" t="s">
        <v>22</v>
      </c>
    </row>
    <row r="945" spans="1:11" x14ac:dyDescent="0.25">
      <c r="A945" s="13">
        <v>1.2460708774883299E+17</v>
      </c>
      <c r="B945" s="20" t="s">
        <v>193</v>
      </c>
      <c r="C945" s="11" t="s">
        <v>25</v>
      </c>
      <c r="D945" s="13">
        <v>560091</v>
      </c>
      <c r="E945" s="13">
        <v>7117</v>
      </c>
      <c r="F945" s="11">
        <v>3</v>
      </c>
      <c r="G945" s="13">
        <v>314.56310679611602</v>
      </c>
      <c r="H945" s="13">
        <v>9.4368932038834998</v>
      </c>
      <c r="I945" s="13">
        <f t="shared" si="14"/>
        <v>323.99999999999955</v>
      </c>
      <c r="J945" s="14">
        <v>126.213592233009</v>
      </c>
      <c r="K945" s="11" t="s">
        <v>19</v>
      </c>
    </row>
    <row r="946" spans="1:11" x14ac:dyDescent="0.25">
      <c r="A946" s="13">
        <v>1.1969561912803E+17</v>
      </c>
      <c r="B946" s="20" t="s">
        <v>174</v>
      </c>
      <c r="C946" s="11" t="s">
        <v>16</v>
      </c>
      <c r="D946" s="13">
        <v>274501</v>
      </c>
      <c r="E946" s="13">
        <v>7117</v>
      </c>
      <c r="F946" s="11">
        <v>3</v>
      </c>
      <c r="G946" s="13">
        <v>163.106796116504</v>
      </c>
      <c r="H946" s="13">
        <v>5.1262135922330101</v>
      </c>
      <c r="I946" s="13">
        <f t="shared" si="14"/>
        <v>168.233009708737</v>
      </c>
      <c r="J946" s="14">
        <v>46.601941747572802</v>
      </c>
      <c r="K946" s="11" t="s">
        <v>10</v>
      </c>
    </row>
    <row r="947" spans="1:11" x14ac:dyDescent="0.25">
      <c r="A947" s="13">
        <v>1.1830194148298E+17</v>
      </c>
      <c r="B947" s="20" t="s">
        <v>190</v>
      </c>
      <c r="C947" s="11" t="s">
        <v>16</v>
      </c>
      <c r="D947" s="13">
        <v>793001</v>
      </c>
      <c r="E947" s="13">
        <v>7117</v>
      </c>
      <c r="F947" s="11">
        <v>3</v>
      </c>
      <c r="G947" s="13">
        <v>184.466019417475</v>
      </c>
      <c r="H947" s="13">
        <v>5.5339805825242703</v>
      </c>
      <c r="I947" s="13">
        <f t="shared" si="14"/>
        <v>189.99999999999926</v>
      </c>
      <c r="J947" s="14">
        <v>75.728155339805795</v>
      </c>
      <c r="K947" s="11" t="s">
        <v>196</v>
      </c>
    </row>
    <row r="948" spans="1:11" x14ac:dyDescent="0.25">
      <c r="A948" s="13">
        <v>1.2043995349794301E+17</v>
      </c>
      <c r="B948" s="20" t="s">
        <v>176</v>
      </c>
      <c r="C948" s="11" t="s">
        <v>52</v>
      </c>
      <c r="D948" s="13">
        <v>224190</v>
      </c>
      <c r="E948" s="13">
        <v>7117</v>
      </c>
      <c r="F948" s="11">
        <v>3</v>
      </c>
      <c r="G948" s="13">
        <v>164.07766990291199</v>
      </c>
      <c r="H948" s="13">
        <v>5.1844660194174796</v>
      </c>
      <c r="I948" s="13">
        <f t="shared" si="14"/>
        <v>169.26213592232946</v>
      </c>
      <c r="J948" s="14">
        <v>47.572815533980602</v>
      </c>
      <c r="K948" s="11" t="s">
        <v>10</v>
      </c>
    </row>
    <row r="949" spans="1:11" x14ac:dyDescent="0.25">
      <c r="A949" s="13">
        <v>1.22332329125082E+17</v>
      </c>
      <c r="B949" s="20" t="s">
        <v>182</v>
      </c>
      <c r="C949" s="11" t="s">
        <v>52</v>
      </c>
      <c r="D949" s="13">
        <v>460220</v>
      </c>
      <c r="E949" s="13">
        <v>7117</v>
      </c>
      <c r="F949" s="11">
        <v>3</v>
      </c>
      <c r="G949" s="13">
        <v>172.81553398058199</v>
      </c>
      <c r="H949" s="13">
        <v>5.1844660194174796</v>
      </c>
      <c r="I949" s="13">
        <f t="shared" si="14"/>
        <v>177.99999999999946</v>
      </c>
      <c r="J949" s="14">
        <v>56.3106796116505</v>
      </c>
      <c r="K949" s="11" t="s">
        <v>26</v>
      </c>
    </row>
    <row r="950" spans="1:11" x14ac:dyDescent="0.25">
      <c r="A950" s="13">
        <v>1.1904317814908E+17</v>
      </c>
      <c r="B950" s="20" t="s">
        <v>177</v>
      </c>
      <c r="C950" s="11" t="s">
        <v>16</v>
      </c>
      <c r="D950" s="13">
        <v>462042</v>
      </c>
      <c r="E950" s="13">
        <v>7117</v>
      </c>
      <c r="F950" s="11">
        <v>3</v>
      </c>
      <c r="G950" s="13">
        <v>136.893203883495</v>
      </c>
      <c r="H950" s="13">
        <v>4.6310679611650496</v>
      </c>
      <c r="I950" s="13">
        <f t="shared" si="14"/>
        <v>141.52427184466006</v>
      </c>
      <c r="J950" s="14">
        <v>39.805825242718498</v>
      </c>
      <c r="K950" s="11" t="s">
        <v>26</v>
      </c>
    </row>
    <row r="951" spans="1:11" x14ac:dyDescent="0.25">
      <c r="A951" s="13">
        <v>1.19966383944618E+17</v>
      </c>
      <c r="B951" s="20" t="s">
        <v>175</v>
      </c>
      <c r="C951" s="11" t="s">
        <v>16</v>
      </c>
      <c r="D951" s="13">
        <v>263601</v>
      </c>
      <c r="E951" s="13">
        <v>7117</v>
      </c>
      <c r="F951" s="11">
        <v>3</v>
      </c>
      <c r="G951" s="13">
        <v>145.631067961165</v>
      </c>
      <c r="H951" s="13">
        <v>4.6310679611650496</v>
      </c>
      <c r="I951" s="13">
        <f t="shared" si="14"/>
        <v>150.26213592233006</v>
      </c>
      <c r="J951" s="14">
        <v>47.572815533980602</v>
      </c>
      <c r="K951" s="11" t="s">
        <v>49</v>
      </c>
    </row>
    <row r="952" spans="1:11" x14ac:dyDescent="0.25">
      <c r="A952" s="13">
        <v>1.17487071397216E+17</v>
      </c>
      <c r="B952" s="20" t="s">
        <v>170</v>
      </c>
      <c r="C952" s="11" t="s">
        <v>21</v>
      </c>
      <c r="D952" s="13">
        <v>273209</v>
      </c>
      <c r="E952" s="13">
        <v>7117</v>
      </c>
      <c r="F952" s="11">
        <v>3</v>
      </c>
      <c r="G952" s="13">
        <v>150.485436893203</v>
      </c>
      <c r="H952" s="13">
        <v>4.7766990291262097</v>
      </c>
      <c r="I952" s="13">
        <f t="shared" si="14"/>
        <v>155.26213592232921</v>
      </c>
      <c r="J952" s="14">
        <v>50.485436893203897</v>
      </c>
      <c r="K952" s="11" t="s">
        <v>10</v>
      </c>
    </row>
    <row r="953" spans="1:11" x14ac:dyDescent="0.25">
      <c r="A953" s="13">
        <v>1.26355463940148E+17</v>
      </c>
      <c r="B953" s="20" t="s">
        <v>180</v>
      </c>
      <c r="C953" s="11" t="s">
        <v>9</v>
      </c>
      <c r="D953" s="13">
        <v>852129</v>
      </c>
      <c r="E953" s="13">
        <v>7117</v>
      </c>
      <c r="F953" s="11">
        <v>3</v>
      </c>
      <c r="G953" s="13">
        <v>160.19417475728099</v>
      </c>
      <c r="H953" s="13">
        <v>5.3592233009708696</v>
      </c>
      <c r="I953" s="13">
        <f t="shared" si="14"/>
        <v>165.55339805825187</v>
      </c>
      <c r="J953" s="14">
        <v>42.7184466019418</v>
      </c>
      <c r="K953" s="11" t="s">
        <v>22</v>
      </c>
    </row>
    <row r="954" spans="1:11" x14ac:dyDescent="0.25">
      <c r="A954" s="13">
        <v>1.22024859818816E+17</v>
      </c>
      <c r="B954" s="20" t="s">
        <v>181</v>
      </c>
      <c r="C954" s="11" t="s">
        <v>25</v>
      </c>
      <c r="D954" s="13">
        <v>110041</v>
      </c>
      <c r="E954" s="13">
        <v>7117</v>
      </c>
      <c r="F954" s="11">
        <v>3</v>
      </c>
      <c r="G954" s="13">
        <v>164.07766990291199</v>
      </c>
      <c r="H954" s="13">
        <v>5.1844660194174796</v>
      </c>
      <c r="I954" s="13">
        <f t="shared" si="14"/>
        <v>169.26213592232946</v>
      </c>
      <c r="J954" s="14">
        <v>47.572815533980602</v>
      </c>
      <c r="K954" s="11" t="s">
        <v>28</v>
      </c>
    </row>
    <row r="955" spans="1:11" x14ac:dyDescent="0.25">
      <c r="A955" s="13">
        <v>8.0898761234048704E+16</v>
      </c>
      <c r="B955" s="20" t="s">
        <v>31</v>
      </c>
      <c r="C955" s="11" t="s">
        <v>25</v>
      </c>
      <c r="D955" s="13">
        <v>110043</v>
      </c>
      <c r="E955" s="13">
        <v>7117</v>
      </c>
      <c r="F955" s="11">
        <v>3</v>
      </c>
      <c r="G955" s="13">
        <v>0</v>
      </c>
      <c r="H955" s="13">
        <v>0</v>
      </c>
      <c r="I955" s="13">
        <f t="shared" si="14"/>
        <v>0</v>
      </c>
      <c r="J955" s="14">
        <v>-22.330097087378601</v>
      </c>
      <c r="K955" s="11" t="s">
        <v>28</v>
      </c>
    </row>
    <row r="956" spans="1:11" x14ac:dyDescent="0.25">
      <c r="A956" s="13">
        <v>8.8285056633285504E+16</v>
      </c>
      <c r="B956" s="20" t="s">
        <v>68</v>
      </c>
      <c r="C956" s="11" t="s">
        <v>25</v>
      </c>
      <c r="D956" s="13">
        <v>411060</v>
      </c>
      <c r="E956" s="13">
        <v>340600</v>
      </c>
      <c r="F956" s="11">
        <v>12</v>
      </c>
      <c r="G956" s="13">
        <v>0</v>
      </c>
      <c r="H956" s="13">
        <v>0</v>
      </c>
      <c r="I956" s="13">
        <f t="shared" si="14"/>
        <v>0</v>
      </c>
      <c r="J956" s="14">
        <v>-13.3928571428571</v>
      </c>
      <c r="K956" s="11" t="s">
        <v>41</v>
      </c>
    </row>
    <row r="957" spans="1:11" x14ac:dyDescent="0.25">
      <c r="A957" s="13">
        <v>1.22296621447054E+17</v>
      </c>
      <c r="B957" s="20" t="s">
        <v>182</v>
      </c>
      <c r="C957" s="11" t="s">
        <v>25</v>
      </c>
      <c r="D957" s="13">
        <v>202138</v>
      </c>
      <c r="E957" s="13">
        <v>7117</v>
      </c>
      <c r="F957" s="11">
        <v>3</v>
      </c>
      <c r="G957" s="13">
        <v>164.07766990291199</v>
      </c>
      <c r="H957" s="13">
        <v>5.1844660194174796</v>
      </c>
      <c r="I957" s="13">
        <f t="shared" si="14"/>
        <v>169.26213592232946</v>
      </c>
      <c r="J957" s="14">
        <v>47.572815533980602</v>
      </c>
      <c r="K957" s="11" t="s">
        <v>10</v>
      </c>
    </row>
    <row r="958" spans="1:11" x14ac:dyDescent="0.25">
      <c r="A958" s="13">
        <v>1.17510360763886E+17</v>
      </c>
      <c r="B958" s="20" t="s">
        <v>170</v>
      </c>
      <c r="C958" s="11" t="s">
        <v>16</v>
      </c>
      <c r="D958" s="13">
        <v>492001</v>
      </c>
      <c r="E958" s="13">
        <v>7117</v>
      </c>
      <c r="F958" s="11">
        <v>3</v>
      </c>
      <c r="G958" s="13">
        <v>133.009708737864</v>
      </c>
      <c r="H958" s="13">
        <v>4.5145631067961203</v>
      </c>
      <c r="I958" s="13">
        <f t="shared" si="14"/>
        <v>137.52427184466012</v>
      </c>
      <c r="J958" s="14">
        <v>39.805825242718498</v>
      </c>
      <c r="K958" s="11" t="s">
        <v>23</v>
      </c>
    </row>
    <row r="959" spans="1:11" x14ac:dyDescent="0.25">
      <c r="A959" s="13">
        <v>1.2221874879941901E+17</v>
      </c>
      <c r="B959" s="20" t="s">
        <v>182</v>
      </c>
      <c r="C959" s="11" t="s">
        <v>16</v>
      </c>
      <c r="D959" s="13">
        <v>824207</v>
      </c>
      <c r="E959" s="13">
        <v>7117</v>
      </c>
      <c r="F959" s="11">
        <v>3</v>
      </c>
      <c r="G959" s="13">
        <v>167.96116504854299</v>
      </c>
      <c r="H959" s="13">
        <v>5.1844660194174796</v>
      </c>
      <c r="I959" s="13">
        <f t="shared" si="14"/>
        <v>173.14563106796047</v>
      </c>
      <c r="J959" s="14">
        <v>51.456310679611697</v>
      </c>
      <c r="K959" s="11" t="s">
        <v>22</v>
      </c>
    </row>
    <row r="960" spans="1:11" x14ac:dyDescent="0.25">
      <c r="A960" s="13">
        <v>1.2381965112607E+17</v>
      </c>
      <c r="B960" s="20" t="s">
        <v>188</v>
      </c>
      <c r="C960" s="11" t="s">
        <v>9</v>
      </c>
      <c r="D960" s="13">
        <v>244223</v>
      </c>
      <c r="E960" s="13">
        <v>7117</v>
      </c>
      <c r="F960" s="11">
        <v>3</v>
      </c>
      <c r="G960" s="13">
        <v>151.45631067961099</v>
      </c>
      <c r="H960" s="13">
        <v>4.8058252427184502</v>
      </c>
      <c r="I960" s="13">
        <f t="shared" si="14"/>
        <v>156.26213592232943</v>
      </c>
      <c r="J960" s="14">
        <v>48.543689320388303</v>
      </c>
      <c r="K960" s="11" t="s">
        <v>10</v>
      </c>
    </row>
    <row r="961" spans="1:11" x14ac:dyDescent="0.25">
      <c r="A961" s="13">
        <v>1.2665209408288301E+17</v>
      </c>
      <c r="B961" s="20" t="s">
        <v>183</v>
      </c>
      <c r="C961" s="11" t="s">
        <v>25</v>
      </c>
      <c r="D961" s="13">
        <v>182202</v>
      </c>
      <c r="E961" s="13">
        <v>7117</v>
      </c>
      <c r="F961" s="11">
        <v>3</v>
      </c>
      <c r="G961" s="13">
        <v>177.66990291262101</v>
      </c>
      <c r="H961" s="13">
        <v>5.3300970873786397</v>
      </c>
      <c r="I961" s="13">
        <f t="shared" si="14"/>
        <v>182.99999999999966</v>
      </c>
      <c r="J961" s="14">
        <v>56.3106796116505</v>
      </c>
      <c r="K961" s="11" t="s">
        <v>56</v>
      </c>
    </row>
    <row r="962" spans="1:11" x14ac:dyDescent="0.25">
      <c r="A962" s="13">
        <v>1.1748842296013101E+17</v>
      </c>
      <c r="B962" s="20" t="s">
        <v>170</v>
      </c>
      <c r="C962" s="11" t="s">
        <v>16</v>
      </c>
      <c r="D962" s="13">
        <v>261303</v>
      </c>
      <c r="E962" s="13">
        <v>7117</v>
      </c>
      <c r="F962" s="11">
        <v>3</v>
      </c>
      <c r="G962" s="13">
        <v>152.42718446601901</v>
      </c>
      <c r="H962" s="13">
        <v>4.8349514563106801</v>
      </c>
      <c r="I962" s="13">
        <f t="shared" si="14"/>
        <v>157.26213592232969</v>
      </c>
      <c r="J962" s="14">
        <v>47.572815533980602</v>
      </c>
      <c r="K962" s="11" t="s">
        <v>10</v>
      </c>
    </row>
    <row r="963" spans="1:11" x14ac:dyDescent="0.25">
      <c r="A963" s="13">
        <v>1.2345810696040899E+17</v>
      </c>
      <c r="B963" s="20" t="s">
        <v>191</v>
      </c>
      <c r="C963" s="11" t="s">
        <v>16</v>
      </c>
      <c r="D963" s="13">
        <v>271902</v>
      </c>
      <c r="E963" s="13">
        <v>7117</v>
      </c>
      <c r="F963" s="11">
        <v>3</v>
      </c>
      <c r="G963" s="13">
        <v>198.05825242718399</v>
      </c>
      <c r="H963" s="13">
        <v>6.2038834951456296</v>
      </c>
      <c r="I963" s="13">
        <f t="shared" ref="I963:I975" si="15">G963+H963</f>
        <v>204.26213592232961</v>
      </c>
      <c r="J963" s="14">
        <v>47.572815533980602</v>
      </c>
      <c r="K963" s="11" t="s">
        <v>10</v>
      </c>
    </row>
    <row r="964" spans="1:11" x14ac:dyDescent="0.25">
      <c r="A964" s="13">
        <v>1.21963749788774E+17</v>
      </c>
      <c r="B964" s="20" t="s">
        <v>181</v>
      </c>
      <c r="C964" s="11" t="s">
        <v>16</v>
      </c>
      <c r="D964" s="13">
        <v>813208</v>
      </c>
      <c r="E964" s="13">
        <v>7117</v>
      </c>
      <c r="F964" s="11">
        <v>3</v>
      </c>
      <c r="G964" s="13">
        <v>151.45631067961099</v>
      </c>
      <c r="H964" s="13">
        <v>5.0970873786407802</v>
      </c>
      <c r="I964" s="13">
        <f t="shared" si="15"/>
        <v>156.55339805825179</v>
      </c>
      <c r="J964" s="14">
        <v>40.776699029126199</v>
      </c>
      <c r="K964" s="11" t="s">
        <v>37</v>
      </c>
    </row>
    <row r="965" spans="1:11" x14ac:dyDescent="0.25">
      <c r="A965" s="13">
        <v>8.0985738364726096E+16</v>
      </c>
      <c r="B965" s="20" t="s">
        <v>31</v>
      </c>
      <c r="C965" s="11" t="s">
        <v>25</v>
      </c>
      <c r="D965" s="13">
        <v>301701</v>
      </c>
      <c r="E965" s="13">
        <v>7117</v>
      </c>
      <c r="F965" s="11">
        <v>3</v>
      </c>
      <c r="G965" s="13">
        <v>0</v>
      </c>
      <c r="H965" s="13">
        <v>0</v>
      </c>
      <c r="I965" s="13">
        <f t="shared" si="15"/>
        <v>0</v>
      </c>
      <c r="J965" s="14">
        <v>-6.7961165048543997</v>
      </c>
      <c r="K965" s="11" t="s">
        <v>46</v>
      </c>
    </row>
    <row r="966" spans="1:11" x14ac:dyDescent="0.25">
      <c r="A966" s="13">
        <v>1.26039417572728E+17</v>
      </c>
      <c r="B966" s="20" t="s">
        <v>180</v>
      </c>
      <c r="C966" s="11" t="s">
        <v>16</v>
      </c>
      <c r="D966" s="13">
        <v>273302</v>
      </c>
      <c r="E966" s="13">
        <v>7117</v>
      </c>
      <c r="F966" s="11">
        <v>3</v>
      </c>
      <c r="G966" s="13">
        <v>151.45631067961099</v>
      </c>
      <c r="H966" s="13">
        <v>4.8058252427184502</v>
      </c>
      <c r="I966" s="13">
        <f t="shared" si="15"/>
        <v>156.26213592232943</v>
      </c>
      <c r="J966" s="14">
        <v>47.572815533980602</v>
      </c>
      <c r="K966" s="11" t="s">
        <v>10</v>
      </c>
    </row>
    <row r="967" spans="1:11" x14ac:dyDescent="0.25">
      <c r="A967" s="13">
        <v>1.18199654497284E+17</v>
      </c>
      <c r="B967" s="20" t="s">
        <v>190</v>
      </c>
      <c r="C967" s="11" t="s">
        <v>71</v>
      </c>
      <c r="D967" s="13">
        <v>752110</v>
      </c>
      <c r="E967" s="13">
        <v>7117</v>
      </c>
      <c r="F967" s="11">
        <v>3</v>
      </c>
      <c r="G967" s="13">
        <v>172.81553398058199</v>
      </c>
      <c r="H967" s="13">
        <v>5.1844660194174796</v>
      </c>
      <c r="I967" s="13">
        <f t="shared" si="15"/>
        <v>177.99999999999946</v>
      </c>
      <c r="J967" s="14">
        <v>56.3106796116505</v>
      </c>
      <c r="K967" s="11" t="s">
        <v>54</v>
      </c>
    </row>
    <row r="968" spans="1:11" x14ac:dyDescent="0.25">
      <c r="A968" s="13">
        <v>1.18381320741388E+17</v>
      </c>
      <c r="B968" s="20" t="s">
        <v>190</v>
      </c>
      <c r="C968" s="11" t="s">
        <v>25</v>
      </c>
      <c r="D968" s="13">
        <v>761014</v>
      </c>
      <c r="E968" s="13">
        <v>7117</v>
      </c>
      <c r="F968" s="11">
        <v>3</v>
      </c>
      <c r="G968" s="13">
        <v>174.757281553398</v>
      </c>
      <c r="H968" s="13">
        <v>5.2427184466019403</v>
      </c>
      <c r="I968" s="13">
        <f t="shared" si="15"/>
        <v>179.99999999999994</v>
      </c>
      <c r="J968" s="14">
        <v>57.2815533980583</v>
      </c>
      <c r="K968" s="11" t="s">
        <v>54</v>
      </c>
    </row>
    <row r="969" spans="1:11" x14ac:dyDescent="0.25">
      <c r="A969" s="13">
        <v>1.23643703973712E+17</v>
      </c>
      <c r="B969" s="20" t="s">
        <v>188</v>
      </c>
      <c r="C969" s="11" t="s">
        <v>16</v>
      </c>
      <c r="D969" s="13">
        <v>585401</v>
      </c>
      <c r="E969" s="13">
        <v>7117</v>
      </c>
      <c r="F969" s="11">
        <v>3</v>
      </c>
      <c r="G969" s="13">
        <v>235.92233009708701</v>
      </c>
      <c r="H969" s="13">
        <v>7.0776699029126204</v>
      </c>
      <c r="I969" s="13">
        <f t="shared" si="15"/>
        <v>242.99999999999963</v>
      </c>
      <c r="J969" s="14">
        <v>56.3106796116505</v>
      </c>
      <c r="K969" s="11" t="s">
        <v>19</v>
      </c>
    </row>
    <row r="970" spans="1:11" x14ac:dyDescent="0.25">
      <c r="A970" s="13">
        <v>1.20103383349752E+17</v>
      </c>
      <c r="B970" s="20" t="s">
        <v>175</v>
      </c>
      <c r="C970" s="11" t="s">
        <v>16</v>
      </c>
      <c r="D970" s="13">
        <v>413709</v>
      </c>
      <c r="E970" s="13">
        <v>7117</v>
      </c>
      <c r="F970" s="11">
        <v>3</v>
      </c>
      <c r="G970" s="13">
        <v>172.81553398058199</v>
      </c>
      <c r="H970" s="13">
        <v>5.1844660194174796</v>
      </c>
      <c r="I970" s="13">
        <f t="shared" si="15"/>
        <v>177.99999999999946</v>
      </c>
      <c r="J970" s="14">
        <v>56.3106796116505</v>
      </c>
      <c r="K970" s="11" t="s">
        <v>41</v>
      </c>
    </row>
    <row r="971" spans="1:11" x14ac:dyDescent="0.25">
      <c r="A971" s="13">
        <v>1.2012993363603901E+17</v>
      </c>
      <c r="B971" s="20" t="s">
        <v>175</v>
      </c>
      <c r="C971" s="11" t="s">
        <v>16</v>
      </c>
      <c r="D971" s="13">
        <v>325221</v>
      </c>
      <c r="E971" s="13">
        <v>7117</v>
      </c>
      <c r="F971" s="11">
        <v>3</v>
      </c>
      <c r="G971" s="13">
        <v>150.485436893203</v>
      </c>
      <c r="H971" s="13">
        <v>5.1844660194174796</v>
      </c>
      <c r="I971" s="13">
        <f t="shared" si="15"/>
        <v>155.66990291262047</v>
      </c>
      <c r="J971" s="14">
        <v>33.980582524271803</v>
      </c>
      <c r="K971" s="11" t="s">
        <v>46</v>
      </c>
    </row>
    <row r="972" spans="1:11" x14ac:dyDescent="0.25">
      <c r="A972" s="13">
        <v>8.92286999849796E+16</v>
      </c>
      <c r="B972" s="20" t="s">
        <v>78</v>
      </c>
      <c r="C972" s="11" t="s">
        <v>25</v>
      </c>
      <c r="D972" s="13">
        <v>225403</v>
      </c>
      <c r="E972" s="13">
        <v>7117</v>
      </c>
      <c r="F972" s="11">
        <v>3</v>
      </c>
      <c r="G972" s="13">
        <v>0</v>
      </c>
      <c r="H972" s="13">
        <v>0</v>
      </c>
      <c r="I972" s="13">
        <f t="shared" si="15"/>
        <v>0</v>
      </c>
      <c r="J972" s="14">
        <v>-9.7087378640776993</v>
      </c>
      <c r="K972" s="11" t="s">
        <v>10</v>
      </c>
    </row>
    <row r="973" spans="1:11" x14ac:dyDescent="0.25">
      <c r="A973" s="13">
        <v>1.2340758312503299E+17</v>
      </c>
      <c r="B973" s="20" t="s">
        <v>191</v>
      </c>
      <c r="C973" s="11" t="s">
        <v>16</v>
      </c>
      <c r="D973" s="13">
        <v>509410</v>
      </c>
      <c r="E973" s="13">
        <v>7117</v>
      </c>
      <c r="F973" s="11">
        <v>3</v>
      </c>
      <c r="G973" s="13">
        <v>206.79611650485401</v>
      </c>
      <c r="H973" s="13">
        <v>6.2038834951456296</v>
      </c>
      <c r="I973" s="13">
        <f t="shared" si="15"/>
        <v>212.99999999999963</v>
      </c>
      <c r="J973" s="14">
        <v>56.3106796116505</v>
      </c>
      <c r="K973" s="11" t="s">
        <v>53</v>
      </c>
    </row>
    <row r="974" spans="1:11" x14ac:dyDescent="0.25">
      <c r="A974" s="13">
        <v>1.2665669370764499E+17</v>
      </c>
      <c r="B974" s="20" t="s">
        <v>183</v>
      </c>
      <c r="C974" s="11" t="s">
        <v>9</v>
      </c>
      <c r="D974" s="13">
        <v>284305</v>
      </c>
      <c r="E974" s="13">
        <v>7117</v>
      </c>
      <c r="F974" s="11">
        <v>3</v>
      </c>
      <c r="G974" s="13">
        <v>146.601941747572</v>
      </c>
      <c r="H974" s="13">
        <v>4.6601941747572804</v>
      </c>
      <c r="I974" s="13">
        <f t="shared" si="15"/>
        <v>151.26213592232929</v>
      </c>
      <c r="J974" s="14">
        <v>52.427184466019398</v>
      </c>
      <c r="K974" s="11" t="s">
        <v>10</v>
      </c>
    </row>
    <row r="975" spans="1:11" x14ac:dyDescent="0.25">
      <c r="A975" s="13">
        <v>1.2008756998686701E+17</v>
      </c>
      <c r="B975" s="20" t="s">
        <v>175</v>
      </c>
      <c r="C975" s="11" t="s">
        <v>52</v>
      </c>
      <c r="D975" s="13">
        <v>273015</v>
      </c>
      <c r="E975" s="13">
        <v>7117</v>
      </c>
      <c r="F975" s="11">
        <v>3</v>
      </c>
      <c r="G975" s="13">
        <v>149.514563106796</v>
      </c>
      <c r="H975" s="13">
        <v>5.1844660194174796</v>
      </c>
      <c r="I975" s="13">
        <f t="shared" si="15"/>
        <v>154.69902912621347</v>
      </c>
      <c r="J975" s="14">
        <v>33.009708737864102</v>
      </c>
      <c r="K975" s="11" t="s">
        <v>10</v>
      </c>
    </row>
  </sheetData>
  <autoFilter ref="A1:K1" xr:uid="{00000000-0001-0000-0000-000000000000}"/>
  <pageMargins left="0.7" right="0.7" top="0.75" bottom="0.75" header="0.3" footer="0.3"/>
  <pageSetup scale="2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15"/>
  <sheetViews>
    <sheetView zoomScaleNormal="100" zoomScaleSheetLayoutView="96" workbookViewId="0">
      <selection activeCell="I2" sqref="I2"/>
    </sheetView>
  </sheetViews>
  <sheetFormatPr defaultRowHeight="15" x14ac:dyDescent="0.25"/>
  <cols>
    <col min="1" max="1" width="21.42578125" style="22" bestFit="1" customWidth="1"/>
    <col min="2" max="2" width="12.28515625" style="24" customWidth="1"/>
    <col min="3" max="3" width="12.5703125" style="3" customWidth="1"/>
    <col min="4" max="4" width="9.85546875" style="6" customWidth="1"/>
    <col min="5" max="5" width="9.5703125" style="6" customWidth="1"/>
    <col min="6" max="6" width="9.42578125" style="6" customWidth="1"/>
    <col min="7" max="7" width="13.140625" style="6" customWidth="1"/>
    <col min="8" max="8" width="15" style="3" customWidth="1"/>
    <col min="9" max="9" width="12.42578125" style="3" customWidth="1"/>
    <col min="10" max="10" width="8.28515625" style="3" customWidth="1"/>
    <col min="11" max="11" width="27.28515625" style="3" customWidth="1"/>
    <col min="12" max="16384" width="9.140625" style="3"/>
  </cols>
  <sheetData>
    <row r="1" spans="1:11" s="2" customFormat="1" ht="45" x14ac:dyDescent="0.25">
      <c r="A1" s="21" t="s">
        <v>1</v>
      </c>
      <c r="B1" s="23" t="s">
        <v>0</v>
      </c>
      <c r="C1" s="1" t="s">
        <v>2</v>
      </c>
      <c r="D1" s="5" t="s">
        <v>3</v>
      </c>
      <c r="E1" s="5" t="s">
        <v>4</v>
      </c>
      <c r="F1" s="5" t="s">
        <v>5</v>
      </c>
      <c r="G1" s="5" t="s">
        <v>197</v>
      </c>
      <c r="H1" s="5" t="s">
        <v>198</v>
      </c>
      <c r="I1" s="5" t="s">
        <v>199</v>
      </c>
      <c r="J1" s="25" t="s">
        <v>6</v>
      </c>
      <c r="K1" s="1" t="s">
        <v>7</v>
      </c>
    </row>
    <row r="2" spans="1:11" x14ac:dyDescent="0.25">
      <c r="A2" s="22" t="s">
        <v>200</v>
      </c>
      <c r="B2" s="24" t="s">
        <v>201</v>
      </c>
      <c r="C2" s="3" t="s">
        <v>9</v>
      </c>
      <c r="D2" s="6">
        <v>271904</v>
      </c>
      <c r="E2" s="6">
        <v>7117</v>
      </c>
      <c r="F2" s="6">
        <v>3</v>
      </c>
      <c r="G2" s="6">
        <v>132.03883500000001</v>
      </c>
      <c r="H2" s="6">
        <v>3</v>
      </c>
      <c r="I2" s="6">
        <v>136</v>
      </c>
      <c r="J2" s="4">
        <v>37.86407767</v>
      </c>
      <c r="K2" s="3" t="s">
        <v>14</v>
      </c>
    </row>
    <row r="3" spans="1:11" x14ac:dyDescent="0.25">
      <c r="A3" s="22" t="s">
        <v>202</v>
      </c>
      <c r="B3" s="24" t="s">
        <v>203</v>
      </c>
      <c r="C3" s="3" t="s">
        <v>9</v>
      </c>
      <c r="D3" s="6">
        <v>361001</v>
      </c>
      <c r="E3" s="6">
        <v>7117</v>
      </c>
      <c r="F3" s="6">
        <v>3</v>
      </c>
      <c r="G3" s="6">
        <v>170.8737864</v>
      </c>
      <c r="H3" s="6">
        <v>5</v>
      </c>
      <c r="I3" s="6">
        <v>176</v>
      </c>
      <c r="J3" s="4">
        <v>49.514563109999997</v>
      </c>
      <c r="K3" s="3" t="s">
        <v>63</v>
      </c>
    </row>
    <row r="4" spans="1:11" x14ac:dyDescent="0.25">
      <c r="A4" s="22" t="s">
        <v>204</v>
      </c>
      <c r="B4" s="24" t="s">
        <v>205</v>
      </c>
      <c r="C4" s="3" t="s">
        <v>9</v>
      </c>
      <c r="D4" s="6">
        <v>721431</v>
      </c>
      <c r="E4" s="6">
        <v>7117</v>
      </c>
      <c r="F4" s="6">
        <v>3</v>
      </c>
      <c r="G4" s="6">
        <v>169.90291260000001</v>
      </c>
      <c r="H4" s="6">
        <v>5</v>
      </c>
      <c r="I4" s="6">
        <v>175</v>
      </c>
      <c r="J4" s="4">
        <v>52.42718447</v>
      </c>
      <c r="K4" s="3" t="s">
        <v>14</v>
      </c>
    </row>
    <row r="5" spans="1:11" x14ac:dyDescent="0.25">
      <c r="A5" s="22" t="s">
        <v>206</v>
      </c>
      <c r="B5" s="24" t="s">
        <v>207</v>
      </c>
      <c r="C5" s="3" t="s">
        <v>16</v>
      </c>
      <c r="D5" s="6">
        <v>143001</v>
      </c>
      <c r="E5" s="6">
        <v>7117</v>
      </c>
      <c r="F5" s="6">
        <v>3</v>
      </c>
      <c r="G5" s="6">
        <v>173.78640780000001</v>
      </c>
      <c r="H5" s="6">
        <v>5</v>
      </c>
      <c r="I5" s="6">
        <v>179</v>
      </c>
      <c r="J5" s="4">
        <v>56.310679610000001</v>
      </c>
      <c r="K5" s="3" t="s">
        <v>27</v>
      </c>
    </row>
    <row r="6" spans="1:11" x14ac:dyDescent="0.25">
      <c r="A6" s="22" t="s">
        <v>208</v>
      </c>
      <c r="B6" s="24" t="s">
        <v>205</v>
      </c>
      <c r="C6" s="3" t="s">
        <v>16</v>
      </c>
      <c r="D6" s="6">
        <v>577203</v>
      </c>
      <c r="E6" s="6">
        <v>7117</v>
      </c>
      <c r="F6" s="6">
        <v>3</v>
      </c>
      <c r="G6" s="6">
        <v>163.1067961</v>
      </c>
      <c r="H6" s="6">
        <v>4</v>
      </c>
      <c r="I6" s="6">
        <v>168</v>
      </c>
      <c r="J6" s="4">
        <v>45.631067960000003</v>
      </c>
      <c r="K6" s="3" t="s">
        <v>17</v>
      </c>
    </row>
    <row r="7" spans="1:11" x14ac:dyDescent="0.25">
      <c r="A7" s="22" t="s">
        <v>209</v>
      </c>
      <c r="B7" s="24" t="s">
        <v>210</v>
      </c>
      <c r="C7" s="3" t="s">
        <v>21</v>
      </c>
      <c r="D7" s="6">
        <v>800006</v>
      </c>
      <c r="E7" s="6">
        <v>7117</v>
      </c>
      <c r="F7" s="6">
        <v>3</v>
      </c>
      <c r="G7" s="6">
        <v>141.7475728</v>
      </c>
      <c r="H7" s="6">
        <v>4</v>
      </c>
      <c r="I7" s="6">
        <v>146</v>
      </c>
      <c r="J7" s="4">
        <v>47.57281553</v>
      </c>
      <c r="K7" s="3" t="s">
        <v>44</v>
      </c>
    </row>
    <row r="8" spans="1:11" x14ac:dyDescent="0.25">
      <c r="A8" s="22" t="s">
        <v>211</v>
      </c>
      <c r="B8" s="24" t="s">
        <v>201</v>
      </c>
      <c r="C8" s="3" t="s">
        <v>9</v>
      </c>
      <c r="D8" s="6">
        <v>495554</v>
      </c>
      <c r="E8" s="6">
        <v>7117</v>
      </c>
      <c r="F8" s="6">
        <v>3</v>
      </c>
      <c r="G8" s="6">
        <v>109.7087379</v>
      </c>
      <c r="H8" s="6">
        <v>3</v>
      </c>
      <c r="I8" s="6">
        <v>113</v>
      </c>
      <c r="J8" s="4">
        <v>42.7184466</v>
      </c>
      <c r="K8" s="3" t="s">
        <v>46</v>
      </c>
    </row>
    <row r="9" spans="1:11" x14ac:dyDescent="0.25">
      <c r="A9" s="22" t="s">
        <v>212</v>
      </c>
      <c r="B9" s="24" t="s">
        <v>213</v>
      </c>
      <c r="C9" s="3" t="s">
        <v>9</v>
      </c>
      <c r="D9" s="6">
        <v>160062</v>
      </c>
      <c r="E9" s="6">
        <v>7117</v>
      </c>
      <c r="F9" s="6">
        <v>3</v>
      </c>
      <c r="G9" s="6">
        <v>166.9902913</v>
      </c>
      <c r="H9" s="6">
        <v>5</v>
      </c>
      <c r="I9" s="6">
        <v>172</v>
      </c>
      <c r="J9" s="4">
        <v>45.631067960000003</v>
      </c>
      <c r="K9" s="3" t="s">
        <v>63</v>
      </c>
    </row>
    <row r="10" spans="1:11" x14ac:dyDescent="0.25">
      <c r="A10" s="22" t="s">
        <v>214</v>
      </c>
      <c r="B10" s="24" t="s">
        <v>215</v>
      </c>
      <c r="C10" s="3" t="s">
        <v>25</v>
      </c>
      <c r="D10" s="6">
        <v>226002</v>
      </c>
      <c r="E10" s="6">
        <v>7117</v>
      </c>
      <c r="F10" s="6">
        <v>3</v>
      </c>
      <c r="G10" s="6">
        <v>159.22330099999999</v>
      </c>
      <c r="H10" s="6">
        <v>4</v>
      </c>
      <c r="I10" s="6">
        <v>164</v>
      </c>
      <c r="J10" s="4">
        <v>45.631067960000003</v>
      </c>
      <c r="K10" s="3" t="s">
        <v>10</v>
      </c>
    </row>
    <row r="11" spans="1:11" x14ac:dyDescent="0.25">
      <c r="A11" s="22" t="s">
        <v>216</v>
      </c>
      <c r="B11" s="24" t="s">
        <v>217</v>
      </c>
      <c r="C11" s="3" t="s">
        <v>9</v>
      </c>
      <c r="D11" s="6">
        <v>821101</v>
      </c>
      <c r="E11" s="6">
        <v>7117</v>
      </c>
      <c r="F11" s="6">
        <v>3</v>
      </c>
      <c r="G11" s="6">
        <v>169.90291260000001</v>
      </c>
      <c r="H11" s="6">
        <v>5</v>
      </c>
      <c r="I11" s="6">
        <v>175</v>
      </c>
      <c r="J11" s="4">
        <v>52.42718447</v>
      </c>
      <c r="K11" s="3" t="s">
        <v>37</v>
      </c>
    </row>
    <row r="12" spans="1:11" x14ac:dyDescent="0.25">
      <c r="A12" s="22" t="s">
        <v>218</v>
      </c>
      <c r="B12" s="24" t="s">
        <v>219</v>
      </c>
      <c r="C12" s="3" t="s">
        <v>25</v>
      </c>
      <c r="D12" s="6">
        <v>462043</v>
      </c>
      <c r="E12" s="6">
        <v>7117</v>
      </c>
      <c r="F12" s="6">
        <v>3</v>
      </c>
      <c r="G12" s="6">
        <v>242.71844659999999</v>
      </c>
      <c r="H12" s="6">
        <v>7</v>
      </c>
      <c r="I12" s="6">
        <v>250</v>
      </c>
      <c r="J12" s="4">
        <v>33.009708740000001</v>
      </c>
      <c r="K12" s="3" t="s">
        <v>10</v>
      </c>
    </row>
    <row r="13" spans="1:11" x14ac:dyDescent="0.25">
      <c r="A13" s="22" t="s">
        <v>220</v>
      </c>
      <c r="B13" s="24" t="s">
        <v>217</v>
      </c>
      <c r="C13" s="3" t="s">
        <v>9</v>
      </c>
      <c r="D13" s="6">
        <v>600117</v>
      </c>
      <c r="E13" s="6">
        <v>7117</v>
      </c>
      <c r="F13" s="6">
        <v>3</v>
      </c>
      <c r="G13" s="6">
        <v>169.90291260000001</v>
      </c>
      <c r="H13" s="6">
        <v>5</v>
      </c>
      <c r="I13" s="6">
        <v>175</v>
      </c>
      <c r="J13" s="4">
        <v>52.42718447</v>
      </c>
      <c r="K13" s="3" t="s">
        <v>37</v>
      </c>
    </row>
    <row r="14" spans="1:11" x14ac:dyDescent="0.25">
      <c r="A14" s="22" t="s">
        <v>221</v>
      </c>
      <c r="B14" s="24" t="s">
        <v>210</v>
      </c>
      <c r="C14" s="3" t="s">
        <v>16</v>
      </c>
      <c r="D14" s="6">
        <v>110008</v>
      </c>
      <c r="E14" s="6">
        <v>7117</v>
      </c>
      <c r="F14" s="6">
        <v>3</v>
      </c>
      <c r="G14" s="6">
        <v>136.8932039</v>
      </c>
      <c r="H14" s="6">
        <v>4</v>
      </c>
      <c r="I14" s="6">
        <v>141</v>
      </c>
      <c r="J14" s="4">
        <v>33.009708740000001</v>
      </c>
      <c r="K14" s="3" t="s">
        <v>10</v>
      </c>
    </row>
    <row r="15" spans="1:11" x14ac:dyDescent="0.25">
      <c r="A15" s="22" t="s">
        <v>222</v>
      </c>
      <c r="B15" s="24" t="s">
        <v>219</v>
      </c>
      <c r="C15" s="3" t="s">
        <v>16</v>
      </c>
      <c r="D15" s="6">
        <v>144022</v>
      </c>
      <c r="E15" s="6">
        <v>7117</v>
      </c>
      <c r="F15" s="6">
        <v>3</v>
      </c>
      <c r="G15" s="6">
        <v>152.42718450000001</v>
      </c>
      <c r="H15" s="6">
        <v>4</v>
      </c>
      <c r="I15" s="6">
        <v>157</v>
      </c>
      <c r="J15" s="4">
        <v>52.42718447</v>
      </c>
      <c r="K15" s="3" t="s">
        <v>19</v>
      </c>
    </row>
    <row r="16" spans="1:11" x14ac:dyDescent="0.25">
      <c r="A16" s="22" t="s">
        <v>223</v>
      </c>
      <c r="B16" s="24" t="s">
        <v>224</v>
      </c>
      <c r="C16" s="3" t="s">
        <v>16</v>
      </c>
      <c r="D16" s="6">
        <v>700032</v>
      </c>
      <c r="E16" s="6">
        <v>7117</v>
      </c>
      <c r="F16" s="6">
        <v>3</v>
      </c>
      <c r="G16" s="6">
        <v>151.45631069999999</v>
      </c>
      <c r="H16" s="6">
        <v>4</v>
      </c>
      <c r="I16" s="6">
        <v>156</v>
      </c>
      <c r="J16" s="4">
        <v>37.86407767</v>
      </c>
      <c r="K16" s="3" t="s">
        <v>14</v>
      </c>
    </row>
    <row r="17" spans="1:11" x14ac:dyDescent="0.25">
      <c r="A17" s="22" t="s">
        <v>225</v>
      </c>
      <c r="B17" s="24" t="s">
        <v>226</v>
      </c>
      <c r="C17" s="3" t="s">
        <v>25</v>
      </c>
      <c r="D17" s="6">
        <v>700041</v>
      </c>
      <c r="E17" s="6">
        <v>7117</v>
      </c>
      <c r="F17" s="6">
        <v>3</v>
      </c>
      <c r="G17" s="6">
        <v>161.16504850000001</v>
      </c>
      <c r="H17" s="6">
        <v>4</v>
      </c>
      <c r="I17" s="6">
        <v>166</v>
      </c>
      <c r="J17" s="4">
        <v>49.514563109999997</v>
      </c>
      <c r="K17" s="3" t="s">
        <v>26</v>
      </c>
    </row>
    <row r="18" spans="1:11" x14ac:dyDescent="0.25">
      <c r="A18" s="22" t="s">
        <v>227</v>
      </c>
      <c r="B18" s="24" t="s">
        <v>217</v>
      </c>
      <c r="C18" s="3" t="s">
        <v>25</v>
      </c>
      <c r="D18" s="6">
        <v>201102</v>
      </c>
      <c r="E18" s="6">
        <v>7117</v>
      </c>
      <c r="F18" s="6">
        <v>3</v>
      </c>
      <c r="G18" s="6">
        <v>115.53398060000001</v>
      </c>
      <c r="H18" s="6">
        <v>3</v>
      </c>
      <c r="I18" s="6">
        <v>119</v>
      </c>
      <c r="J18" s="4">
        <v>53.398058249999998</v>
      </c>
      <c r="K18" s="3" t="s">
        <v>41</v>
      </c>
    </row>
    <row r="19" spans="1:11" x14ac:dyDescent="0.25">
      <c r="A19" s="22" t="s">
        <v>228</v>
      </c>
      <c r="B19" s="24" t="s">
        <v>229</v>
      </c>
      <c r="C19" s="3" t="s">
        <v>33</v>
      </c>
      <c r="D19" s="6">
        <v>824203</v>
      </c>
      <c r="E19" s="6">
        <v>7117</v>
      </c>
      <c r="F19" s="6">
        <v>3</v>
      </c>
      <c r="G19" s="6">
        <v>168.93203879999999</v>
      </c>
      <c r="H19" s="6">
        <v>5</v>
      </c>
      <c r="I19" s="6">
        <v>174</v>
      </c>
      <c r="J19" s="4">
        <v>47.57281553</v>
      </c>
      <c r="K19" s="3" t="s">
        <v>10</v>
      </c>
    </row>
    <row r="20" spans="1:11" x14ac:dyDescent="0.25">
      <c r="A20" s="22" t="s">
        <v>230</v>
      </c>
      <c r="B20" s="24" t="s">
        <v>229</v>
      </c>
      <c r="C20" s="3" t="s">
        <v>33</v>
      </c>
      <c r="D20" s="6">
        <v>786001</v>
      </c>
      <c r="E20" s="6">
        <v>7117</v>
      </c>
      <c r="F20" s="6">
        <v>3</v>
      </c>
      <c r="G20" s="6">
        <v>176.69902909999999</v>
      </c>
      <c r="H20" s="6">
        <v>5</v>
      </c>
      <c r="I20" s="6">
        <v>182</v>
      </c>
      <c r="J20" s="4">
        <v>55.339805830000003</v>
      </c>
      <c r="K20" s="3" t="s">
        <v>41</v>
      </c>
    </row>
    <row r="21" spans="1:11" x14ac:dyDescent="0.25">
      <c r="A21" s="22" t="s">
        <v>231</v>
      </c>
      <c r="B21" s="24" t="s">
        <v>232</v>
      </c>
      <c r="C21" s="3" t="s">
        <v>16</v>
      </c>
      <c r="D21" s="6">
        <v>825313</v>
      </c>
      <c r="E21" s="6">
        <v>7117</v>
      </c>
      <c r="F21" s="6">
        <v>3</v>
      </c>
      <c r="G21" s="6">
        <v>173.78640780000001</v>
      </c>
      <c r="H21" s="6">
        <v>5</v>
      </c>
      <c r="I21" s="6">
        <v>179</v>
      </c>
      <c r="J21" s="4">
        <v>52.42718447</v>
      </c>
      <c r="K21" s="3" t="s">
        <v>23</v>
      </c>
    </row>
    <row r="22" spans="1:11" x14ac:dyDescent="0.25">
      <c r="A22" s="22" t="s">
        <v>233</v>
      </c>
      <c r="B22" s="24" t="s">
        <v>229</v>
      </c>
      <c r="C22" s="3" t="s">
        <v>9</v>
      </c>
      <c r="D22" s="6">
        <v>506002</v>
      </c>
      <c r="E22" s="6">
        <v>7117</v>
      </c>
      <c r="F22" s="6">
        <v>3</v>
      </c>
      <c r="G22" s="6">
        <v>144.66019420000001</v>
      </c>
      <c r="H22" s="6">
        <v>4</v>
      </c>
      <c r="I22" s="6">
        <v>149</v>
      </c>
      <c r="J22" s="4">
        <v>40.776699030000003</v>
      </c>
      <c r="K22" s="3" t="s">
        <v>26</v>
      </c>
    </row>
    <row r="23" spans="1:11" x14ac:dyDescent="0.25">
      <c r="A23" s="22" t="s">
        <v>234</v>
      </c>
      <c r="B23" s="24" t="s">
        <v>235</v>
      </c>
      <c r="C23" s="3" t="s">
        <v>25</v>
      </c>
      <c r="D23" s="6">
        <v>400101</v>
      </c>
      <c r="E23" s="6">
        <v>7117</v>
      </c>
      <c r="F23" s="6">
        <v>3</v>
      </c>
      <c r="G23" s="6">
        <v>197.08737859999999</v>
      </c>
      <c r="H23" s="6">
        <v>5</v>
      </c>
      <c r="I23" s="6">
        <v>203</v>
      </c>
      <c r="J23" s="4">
        <v>56.310679610000001</v>
      </c>
      <c r="K23" s="3" t="s">
        <v>26</v>
      </c>
    </row>
    <row r="24" spans="1:11" x14ac:dyDescent="0.25">
      <c r="A24" s="22" t="s">
        <v>236</v>
      </c>
      <c r="B24" s="24" t="s">
        <v>237</v>
      </c>
      <c r="C24" s="3" t="s">
        <v>25</v>
      </c>
      <c r="D24" s="6">
        <v>144211</v>
      </c>
      <c r="E24" s="6">
        <v>7117</v>
      </c>
      <c r="F24" s="6">
        <v>3</v>
      </c>
      <c r="G24" s="6">
        <v>169.90291260000001</v>
      </c>
      <c r="H24" s="6">
        <v>5</v>
      </c>
      <c r="I24" s="6">
        <v>175</v>
      </c>
      <c r="J24" s="4">
        <v>51.456310680000001</v>
      </c>
      <c r="K24" s="3" t="s">
        <v>46</v>
      </c>
    </row>
    <row r="25" spans="1:11" x14ac:dyDescent="0.25">
      <c r="A25" s="22" t="s">
        <v>238</v>
      </c>
      <c r="B25" s="24" t="s">
        <v>239</v>
      </c>
      <c r="C25" s="3" t="s">
        <v>33</v>
      </c>
      <c r="D25" s="6">
        <v>843119</v>
      </c>
      <c r="E25" s="6">
        <v>7117</v>
      </c>
      <c r="F25" s="6">
        <v>3</v>
      </c>
      <c r="G25" s="6">
        <v>258.2524272</v>
      </c>
      <c r="H25" s="6">
        <v>7</v>
      </c>
      <c r="I25" s="6">
        <v>266</v>
      </c>
      <c r="J25" s="4">
        <v>70.873786409999994</v>
      </c>
      <c r="K25" s="3" t="s">
        <v>966</v>
      </c>
    </row>
    <row r="26" spans="1:11" x14ac:dyDescent="0.25">
      <c r="A26" s="22" t="s">
        <v>240</v>
      </c>
      <c r="B26" s="24" t="s">
        <v>237</v>
      </c>
      <c r="C26" s="3" t="s">
        <v>16</v>
      </c>
      <c r="D26" s="6">
        <v>174001</v>
      </c>
      <c r="E26" s="6">
        <v>7117</v>
      </c>
      <c r="F26" s="6">
        <v>3</v>
      </c>
      <c r="G26" s="6">
        <v>177.66990290000001</v>
      </c>
      <c r="H26" s="6">
        <v>5</v>
      </c>
      <c r="I26" s="6">
        <v>183</v>
      </c>
      <c r="J26" s="4">
        <v>56.310679610000001</v>
      </c>
      <c r="K26" s="3" t="s">
        <v>39</v>
      </c>
    </row>
    <row r="27" spans="1:11" x14ac:dyDescent="0.25">
      <c r="A27" s="22" t="s">
        <v>241</v>
      </c>
      <c r="B27" s="24" t="s">
        <v>217</v>
      </c>
      <c r="C27" s="3" t="s">
        <v>25</v>
      </c>
      <c r="D27" s="6">
        <v>202002</v>
      </c>
      <c r="E27" s="6">
        <v>7117</v>
      </c>
      <c r="F27" s="6">
        <v>3</v>
      </c>
      <c r="G27" s="6">
        <v>193.20388349999999</v>
      </c>
      <c r="H27" s="6">
        <v>5</v>
      </c>
      <c r="I27" s="6">
        <v>199</v>
      </c>
      <c r="J27" s="4">
        <v>52.42718447</v>
      </c>
      <c r="K27" s="3" t="s">
        <v>41</v>
      </c>
    </row>
    <row r="28" spans="1:11" x14ac:dyDescent="0.25">
      <c r="A28" s="22" t="s">
        <v>242</v>
      </c>
      <c r="B28" s="24" t="s">
        <v>219</v>
      </c>
      <c r="C28" s="3" t="s">
        <v>33</v>
      </c>
      <c r="D28" s="6">
        <v>151001</v>
      </c>
      <c r="E28" s="6">
        <v>7117</v>
      </c>
      <c r="F28" s="6">
        <v>3</v>
      </c>
      <c r="G28" s="6">
        <v>129.1262136</v>
      </c>
      <c r="H28" s="6">
        <v>3</v>
      </c>
      <c r="I28" s="6">
        <v>133</v>
      </c>
      <c r="J28" s="4">
        <v>37.86407767</v>
      </c>
      <c r="K28" s="3" t="s">
        <v>37</v>
      </c>
    </row>
    <row r="29" spans="1:11" x14ac:dyDescent="0.25">
      <c r="A29" s="22" t="s">
        <v>243</v>
      </c>
      <c r="B29" s="24" t="s">
        <v>244</v>
      </c>
      <c r="C29" s="3" t="s">
        <v>9</v>
      </c>
      <c r="D29" s="6">
        <v>301701</v>
      </c>
      <c r="E29" s="6">
        <v>7117</v>
      </c>
      <c r="F29" s="6">
        <v>3</v>
      </c>
      <c r="G29" s="6">
        <v>137.8640777</v>
      </c>
      <c r="H29" s="6">
        <v>4</v>
      </c>
      <c r="I29" s="6">
        <v>142</v>
      </c>
      <c r="J29" s="4">
        <v>45.631067960000003</v>
      </c>
      <c r="K29" s="3" t="s">
        <v>28</v>
      </c>
    </row>
    <row r="30" spans="1:11" x14ac:dyDescent="0.25">
      <c r="A30" s="22" t="s">
        <v>245</v>
      </c>
      <c r="B30" s="24" t="s">
        <v>246</v>
      </c>
      <c r="C30" s="3" t="s">
        <v>9</v>
      </c>
      <c r="D30" s="6">
        <v>415604</v>
      </c>
      <c r="E30" s="6">
        <v>7117</v>
      </c>
      <c r="F30" s="6">
        <v>3</v>
      </c>
      <c r="G30" s="6">
        <v>134.95145629999999</v>
      </c>
      <c r="H30" s="6">
        <v>4</v>
      </c>
      <c r="I30" s="6">
        <v>139</v>
      </c>
      <c r="J30" s="4">
        <v>55.339805830000003</v>
      </c>
      <c r="K30" s="3" t="s">
        <v>19</v>
      </c>
    </row>
    <row r="31" spans="1:11" x14ac:dyDescent="0.25">
      <c r="A31" s="22" t="s">
        <v>247</v>
      </c>
      <c r="B31" s="24" t="s">
        <v>248</v>
      </c>
      <c r="C31" s="3" t="s">
        <v>25</v>
      </c>
      <c r="D31" s="6">
        <v>221010</v>
      </c>
      <c r="E31" s="6">
        <v>7117</v>
      </c>
      <c r="F31" s="6">
        <v>3</v>
      </c>
      <c r="G31" s="6">
        <v>184.46601939999999</v>
      </c>
      <c r="H31" s="6">
        <v>5</v>
      </c>
      <c r="I31" s="6">
        <v>190</v>
      </c>
      <c r="J31" s="4">
        <v>70.873786409999994</v>
      </c>
      <c r="K31" s="3" t="s">
        <v>196</v>
      </c>
    </row>
    <row r="32" spans="1:11" x14ac:dyDescent="0.25">
      <c r="A32" s="22" t="s">
        <v>249</v>
      </c>
      <c r="B32" s="24" t="s">
        <v>201</v>
      </c>
      <c r="C32" s="3" t="s">
        <v>9</v>
      </c>
      <c r="D32" s="6">
        <v>570031</v>
      </c>
      <c r="E32" s="6">
        <v>7117</v>
      </c>
      <c r="F32" s="6">
        <v>3</v>
      </c>
      <c r="G32" s="6">
        <v>166.0194175</v>
      </c>
      <c r="H32" s="6">
        <v>4</v>
      </c>
      <c r="I32" s="6">
        <v>171</v>
      </c>
      <c r="J32" s="4">
        <v>44.660194169999997</v>
      </c>
      <c r="K32" s="3" t="s">
        <v>46</v>
      </c>
    </row>
    <row r="33" spans="1:11" x14ac:dyDescent="0.25">
      <c r="A33" s="22" t="s">
        <v>250</v>
      </c>
      <c r="B33" s="24" t="s">
        <v>235</v>
      </c>
      <c r="C33" s="3" t="s">
        <v>21</v>
      </c>
      <c r="D33" s="6">
        <v>140307</v>
      </c>
      <c r="E33" s="6">
        <v>7117</v>
      </c>
      <c r="F33" s="6">
        <v>3</v>
      </c>
      <c r="G33" s="6">
        <v>166.9902913</v>
      </c>
      <c r="H33" s="6">
        <v>5</v>
      </c>
      <c r="I33" s="6">
        <v>172</v>
      </c>
      <c r="J33" s="4">
        <v>55.339805830000003</v>
      </c>
      <c r="K33" s="3" t="s">
        <v>53</v>
      </c>
    </row>
    <row r="34" spans="1:11" x14ac:dyDescent="0.25">
      <c r="A34" s="22" t="s">
        <v>251</v>
      </c>
      <c r="B34" s="24" t="s">
        <v>252</v>
      </c>
      <c r="C34" s="3" t="s">
        <v>9</v>
      </c>
      <c r="D34" s="6">
        <v>263153</v>
      </c>
      <c r="E34" s="6">
        <v>7117</v>
      </c>
      <c r="F34" s="6">
        <v>3</v>
      </c>
      <c r="G34" s="6">
        <v>158.2524272</v>
      </c>
      <c r="H34" s="6">
        <v>4</v>
      </c>
      <c r="I34" s="6">
        <v>163</v>
      </c>
      <c r="J34" s="4">
        <v>55.339805830000003</v>
      </c>
      <c r="K34" s="3" t="s">
        <v>37</v>
      </c>
    </row>
    <row r="35" spans="1:11" x14ac:dyDescent="0.25">
      <c r="A35" s="22" t="s">
        <v>253</v>
      </c>
      <c r="B35" s="24" t="s">
        <v>205</v>
      </c>
      <c r="C35" s="3" t="s">
        <v>16</v>
      </c>
      <c r="D35" s="6">
        <v>700041</v>
      </c>
      <c r="E35" s="6">
        <v>7117</v>
      </c>
      <c r="F35" s="6">
        <v>3</v>
      </c>
      <c r="G35" s="6">
        <v>168.93203879999999</v>
      </c>
      <c r="H35" s="6">
        <v>5</v>
      </c>
      <c r="I35" s="6">
        <v>174</v>
      </c>
      <c r="J35" s="4">
        <v>47.57281553</v>
      </c>
      <c r="K35" s="3" t="s">
        <v>46</v>
      </c>
    </row>
    <row r="36" spans="1:11" x14ac:dyDescent="0.25">
      <c r="A36" s="22" t="s">
        <v>254</v>
      </c>
      <c r="B36" s="24" t="s">
        <v>246</v>
      </c>
      <c r="C36" s="3" t="s">
        <v>9</v>
      </c>
      <c r="D36" s="6">
        <v>515201</v>
      </c>
      <c r="E36" s="6">
        <v>7117</v>
      </c>
      <c r="F36" s="6">
        <v>3</v>
      </c>
      <c r="G36" s="6">
        <v>139.80582519999999</v>
      </c>
      <c r="H36" s="6">
        <v>4</v>
      </c>
      <c r="I36" s="6">
        <v>144</v>
      </c>
      <c r="J36" s="4">
        <v>35.922330100000003</v>
      </c>
      <c r="K36" s="3" t="s">
        <v>37</v>
      </c>
    </row>
    <row r="37" spans="1:11" x14ac:dyDescent="0.25">
      <c r="A37" s="22" t="s">
        <v>255</v>
      </c>
      <c r="B37" s="24" t="s">
        <v>235</v>
      </c>
      <c r="C37" s="3" t="s">
        <v>9</v>
      </c>
      <c r="D37" s="6">
        <v>821301</v>
      </c>
      <c r="E37" s="6">
        <v>7117</v>
      </c>
      <c r="F37" s="6">
        <v>3</v>
      </c>
      <c r="G37" s="6">
        <v>166.9902913</v>
      </c>
      <c r="H37" s="6">
        <v>5</v>
      </c>
      <c r="I37" s="6">
        <v>172</v>
      </c>
      <c r="J37" s="4">
        <v>45.631067960000003</v>
      </c>
      <c r="K37" s="3" t="s">
        <v>10</v>
      </c>
    </row>
    <row r="38" spans="1:11" x14ac:dyDescent="0.25">
      <c r="A38" s="22" t="s">
        <v>256</v>
      </c>
      <c r="B38" s="24" t="s">
        <v>207</v>
      </c>
      <c r="C38" s="3" t="s">
        <v>25</v>
      </c>
      <c r="D38" s="6">
        <v>140603</v>
      </c>
      <c r="E38" s="6">
        <v>7117</v>
      </c>
      <c r="F38" s="6">
        <v>3</v>
      </c>
      <c r="G38" s="6">
        <v>145.631068</v>
      </c>
      <c r="H38" s="6">
        <v>4</v>
      </c>
      <c r="I38" s="6">
        <v>150</v>
      </c>
      <c r="J38" s="4">
        <v>41.747572820000002</v>
      </c>
      <c r="K38" s="3" t="s">
        <v>27</v>
      </c>
    </row>
    <row r="39" spans="1:11" x14ac:dyDescent="0.25">
      <c r="A39" s="22" t="s">
        <v>257</v>
      </c>
      <c r="B39" s="24" t="s">
        <v>252</v>
      </c>
      <c r="C39" s="3" t="s">
        <v>25</v>
      </c>
      <c r="D39" s="6">
        <v>283111</v>
      </c>
      <c r="E39" s="6">
        <v>7117</v>
      </c>
      <c r="F39" s="6">
        <v>3</v>
      </c>
      <c r="G39" s="6">
        <v>167.96116499999999</v>
      </c>
      <c r="H39" s="6">
        <v>5</v>
      </c>
      <c r="I39" s="6">
        <v>173</v>
      </c>
      <c r="J39" s="4">
        <v>46.601941750000002</v>
      </c>
      <c r="K39" s="3" t="s">
        <v>46</v>
      </c>
    </row>
    <row r="40" spans="1:11" x14ac:dyDescent="0.25">
      <c r="A40" s="22" t="s">
        <v>258</v>
      </c>
      <c r="B40" s="24" t="s">
        <v>259</v>
      </c>
      <c r="C40" s="3" t="s">
        <v>52</v>
      </c>
      <c r="D40" s="6">
        <v>110020</v>
      </c>
      <c r="E40" s="6">
        <v>7117</v>
      </c>
      <c r="F40" s="6">
        <v>3</v>
      </c>
      <c r="G40" s="6">
        <v>154.368932</v>
      </c>
      <c r="H40" s="6">
        <v>4</v>
      </c>
      <c r="I40" s="6">
        <v>159</v>
      </c>
      <c r="J40" s="4">
        <v>37.86407767</v>
      </c>
      <c r="K40" s="3" t="s">
        <v>63</v>
      </c>
    </row>
    <row r="41" spans="1:11" x14ac:dyDescent="0.25">
      <c r="A41" s="22" t="s">
        <v>260</v>
      </c>
      <c r="B41" s="24" t="s">
        <v>232</v>
      </c>
      <c r="C41" s="3" t="s">
        <v>25</v>
      </c>
      <c r="D41" s="6">
        <v>843146</v>
      </c>
      <c r="E41" s="6">
        <v>7117</v>
      </c>
      <c r="F41" s="6">
        <v>3</v>
      </c>
      <c r="G41" s="6">
        <v>166.0194175</v>
      </c>
      <c r="H41" s="6">
        <v>4</v>
      </c>
      <c r="I41" s="6">
        <v>171</v>
      </c>
      <c r="J41" s="4">
        <v>44.660194169999997</v>
      </c>
      <c r="K41" s="3" t="s">
        <v>22</v>
      </c>
    </row>
    <row r="42" spans="1:11" x14ac:dyDescent="0.25">
      <c r="A42" s="22" t="s">
        <v>261</v>
      </c>
      <c r="B42" s="24" t="s">
        <v>259</v>
      </c>
      <c r="C42" s="3" t="s">
        <v>9</v>
      </c>
      <c r="D42" s="6">
        <v>743355</v>
      </c>
      <c r="E42" s="6">
        <v>7117</v>
      </c>
      <c r="F42" s="6">
        <v>3</v>
      </c>
      <c r="G42" s="6">
        <v>225.2427184</v>
      </c>
      <c r="H42" s="6">
        <v>6</v>
      </c>
      <c r="I42" s="6">
        <v>232</v>
      </c>
      <c r="J42" s="4">
        <v>37.86407767</v>
      </c>
      <c r="K42" s="3" t="s">
        <v>17</v>
      </c>
    </row>
    <row r="43" spans="1:11" x14ac:dyDescent="0.25">
      <c r="A43" s="22" t="s">
        <v>262</v>
      </c>
      <c r="B43" s="24" t="s">
        <v>215</v>
      </c>
      <c r="C43" s="3" t="s">
        <v>25</v>
      </c>
      <c r="D43" s="6">
        <v>509376</v>
      </c>
      <c r="E43" s="6">
        <v>7117</v>
      </c>
      <c r="F43" s="6">
        <v>3</v>
      </c>
      <c r="G43" s="6">
        <v>152.42718450000001</v>
      </c>
      <c r="H43" s="6">
        <v>4</v>
      </c>
      <c r="I43" s="6">
        <v>157</v>
      </c>
      <c r="J43" s="4">
        <v>52.42718447</v>
      </c>
      <c r="K43" s="3" t="s">
        <v>19</v>
      </c>
    </row>
    <row r="44" spans="1:11" x14ac:dyDescent="0.25">
      <c r="A44" s="22" t="s">
        <v>263</v>
      </c>
      <c r="B44" s="24" t="s">
        <v>244</v>
      </c>
      <c r="C44" s="3" t="s">
        <v>25</v>
      </c>
      <c r="D44" s="6">
        <v>110043</v>
      </c>
      <c r="E44" s="6">
        <v>7117</v>
      </c>
      <c r="F44" s="6">
        <v>3</v>
      </c>
      <c r="G44" s="6">
        <v>181.55339810000001</v>
      </c>
      <c r="H44" s="6">
        <v>5</v>
      </c>
      <c r="I44" s="6">
        <v>187</v>
      </c>
      <c r="J44" s="4">
        <v>45.631067960000003</v>
      </c>
      <c r="K44" s="3" t="s">
        <v>17</v>
      </c>
    </row>
    <row r="45" spans="1:11" x14ac:dyDescent="0.25">
      <c r="A45" s="22" t="s">
        <v>264</v>
      </c>
      <c r="B45" s="24" t="s">
        <v>215</v>
      </c>
      <c r="C45" s="3" t="s">
        <v>25</v>
      </c>
      <c r="D45" s="6">
        <v>743165</v>
      </c>
      <c r="E45" s="6">
        <v>7117</v>
      </c>
      <c r="F45" s="6">
        <v>3</v>
      </c>
      <c r="G45" s="6">
        <v>87.378640799999999</v>
      </c>
      <c r="H45" s="6">
        <v>2</v>
      </c>
      <c r="I45" s="6">
        <v>90</v>
      </c>
      <c r="J45" s="4">
        <v>41.747572820000002</v>
      </c>
      <c r="K45" s="3" t="s">
        <v>98</v>
      </c>
    </row>
    <row r="46" spans="1:11" x14ac:dyDescent="0.25">
      <c r="A46" s="22" t="s">
        <v>265</v>
      </c>
      <c r="B46" s="24" t="s">
        <v>229</v>
      </c>
      <c r="C46" s="3" t="s">
        <v>25</v>
      </c>
      <c r="D46" s="6">
        <v>852137</v>
      </c>
      <c r="E46" s="6">
        <v>7117</v>
      </c>
      <c r="F46" s="6">
        <v>3</v>
      </c>
      <c r="G46" s="6">
        <v>166.9902913</v>
      </c>
      <c r="H46" s="6">
        <v>5</v>
      </c>
      <c r="I46" s="6">
        <v>172</v>
      </c>
      <c r="J46" s="4">
        <v>48.543689319999999</v>
      </c>
      <c r="K46" s="3" t="s">
        <v>49</v>
      </c>
    </row>
    <row r="47" spans="1:11" x14ac:dyDescent="0.25">
      <c r="A47" s="22" t="s">
        <v>266</v>
      </c>
      <c r="B47" s="24" t="s">
        <v>267</v>
      </c>
      <c r="C47" s="3" t="s">
        <v>9</v>
      </c>
      <c r="D47" s="6">
        <v>762010</v>
      </c>
      <c r="E47" s="6">
        <v>7117</v>
      </c>
      <c r="F47" s="6">
        <v>3</v>
      </c>
      <c r="G47" s="6">
        <v>170.8737864</v>
      </c>
      <c r="H47" s="6">
        <v>5</v>
      </c>
      <c r="I47" s="6">
        <v>176</v>
      </c>
      <c r="J47" s="4">
        <v>49.514563109999997</v>
      </c>
      <c r="K47" s="3" t="s">
        <v>10</v>
      </c>
    </row>
    <row r="48" spans="1:11" x14ac:dyDescent="0.25">
      <c r="A48" s="22" t="s">
        <v>268</v>
      </c>
      <c r="B48" s="24" t="s">
        <v>269</v>
      </c>
      <c r="C48" s="3" t="s">
        <v>9</v>
      </c>
      <c r="D48" s="6">
        <v>276403</v>
      </c>
      <c r="E48" s="6">
        <v>7117</v>
      </c>
      <c r="F48" s="6">
        <v>3</v>
      </c>
      <c r="G48" s="6">
        <v>192.2330097</v>
      </c>
      <c r="H48" s="6">
        <v>5</v>
      </c>
      <c r="I48" s="6">
        <v>198</v>
      </c>
      <c r="J48" s="4">
        <v>70.873786409999994</v>
      </c>
      <c r="K48" s="3" t="s">
        <v>35</v>
      </c>
    </row>
    <row r="49" spans="1:11" x14ac:dyDescent="0.25">
      <c r="A49" s="22" t="s">
        <v>270</v>
      </c>
      <c r="B49" s="24" t="s">
        <v>205</v>
      </c>
      <c r="C49" s="3" t="s">
        <v>25</v>
      </c>
      <c r="D49" s="6">
        <v>811302</v>
      </c>
      <c r="E49" s="6">
        <v>7117</v>
      </c>
      <c r="F49" s="6">
        <v>3</v>
      </c>
      <c r="G49" s="6">
        <v>156.31067959999999</v>
      </c>
      <c r="H49" s="6">
        <v>4</v>
      </c>
      <c r="I49" s="6">
        <v>161</v>
      </c>
      <c r="J49" s="4">
        <v>52.42718447</v>
      </c>
      <c r="K49" s="3" t="s">
        <v>23</v>
      </c>
    </row>
    <row r="50" spans="1:11" x14ac:dyDescent="0.25">
      <c r="A50" s="22" t="s">
        <v>271</v>
      </c>
      <c r="B50" s="24" t="s">
        <v>244</v>
      </c>
      <c r="C50" s="3" t="s">
        <v>33</v>
      </c>
      <c r="D50" s="6">
        <v>805131</v>
      </c>
      <c r="E50" s="6">
        <v>7117</v>
      </c>
      <c r="F50" s="6">
        <v>3</v>
      </c>
      <c r="G50" s="6">
        <v>152.42718450000001</v>
      </c>
      <c r="H50" s="6">
        <v>4</v>
      </c>
      <c r="I50" s="6">
        <v>157</v>
      </c>
      <c r="J50" s="4">
        <v>52.42718447</v>
      </c>
      <c r="K50" s="3" t="s">
        <v>19</v>
      </c>
    </row>
    <row r="51" spans="1:11" x14ac:dyDescent="0.25">
      <c r="A51" s="22" t="s">
        <v>272</v>
      </c>
      <c r="B51" s="24" t="s">
        <v>203</v>
      </c>
      <c r="C51" s="3" t="s">
        <v>16</v>
      </c>
      <c r="D51" s="6">
        <v>190007</v>
      </c>
      <c r="E51" s="6">
        <v>7117</v>
      </c>
      <c r="F51" s="6">
        <v>3</v>
      </c>
      <c r="G51" s="6">
        <v>102.91262140000001</v>
      </c>
      <c r="H51" s="6">
        <v>3</v>
      </c>
      <c r="I51" s="6">
        <v>106</v>
      </c>
      <c r="J51" s="4">
        <v>40.776699030000003</v>
      </c>
      <c r="K51" s="3" t="s">
        <v>23</v>
      </c>
    </row>
    <row r="52" spans="1:11" x14ac:dyDescent="0.25">
      <c r="A52" s="22" t="s">
        <v>273</v>
      </c>
      <c r="B52" s="24" t="s">
        <v>239</v>
      </c>
      <c r="C52" s="3" t="s">
        <v>16</v>
      </c>
      <c r="D52" s="6">
        <v>811213</v>
      </c>
      <c r="E52" s="6">
        <v>7117</v>
      </c>
      <c r="F52" s="6">
        <v>3</v>
      </c>
      <c r="G52" s="6">
        <v>143.68932040000001</v>
      </c>
      <c r="H52" s="6">
        <v>4</v>
      </c>
      <c r="I52" s="6">
        <v>148</v>
      </c>
      <c r="J52" s="4">
        <v>52.42718447</v>
      </c>
      <c r="K52" s="3" t="s">
        <v>12</v>
      </c>
    </row>
    <row r="53" spans="1:11" x14ac:dyDescent="0.25">
      <c r="A53" s="22" t="s">
        <v>274</v>
      </c>
      <c r="B53" s="24" t="s">
        <v>275</v>
      </c>
      <c r="C53" s="3" t="s">
        <v>16</v>
      </c>
      <c r="D53" s="6">
        <v>229301</v>
      </c>
      <c r="E53" s="6">
        <v>7117</v>
      </c>
      <c r="F53" s="6">
        <v>3</v>
      </c>
      <c r="G53" s="6">
        <v>135.92233010000001</v>
      </c>
      <c r="H53" s="6">
        <v>4</v>
      </c>
      <c r="I53" s="6">
        <v>140</v>
      </c>
      <c r="J53" s="4">
        <v>37.86407767</v>
      </c>
      <c r="K53" s="3" t="s">
        <v>26</v>
      </c>
    </row>
    <row r="54" spans="1:11" x14ac:dyDescent="0.25">
      <c r="A54" s="22" t="s">
        <v>276</v>
      </c>
      <c r="B54" s="24" t="s">
        <v>239</v>
      </c>
      <c r="C54" s="3" t="s">
        <v>16</v>
      </c>
      <c r="D54" s="6">
        <v>143521</v>
      </c>
      <c r="E54" s="6">
        <v>7117</v>
      </c>
      <c r="F54" s="6">
        <v>3</v>
      </c>
      <c r="G54" s="6">
        <v>166.0194175</v>
      </c>
      <c r="H54" s="6">
        <v>4</v>
      </c>
      <c r="I54" s="6">
        <v>171</v>
      </c>
      <c r="J54" s="4">
        <v>52.42718447</v>
      </c>
      <c r="K54" s="3" t="s">
        <v>39</v>
      </c>
    </row>
    <row r="55" spans="1:11" x14ac:dyDescent="0.25">
      <c r="A55" s="22" t="s">
        <v>277</v>
      </c>
      <c r="B55" s="24" t="s">
        <v>203</v>
      </c>
      <c r="C55" s="3" t="s">
        <v>25</v>
      </c>
      <c r="D55" s="6">
        <v>572137</v>
      </c>
      <c r="E55" s="6">
        <v>7117</v>
      </c>
      <c r="F55" s="6">
        <v>3</v>
      </c>
      <c r="G55" s="6">
        <v>150.4854369</v>
      </c>
      <c r="H55" s="6">
        <v>4</v>
      </c>
      <c r="I55" s="6">
        <v>155</v>
      </c>
      <c r="J55" s="4">
        <v>47.57281553</v>
      </c>
      <c r="K55" s="3" t="s">
        <v>10</v>
      </c>
    </row>
    <row r="56" spans="1:11" x14ac:dyDescent="0.25">
      <c r="A56" s="22" t="s">
        <v>278</v>
      </c>
      <c r="B56" s="24" t="s">
        <v>244</v>
      </c>
      <c r="C56" s="3" t="s">
        <v>25</v>
      </c>
      <c r="D56" s="6">
        <v>175027</v>
      </c>
      <c r="E56" s="6">
        <v>7117</v>
      </c>
      <c r="F56" s="6">
        <v>3</v>
      </c>
      <c r="G56" s="6">
        <v>172.81553400000001</v>
      </c>
      <c r="H56" s="6">
        <v>5</v>
      </c>
      <c r="I56" s="6">
        <v>178</v>
      </c>
      <c r="J56" s="4">
        <v>43.689320389999999</v>
      </c>
      <c r="K56" s="3" t="s">
        <v>10</v>
      </c>
    </row>
    <row r="57" spans="1:11" x14ac:dyDescent="0.25">
      <c r="A57" s="22" t="s">
        <v>279</v>
      </c>
      <c r="B57" s="24" t="s">
        <v>207</v>
      </c>
      <c r="C57" s="3" t="s">
        <v>9</v>
      </c>
      <c r="D57" s="6">
        <v>825325</v>
      </c>
      <c r="E57" s="6">
        <v>330410</v>
      </c>
      <c r="F57" s="6">
        <v>18</v>
      </c>
      <c r="G57" s="6">
        <v>230.5084746</v>
      </c>
      <c r="H57" s="6">
        <v>41</v>
      </c>
      <c r="I57" s="6">
        <v>272</v>
      </c>
      <c r="J57" s="4">
        <v>45.762711860000003</v>
      </c>
      <c r="K57" s="3" t="s">
        <v>28</v>
      </c>
    </row>
    <row r="58" spans="1:11" x14ac:dyDescent="0.25">
      <c r="A58" s="22" t="s">
        <v>280</v>
      </c>
      <c r="B58" s="24" t="s">
        <v>203</v>
      </c>
      <c r="C58" s="3" t="s">
        <v>25</v>
      </c>
      <c r="D58" s="6">
        <v>301701</v>
      </c>
      <c r="E58" s="6">
        <v>7117</v>
      </c>
      <c r="F58" s="6">
        <v>3</v>
      </c>
      <c r="G58" s="6">
        <v>177.66990290000001</v>
      </c>
      <c r="H58" s="6">
        <v>5</v>
      </c>
      <c r="I58" s="6">
        <v>183</v>
      </c>
      <c r="J58" s="4">
        <v>56.310679610000001</v>
      </c>
      <c r="K58" s="3" t="s">
        <v>22</v>
      </c>
    </row>
    <row r="59" spans="1:11" x14ac:dyDescent="0.25">
      <c r="A59" s="22" t="s">
        <v>281</v>
      </c>
      <c r="B59" s="24" t="s">
        <v>207</v>
      </c>
      <c r="C59" s="3" t="s">
        <v>9</v>
      </c>
      <c r="D59" s="6">
        <v>853201</v>
      </c>
      <c r="E59" s="6">
        <v>7117</v>
      </c>
      <c r="F59" s="6">
        <v>3</v>
      </c>
      <c r="G59" s="6">
        <v>274.7572816</v>
      </c>
      <c r="H59" s="6">
        <v>8</v>
      </c>
      <c r="I59" s="6">
        <v>283</v>
      </c>
      <c r="J59" s="4">
        <v>56.310679610000001</v>
      </c>
      <c r="K59" s="3" t="s">
        <v>37</v>
      </c>
    </row>
    <row r="60" spans="1:11" x14ac:dyDescent="0.25">
      <c r="A60" s="22" t="s">
        <v>282</v>
      </c>
      <c r="B60" s="24" t="s">
        <v>217</v>
      </c>
      <c r="C60" s="3" t="s">
        <v>25</v>
      </c>
      <c r="D60" s="6">
        <v>843129</v>
      </c>
      <c r="E60" s="6">
        <v>7117</v>
      </c>
      <c r="F60" s="6">
        <v>3</v>
      </c>
      <c r="G60" s="6">
        <v>149.5145631</v>
      </c>
      <c r="H60" s="6">
        <v>4</v>
      </c>
      <c r="I60" s="6">
        <v>154</v>
      </c>
      <c r="J60" s="4">
        <v>52.42718447</v>
      </c>
      <c r="K60" s="3" t="s">
        <v>37</v>
      </c>
    </row>
    <row r="61" spans="1:11" x14ac:dyDescent="0.25">
      <c r="A61" s="22" t="s">
        <v>283</v>
      </c>
      <c r="B61" s="24" t="s">
        <v>267</v>
      </c>
      <c r="C61" s="3" t="s">
        <v>9</v>
      </c>
      <c r="D61" s="6">
        <v>534450</v>
      </c>
      <c r="E61" s="6">
        <v>7117</v>
      </c>
      <c r="F61" s="6">
        <v>3</v>
      </c>
      <c r="G61" s="6">
        <v>169.90291260000001</v>
      </c>
      <c r="H61" s="6">
        <v>5</v>
      </c>
      <c r="I61" s="6">
        <v>175</v>
      </c>
      <c r="J61" s="4">
        <v>48.543689319999999</v>
      </c>
      <c r="K61" s="3" t="s">
        <v>39</v>
      </c>
    </row>
    <row r="62" spans="1:11" x14ac:dyDescent="0.25">
      <c r="A62" s="22" t="s">
        <v>284</v>
      </c>
      <c r="B62" s="24" t="s">
        <v>232</v>
      </c>
      <c r="C62" s="3" t="s">
        <v>25</v>
      </c>
      <c r="D62" s="6">
        <v>721101</v>
      </c>
      <c r="E62" s="6">
        <v>7117</v>
      </c>
      <c r="F62" s="6">
        <v>3</v>
      </c>
      <c r="G62" s="6">
        <v>136.8932039</v>
      </c>
      <c r="H62" s="6">
        <v>4</v>
      </c>
      <c r="I62" s="6">
        <v>141</v>
      </c>
      <c r="J62" s="4">
        <v>33.980582519999999</v>
      </c>
      <c r="K62" s="3" t="s">
        <v>22</v>
      </c>
    </row>
    <row r="63" spans="1:11" x14ac:dyDescent="0.25">
      <c r="A63" s="22" t="s">
        <v>285</v>
      </c>
      <c r="B63" s="24" t="s">
        <v>248</v>
      </c>
      <c r="C63" s="3" t="s">
        <v>9</v>
      </c>
      <c r="D63" s="6">
        <v>813205</v>
      </c>
      <c r="E63" s="6">
        <v>7117</v>
      </c>
      <c r="F63" s="6">
        <v>3</v>
      </c>
      <c r="G63" s="6">
        <v>247.57281549999999</v>
      </c>
      <c r="H63" s="6">
        <v>7</v>
      </c>
      <c r="I63" s="6">
        <v>255</v>
      </c>
      <c r="J63" s="4">
        <v>37.86407767</v>
      </c>
      <c r="K63" s="3" t="s">
        <v>19</v>
      </c>
    </row>
    <row r="64" spans="1:11" x14ac:dyDescent="0.25">
      <c r="A64" s="22" t="s">
        <v>286</v>
      </c>
      <c r="B64" s="24" t="s">
        <v>287</v>
      </c>
      <c r="C64" s="3" t="s">
        <v>9</v>
      </c>
      <c r="D64" s="6">
        <v>228159</v>
      </c>
      <c r="E64" s="6">
        <v>7117</v>
      </c>
      <c r="F64" s="6">
        <v>3</v>
      </c>
      <c r="G64" s="6">
        <v>177.66990290000001</v>
      </c>
      <c r="H64" s="6">
        <v>5</v>
      </c>
      <c r="I64" s="6">
        <v>183</v>
      </c>
      <c r="J64" s="4">
        <v>56.310679610000001</v>
      </c>
      <c r="K64" s="3" t="s">
        <v>22</v>
      </c>
    </row>
    <row r="65" spans="1:11" x14ac:dyDescent="0.25">
      <c r="A65" s="22" t="s">
        <v>288</v>
      </c>
      <c r="B65" s="24" t="s">
        <v>248</v>
      </c>
      <c r="C65" s="3" t="s">
        <v>9</v>
      </c>
      <c r="D65" s="6">
        <v>486340</v>
      </c>
      <c r="E65" s="6">
        <v>7117</v>
      </c>
      <c r="F65" s="6">
        <v>3</v>
      </c>
      <c r="G65" s="6">
        <v>145.631068</v>
      </c>
      <c r="H65" s="6">
        <v>4</v>
      </c>
      <c r="I65" s="6">
        <v>150</v>
      </c>
      <c r="J65" s="4">
        <v>45.631067960000003</v>
      </c>
      <c r="K65" s="3" t="s">
        <v>10</v>
      </c>
    </row>
    <row r="66" spans="1:11" x14ac:dyDescent="0.25">
      <c r="A66" s="22" t="s">
        <v>289</v>
      </c>
      <c r="B66" s="24" t="s">
        <v>248</v>
      </c>
      <c r="C66" s="3" t="s">
        <v>16</v>
      </c>
      <c r="D66" s="6">
        <v>201304</v>
      </c>
      <c r="E66" s="6">
        <v>7117</v>
      </c>
      <c r="F66" s="6">
        <v>3</v>
      </c>
      <c r="G66" s="6">
        <v>147.57281549999999</v>
      </c>
      <c r="H66" s="6">
        <v>4</v>
      </c>
      <c r="I66" s="6">
        <v>152</v>
      </c>
      <c r="J66" s="4">
        <v>47.57281553</v>
      </c>
      <c r="K66" s="3" t="s">
        <v>54</v>
      </c>
    </row>
    <row r="67" spans="1:11" x14ac:dyDescent="0.25">
      <c r="A67" s="22" t="s">
        <v>290</v>
      </c>
      <c r="B67" s="24" t="s">
        <v>275</v>
      </c>
      <c r="C67" s="3" t="s">
        <v>25</v>
      </c>
      <c r="D67" s="6">
        <v>301701</v>
      </c>
      <c r="E67" s="6">
        <v>7117</v>
      </c>
      <c r="F67" s="6">
        <v>3</v>
      </c>
      <c r="G67" s="6">
        <v>129.1262136</v>
      </c>
      <c r="H67" s="6">
        <v>3</v>
      </c>
      <c r="I67" s="6">
        <v>133</v>
      </c>
      <c r="J67" s="4">
        <v>37.86407767</v>
      </c>
      <c r="K67" s="3" t="s">
        <v>26</v>
      </c>
    </row>
    <row r="68" spans="1:11" x14ac:dyDescent="0.25">
      <c r="A68" s="22" t="s">
        <v>291</v>
      </c>
      <c r="B68" s="24" t="s">
        <v>237</v>
      </c>
      <c r="C68" s="3" t="s">
        <v>9</v>
      </c>
      <c r="D68" s="6">
        <v>344001</v>
      </c>
      <c r="E68" s="6">
        <v>7117</v>
      </c>
      <c r="F68" s="6">
        <v>3</v>
      </c>
      <c r="G68" s="6">
        <v>161.16504850000001</v>
      </c>
      <c r="H68" s="6">
        <v>4</v>
      </c>
      <c r="I68" s="6">
        <v>166</v>
      </c>
      <c r="J68" s="4">
        <v>49.514563109999997</v>
      </c>
      <c r="K68" s="3" t="s">
        <v>10</v>
      </c>
    </row>
    <row r="69" spans="1:11" x14ac:dyDescent="0.25">
      <c r="A69" s="22" t="s">
        <v>292</v>
      </c>
      <c r="B69" s="24" t="s">
        <v>287</v>
      </c>
      <c r="C69" s="3" t="s">
        <v>25</v>
      </c>
      <c r="D69" s="6">
        <v>110053</v>
      </c>
      <c r="E69" s="6">
        <v>7117</v>
      </c>
      <c r="F69" s="6">
        <v>3</v>
      </c>
      <c r="G69" s="6">
        <v>120.3883495</v>
      </c>
      <c r="H69" s="6">
        <v>3</v>
      </c>
      <c r="I69" s="6">
        <v>124</v>
      </c>
      <c r="J69" s="4">
        <v>40.776699030000003</v>
      </c>
      <c r="K69" s="3" t="s">
        <v>54</v>
      </c>
    </row>
    <row r="70" spans="1:11" x14ac:dyDescent="0.25">
      <c r="A70" s="22" t="s">
        <v>293</v>
      </c>
      <c r="B70" s="24" t="s">
        <v>252</v>
      </c>
      <c r="C70" s="3" t="s">
        <v>33</v>
      </c>
      <c r="D70" s="6">
        <v>522001</v>
      </c>
      <c r="E70" s="6">
        <v>7117</v>
      </c>
      <c r="F70" s="6">
        <v>3</v>
      </c>
      <c r="G70" s="6">
        <v>172.81553400000001</v>
      </c>
      <c r="H70" s="6">
        <v>5</v>
      </c>
      <c r="I70" s="6">
        <v>178</v>
      </c>
      <c r="J70" s="4">
        <v>51.456310680000001</v>
      </c>
      <c r="K70" s="3" t="s">
        <v>46</v>
      </c>
    </row>
    <row r="71" spans="1:11" x14ac:dyDescent="0.25">
      <c r="A71" s="22" t="s">
        <v>294</v>
      </c>
      <c r="B71" s="24" t="s">
        <v>205</v>
      </c>
      <c r="C71" s="3" t="s">
        <v>33</v>
      </c>
      <c r="D71" s="6">
        <v>600012</v>
      </c>
      <c r="E71" s="6">
        <v>7117</v>
      </c>
      <c r="F71" s="6">
        <v>3</v>
      </c>
      <c r="G71" s="6">
        <v>157.28155340000001</v>
      </c>
      <c r="H71" s="6">
        <v>4</v>
      </c>
      <c r="I71" s="6">
        <v>162</v>
      </c>
      <c r="J71" s="4">
        <v>45.631067960000003</v>
      </c>
      <c r="K71" s="3" t="s">
        <v>63</v>
      </c>
    </row>
    <row r="72" spans="1:11" x14ac:dyDescent="0.25">
      <c r="A72" s="22" t="s">
        <v>295</v>
      </c>
      <c r="B72" s="24" t="s">
        <v>215</v>
      </c>
      <c r="C72" s="3" t="s">
        <v>52</v>
      </c>
      <c r="D72" s="6">
        <v>600057</v>
      </c>
      <c r="E72" s="6">
        <v>7117</v>
      </c>
      <c r="F72" s="6">
        <v>3</v>
      </c>
      <c r="G72" s="6">
        <v>154.368932</v>
      </c>
      <c r="H72" s="6">
        <v>4</v>
      </c>
      <c r="I72" s="6">
        <v>159</v>
      </c>
      <c r="J72" s="4">
        <v>37.86407767</v>
      </c>
      <c r="K72" s="3" t="s">
        <v>39</v>
      </c>
    </row>
    <row r="73" spans="1:11" x14ac:dyDescent="0.25">
      <c r="A73" s="22" t="s">
        <v>296</v>
      </c>
      <c r="B73" s="24" t="s">
        <v>244</v>
      </c>
      <c r="C73" s="3" t="s">
        <v>33</v>
      </c>
      <c r="D73" s="6">
        <v>277501</v>
      </c>
      <c r="E73" s="6">
        <v>7117</v>
      </c>
      <c r="F73" s="6">
        <v>3</v>
      </c>
      <c r="G73" s="6">
        <v>149.5145631</v>
      </c>
      <c r="H73" s="6">
        <v>4</v>
      </c>
      <c r="I73" s="6">
        <v>154</v>
      </c>
      <c r="J73" s="4">
        <v>37.86407767</v>
      </c>
      <c r="K73" s="3" t="s">
        <v>41</v>
      </c>
    </row>
    <row r="74" spans="1:11" x14ac:dyDescent="0.25">
      <c r="A74" s="22" t="s">
        <v>297</v>
      </c>
      <c r="B74" s="24" t="s">
        <v>248</v>
      </c>
      <c r="C74" s="3" t="s">
        <v>25</v>
      </c>
      <c r="D74" s="6">
        <v>301701</v>
      </c>
      <c r="E74" s="6">
        <v>7117</v>
      </c>
      <c r="F74" s="6">
        <v>3</v>
      </c>
      <c r="G74" s="6">
        <v>133.9805825</v>
      </c>
      <c r="H74" s="6">
        <v>4</v>
      </c>
      <c r="I74" s="6">
        <v>138</v>
      </c>
      <c r="J74" s="4">
        <v>35.922330100000003</v>
      </c>
      <c r="K74" s="3" t="s">
        <v>10</v>
      </c>
    </row>
    <row r="75" spans="1:11" x14ac:dyDescent="0.25">
      <c r="A75" s="22" t="s">
        <v>298</v>
      </c>
      <c r="B75" s="24" t="s">
        <v>237</v>
      </c>
      <c r="C75" s="3" t="s">
        <v>25</v>
      </c>
      <c r="D75" s="6">
        <v>491995</v>
      </c>
      <c r="E75" s="6">
        <v>7117</v>
      </c>
      <c r="F75" s="6">
        <v>3</v>
      </c>
      <c r="G75" s="6">
        <v>168.93203879999999</v>
      </c>
      <c r="H75" s="6">
        <v>5</v>
      </c>
      <c r="I75" s="6">
        <v>174</v>
      </c>
      <c r="J75" s="4">
        <v>57.2815534</v>
      </c>
      <c r="K75" s="3" t="s">
        <v>53</v>
      </c>
    </row>
    <row r="76" spans="1:11" x14ac:dyDescent="0.25">
      <c r="A76" s="22" t="s">
        <v>299</v>
      </c>
      <c r="B76" s="24" t="s">
        <v>267</v>
      </c>
      <c r="C76" s="3" t="s">
        <v>16</v>
      </c>
      <c r="D76" s="6">
        <v>735214</v>
      </c>
      <c r="E76" s="6">
        <v>7117</v>
      </c>
      <c r="F76" s="6">
        <v>3</v>
      </c>
      <c r="G76" s="6">
        <v>190.29126210000001</v>
      </c>
      <c r="H76" s="6">
        <v>5</v>
      </c>
      <c r="I76" s="6">
        <v>196</v>
      </c>
      <c r="J76" s="4">
        <v>49.514563109999997</v>
      </c>
      <c r="K76" s="3" t="s">
        <v>17</v>
      </c>
    </row>
    <row r="77" spans="1:11" x14ac:dyDescent="0.25">
      <c r="A77" s="22" t="s">
        <v>300</v>
      </c>
      <c r="B77" s="24" t="s">
        <v>301</v>
      </c>
      <c r="C77" s="3" t="s">
        <v>9</v>
      </c>
      <c r="D77" s="6">
        <v>534324</v>
      </c>
      <c r="E77" s="6">
        <v>7117</v>
      </c>
      <c r="F77" s="6">
        <v>3</v>
      </c>
      <c r="G77" s="6">
        <v>176.69902909999999</v>
      </c>
      <c r="H77" s="6">
        <v>5</v>
      </c>
      <c r="I77" s="6">
        <v>182</v>
      </c>
      <c r="J77" s="4">
        <v>55.339805830000003</v>
      </c>
      <c r="K77" s="3" t="s">
        <v>41</v>
      </c>
    </row>
    <row r="78" spans="1:11" x14ac:dyDescent="0.25">
      <c r="A78" s="22" t="s">
        <v>302</v>
      </c>
      <c r="B78" s="24" t="s">
        <v>287</v>
      </c>
      <c r="C78" s="3" t="s">
        <v>9</v>
      </c>
      <c r="D78" s="6">
        <v>813203</v>
      </c>
      <c r="E78" s="6">
        <v>7117</v>
      </c>
      <c r="F78" s="6">
        <v>3</v>
      </c>
      <c r="G78" s="6">
        <v>153.3980583</v>
      </c>
      <c r="H78" s="6">
        <v>4</v>
      </c>
      <c r="I78" s="6">
        <v>158</v>
      </c>
      <c r="J78" s="4">
        <v>49.514563109999997</v>
      </c>
      <c r="K78" s="3" t="s">
        <v>85</v>
      </c>
    </row>
    <row r="79" spans="1:11" x14ac:dyDescent="0.25">
      <c r="A79" s="22" t="s">
        <v>303</v>
      </c>
      <c r="B79" s="24" t="s">
        <v>252</v>
      </c>
      <c r="C79" s="3" t="s">
        <v>9</v>
      </c>
      <c r="D79" s="6">
        <v>121003</v>
      </c>
      <c r="E79" s="6">
        <v>7117</v>
      </c>
      <c r="F79" s="6">
        <v>3</v>
      </c>
      <c r="G79" s="6">
        <v>255.33980579999999</v>
      </c>
      <c r="H79" s="6">
        <v>7</v>
      </c>
      <c r="I79" s="6">
        <v>263</v>
      </c>
      <c r="J79" s="4">
        <v>36.893203880000002</v>
      </c>
      <c r="K79" s="3" t="s">
        <v>10</v>
      </c>
    </row>
    <row r="80" spans="1:11" x14ac:dyDescent="0.25">
      <c r="A80" s="22" t="s">
        <v>304</v>
      </c>
      <c r="B80" s="24" t="s">
        <v>237</v>
      </c>
      <c r="C80" s="3" t="s">
        <v>21</v>
      </c>
      <c r="D80" s="6">
        <v>422001</v>
      </c>
      <c r="E80" s="6">
        <v>7117</v>
      </c>
      <c r="F80" s="6">
        <v>3</v>
      </c>
      <c r="G80" s="6">
        <v>160.19417480000001</v>
      </c>
      <c r="H80" s="6">
        <v>4</v>
      </c>
      <c r="I80" s="6">
        <v>165</v>
      </c>
      <c r="J80" s="4">
        <v>56.310679610000001</v>
      </c>
      <c r="K80" s="3" t="s">
        <v>22</v>
      </c>
    </row>
    <row r="81" spans="1:11" x14ac:dyDescent="0.25">
      <c r="A81" s="22" t="s">
        <v>305</v>
      </c>
      <c r="B81" s="24" t="s">
        <v>213</v>
      </c>
      <c r="C81" s="3" t="s">
        <v>25</v>
      </c>
      <c r="D81" s="6">
        <v>221010</v>
      </c>
      <c r="E81" s="6">
        <v>7117</v>
      </c>
      <c r="F81" s="6">
        <v>3</v>
      </c>
      <c r="G81" s="6">
        <v>173.78640780000001</v>
      </c>
      <c r="H81" s="6">
        <v>5</v>
      </c>
      <c r="I81" s="6">
        <v>179</v>
      </c>
      <c r="J81" s="4">
        <v>52.42718447</v>
      </c>
      <c r="K81" s="3" t="s">
        <v>23</v>
      </c>
    </row>
    <row r="82" spans="1:11" x14ac:dyDescent="0.25">
      <c r="A82" s="22" t="s">
        <v>306</v>
      </c>
      <c r="B82" s="24" t="s">
        <v>244</v>
      </c>
      <c r="C82" s="3" t="s">
        <v>25</v>
      </c>
      <c r="D82" s="6">
        <v>841287</v>
      </c>
      <c r="E82" s="6">
        <v>7117</v>
      </c>
      <c r="F82" s="6">
        <v>3</v>
      </c>
      <c r="G82" s="6">
        <v>166.0194175</v>
      </c>
      <c r="H82" s="6">
        <v>4</v>
      </c>
      <c r="I82" s="6">
        <v>171</v>
      </c>
      <c r="J82" s="4">
        <v>36.893203880000002</v>
      </c>
      <c r="K82" s="3" t="s">
        <v>54</v>
      </c>
    </row>
    <row r="83" spans="1:11" x14ac:dyDescent="0.25">
      <c r="A83" s="22" t="s">
        <v>307</v>
      </c>
      <c r="B83" s="24" t="s">
        <v>252</v>
      </c>
      <c r="C83" s="3" t="s">
        <v>25</v>
      </c>
      <c r="D83" s="6">
        <v>110043</v>
      </c>
      <c r="E83" s="6">
        <v>7117</v>
      </c>
      <c r="F83" s="6">
        <v>3</v>
      </c>
      <c r="G83" s="6">
        <v>199.02912620000001</v>
      </c>
      <c r="H83" s="6">
        <v>5</v>
      </c>
      <c r="I83" s="6">
        <v>205</v>
      </c>
      <c r="J83" s="4">
        <v>74.757281550000002</v>
      </c>
      <c r="K83" s="3" t="s">
        <v>27</v>
      </c>
    </row>
    <row r="84" spans="1:11" x14ac:dyDescent="0.25">
      <c r="A84" s="22" t="s">
        <v>308</v>
      </c>
      <c r="B84" s="24" t="s">
        <v>201</v>
      </c>
      <c r="C84" s="3" t="s">
        <v>16</v>
      </c>
      <c r="D84" s="6">
        <v>500007</v>
      </c>
      <c r="E84" s="6">
        <v>7117</v>
      </c>
      <c r="F84" s="6">
        <v>3</v>
      </c>
      <c r="G84" s="6">
        <v>169.90291260000001</v>
      </c>
      <c r="H84" s="6">
        <v>5</v>
      </c>
      <c r="I84" s="6">
        <v>175</v>
      </c>
      <c r="J84" s="4">
        <v>52.42718447</v>
      </c>
      <c r="K84" s="3" t="s">
        <v>12</v>
      </c>
    </row>
    <row r="85" spans="1:11" x14ac:dyDescent="0.25">
      <c r="A85" s="22" t="s">
        <v>309</v>
      </c>
      <c r="B85" s="24" t="s">
        <v>244</v>
      </c>
      <c r="C85" s="3" t="s">
        <v>9</v>
      </c>
      <c r="D85" s="6">
        <v>277001</v>
      </c>
      <c r="E85" s="6">
        <v>7117</v>
      </c>
      <c r="F85" s="6">
        <v>3</v>
      </c>
      <c r="G85" s="6">
        <v>151.45631069999999</v>
      </c>
      <c r="H85" s="6">
        <v>4</v>
      </c>
      <c r="I85" s="6">
        <v>156</v>
      </c>
      <c r="J85" s="4">
        <v>37.86407767</v>
      </c>
      <c r="K85" s="3" t="s">
        <v>41</v>
      </c>
    </row>
    <row r="86" spans="1:11" x14ac:dyDescent="0.25">
      <c r="A86" s="22" t="s">
        <v>310</v>
      </c>
      <c r="B86" s="24" t="s">
        <v>217</v>
      </c>
      <c r="C86" s="3" t="s">
        <v>33</v>
      </c>
      <c r="D86" s="6">
        <v>110043</v>
      </c>
      <c r="E86" s="6">
        <v>7117</v>
      </c>
      <c r="F86" s="6">
        <v>3</v>
      </c>
      <c r="G86" s="6">
        <v>149.5145631</v>
      </c>
      <c r="H86" s="6">
        <v>4</v>
      </c>
      <c r="I86" s="6">
        <v>154</v>
      </c>
      <c r="J86" s="4">
        <v>42.7184466</v>
      </c>
      <c r="K86" s="3" t="s">
        <v>10</v>
      </c>
    </row>
    <row r="87" spans="1:11" x14ac:dyDescent="0.25">
      <c r="A87" s="22" t="s">
        <v>311</v>
      </c>
      <c r="B87" s="24" t="s">
        <v>259</v>
      </c>
      <c r="C87" s="3" t="s">
        <v>16</v>
      </c>
      <c r="D87" s="6">
        <v>497333</v>
      </c>
      <c r="E87" s="6">
        <v>7117</v>
      </c>
      <c r="F87" s="6">
        <v>3</v>
      </c>
      <c r="G87" s="6">
        <v>162.1359223</v>
      </c>
      <c r="H87" s="6">
        <v>4</v>
      </c>
      <c r="I87" s="6">
        <v>167</v>
      </c>
      <c r="J87" s="4">
        <v>45.631067960000003</v>
      </c>
      <c r="K87" s="3" t="s">
        <v>63</v>
      </c>
    </row>
    <row r="88" spans="1:11" x14ac:dyDescent="0.25">
      <c r="A88" s="22" t="s">
        <v>312</v>
      </c>
      <c r="B88" s="24" t="s">
        <v>229</v>
      </c>
      <c r="C88" s="3" t="s">
        <v>21</v>
      </c>
      <c r="D88" s="6">
        <v>455111</v>
      </c>
      <c r="E88" s="6">
        <v>7117</v>
      </c>
      <c r="F88" s="6">
        <v>3</v>
      </c>
      <c r="G88" s="6">
        <v>89.320388300000005</v>
      </c>
      <c r="H88" s="6">
        <v>2</v>
      </c>
      <c r="I88" s="6">
        <v>92</v>
      </c>
      <c r="J88" s="4">
        <v>41.747572820000002</v>
      </c>
      <c r="K88" s="3" t="s">
        <v>53</v>
      </c>
    </row>
    <row r="89" spans="1:11" x14ac:dyDescent="0.25">
      <c r="A89" s="22" t="s">
        <v>313</v>
      </c>
      <c r="B89" s="24" t="s">
        <v>301</v>
      </c>
      <c r="C89" s="3" t="s">
        <v>16</v>
      </c>
      <c r="D89" s="6">
        <v>201013</v>
      </c>
      <c r="E89" s="6">
        <v>7117</v>
      </c>
      <c r="F89" s="6">
        <v>3</v>
      </c>
      <c r="G89" s="6">
        <v>174.7572816</v>
      </c>
      <c r="H89" s="6">
        <v>5</v>
      </c>
      <c r="I89" s="6">
        <v>180</v>
      </c>
      <c r="J89" s="4">
        <v>53.398058249999998</v>
      </c>
      <c r="K89" s="3" t="s">
        <v>22</v>
      </c>
    </row>
    <row r="90" spans="1:11" x14ac:dyDescent="0.25">
      <c r="A90" s="22" t="s">
        <v>314</v>
      </c>
      <c r="B90" s="24" t="s">
        <v>219</v>
      </c>
      <c r="C90" s="3" t="s">
        <v>25</v>
      </c>
      <c r="D90" s="6">
        <v>144211</v>
      </c>
      <c r="E90" s="6">
        <v>7117</v>
      </c>
      <c r="F90" s="6">
        <v>3</v>
      </c>
      <c r="G90" s="6">
        <v>187.3786408</v>
      </c>
      <c r="H90" s="6">
        <v>5</v>
      </c>
      <c r="I90" s="6">
        <v>193</v>
      </c>
      <c r="J90" s="4">
        <v>70.873786409999994</v>
      </c>
      <c r="K90" s="3" t="s">
        <v>967</v>
      </c>
    </row>
    <row r="91" spans="1:11" x14ac:dyDescent="0.25">
      <c r="A91" s="22" t="s">
        <v>315</v>
      </c>
      <c r="B91" s="24" t="s">
        <v>248</v>
      </c>
      <c r="C91" s="3" t="s">
        <v>9</v>
      </c>
      <c r="D91" s="6">
        <v>742213</v>
      </c>
      <c r="E91" s="6">
        <v>7117</v>
      </c>
      <c r="F91" s="6">
        <v>3</v>
      </c>
      <c r="G91" s="6">
        <v>164.07766989999999</v>
      </c>
      <c r="H91" s="6">
        <v>4</v>
      </c>
      <c r="I91" s="6">
        <v>169</v>
      </c>
      <c r="J91" s="4">
        <v>44.660194169999997</v>
      </c>
      <c r="K91" s="3" t="s">
        <v>46</v>
      </c>
    </row>
    <row r="92" spans="1:11" x14ac:dyDescent="0.25">
      <c r="A92" s="22" t="s">
        <v>316</v>
      </c>
      <c r="B92" s="24" t="s">
        <v>224</v>
      </c>
      <c r="C92" s="3" t="s">
        <v>25</v>
      </c>
      <c r="D92" s="6">
        <v>816115</v>
      </c>
      <c r="E92" s="6">
        <v>7117</v>
      </c>
      <c r="F92" s="6">
        <v>3</v>
      </c>
      <c r="G92" s="6">
        <v>160.19417480000001</v>
      </c>
      <c r="H92" s="6">
        <v>4</v>
      </c>
      <c r="I92" s="6">
        <v>165</v>
      </c>
      <c r="J92" s="4">
        <v>52.42718447</v>
      </c>
      <c r="K92" s="3" t="s">
        <v>19</v>
      </c>
    </row>
    <row r="93" spans="1:11" x14ac:dyDescent="0.25">
      <c r="A93" s="22" t="s">
        <v>317</v>
      </c>
      <c r="B93" s="24" t="s">
        <v>318</v>
      </c>
      <c r="C93" s="3" t="s">
        <v>21</v>
      </c>
      <c r="D93" s="6">
        <v>302025</v>
      </c>
      <c r="E93" s="6">
        <v>7117</v>
      </c>
      <c r="F93" s="6">
        <v>3</v>
      </c>
      <c r="G93" s="6">
        <v>145.631068</v>
      </c>
      <c r="H93" s="6">
        <v>4</v>
      </c>
      <c r="I93" s="6">
        <v>150</v>
      </c>
      <c r="J93" s="4">
        <v>48.543689319999999</v>
      </c>
      <c r="K93" s="3" t="s">
        <v>10</v>
      </c>
    </row>
    <row r="94" spans="1:11" x14ac:dyDescent="0.25">
      <c r="A94" s="22" t="s">
        <v>319</v>
      </c>
      <c r="B94" s="24" t="s">
        <v>213</v>
      </c>
      <c r="C94" s="3" t="s">
        <v>52</v>
      </c>
      <c r="D94" s="6">
        <v>462003</v>
      </c>
      <c r="E94" s="6">
        <v>7117</v>
      </c>
      <c r="F94" s="6">
        <v>3</v>
      </c>
      <c r="G94" s="6">
        <v>151.45631069999999</v>
      </c>
      <c r="H94" s="6">
        <v>4</v>
      </c>
      <c r="I94" s="6">
        <v>156</v>
      </c>
      <c r="J94" s="4">
        <v>33.980582519999999</v>
      </c>
      <c r="K94" s="3" t="s">
        <v>10</v>
      </c>
    </row>
    <row r="95" spans="1:11" x14ac:dyDescent="0.25">
      <c r="A95" s="22" t="s">
        <v>320</v>
      </c>
      <c r="B95" s="24" t="s">
        <v>205</v>
      </c>
      <c r="C95" s="3" t="s">
        <v>9</v>
      </c>
      <c r="D95" s="6">
        <v>224190</v>
      </c>
      <c r="E95" s="6">
        <v>7117</v>
      </c>
      <c r="F95" s="6">
        <v>3</v>
      </c>
      <c r="G95" s="6">
        <v>155.33980579999999</v>
      </c>
      <c r="H95" s="6">
        <v>4</v>
      </c>
      <c r="I95" s="6">
        <v>160</v>
      </c>
      <c r="J95" s="4">
        <v>37.86407767</v>
      </c>
      <c r="K95" s="3" t="s">
        <v>12</v>
      </c>
    </row>
    <row r="96" spans="1:11" x14ac:dyDescent="0.25">
      <c r="A96" s="22" t="s">
        <v>321</v>
      </c>
      <c r="B96" s="24" t="s">
        <v>224</v>
      </c>
      <c r="C96" s="3" t="s">
        <v>9</v>
      </c>
      <c r="D96" s="6">
        <v>303007</v>
      </c>
      <c r="E96" s="6">
        <v>7117</v>
      </c>
      <c r="F96" s="6">
        <v>3</v>
      </c>
      <c r="G96" s="6">
        <v>153.3980583</v>
      </c>
      <c r="H96" s="6">
        <v>4</v>
      </c>
      <c r="I96" s="6">
        <v>158</v>
      </c>
      <c r="J96" s="4">
        <v>45.631067960000003</v>
      </c>
      <c r="K96" s="3" t="s">
        <v>10</v>
      </c>
    </row>
    <row r="97" spans="1:11" x14ac:dyDescent="0.25">
      <c r="A97" s="22" t="s">
        <v>322</v>
      </c>
      <c r="B97" s="24" t="s">
        <v>203</v>
      </c>
      <c r="C97" s="3" t="s">
        <v>25</v>
      </c>
      <c r="D97" s="6">
        <v>491222</v>
      </c>
      <c r="E97" s="6">
        <v>7117</v>
      </c>
      <c r="F97" s="6">
        <v>3</v>
      </c>
      <c r="G97" s="6">
        <v>177.66990290000001</v>
      </c>
      <c r="H97" s="6">
        <v>5</v>
      </c>
      <c r="I97" s="6">
        <v>183</v>
      </c>
      <c r="J97" s="4">
        <v>56.310679610000001</v>
      </c>
      <c r="K97" s="3" t="s">
        <v>22</v>
      </c>
    </row>
    <row r="98" spans="1:11" x14ac:dyDescent="0.25">
      <c r="A98" s="22" t="s">
        <v>323</v>
      </c>
      <c r="B98" s="24" t="s">
        <v>210</v>
      </c>
      <c r="C98" s="3" t="s">
        <v>16</v>
      </c>
      <c r="D98" s="6">
        <v>412207</v>
      </c>
      <c r="E98" s="6">
        <v>7117</v>
      </c>
      <c r="F98" s="6">
        <v>3</v>
      </c>
      <c r="G98" s="6">
        <v>156.31067959999999</v>
      </c>
      <c r="H98" s="6">
        <v>4</v>
      </c>
      <c r="I98" s="6">
        <v>161</v>
      </c>
      <c r="J98" s="4">
        <v>52.42718447</v>
      </c>
      <c r="K98" s="3" t="s">
        <v>26</v>
      </c>
    </row>
    <row r="99" spans="1:11" x14ac:dyDescent="0.25">
      <c r="A99" s="22" t="s">
        <v>324</v>
      </c>
      <c r="B99" s="24" t="s">
        <v>205</v>
      </c>
      <c r="C99" s="3" t="s">
        <v>33</v>
      </c>
      <c r="D99" s="6">
        <v>224208</v>
      </c>
      <c r="E99" s="6">
        <v>7117</v>
      </c>
      <c r="F99" s="6">
        <v>3</v>
      </c>
      <c r="G99" s="6">
        <v>173.78640780000001</v>
      </c>
      <c r="H99" s="6">
        <v>5</v>
      </c>
      <c r="I99" s="6">
        <v>179</v>
      </c>
      <c r="J99" s="4">
        <v>52.42718447</v>
      </c>
      <c r="K99" s="3" t="s">
        <v>41</v>
      </c>
    </row>
    <row r="100" spans="1:11" x14ac:dyDescent="0.25">
      <c r="A100" s="22" t="s">
        <v>325</v>
      </c>
      <c r="B100" s="24" t="s">
        <v>275</v>
      </c>
      <c r="C100" s="3" t="s">
        <v>9</v>
      </c>
      <c r="D100" s="6">
        <v>281004</v>
      </c>
      <c r="E100" s="6">
        <v>7117</v>
      </c>
      <c r="F100" s="6">
        <v>3</v>
      </c>
      <c r="G100" s="6">
        <v>142.71844659999999</v>
      </c>
      <c r="H100" s="6">
        <v>4</v>
      </c>
      <c r="I100" s="6">
        <v>147</v>
      </c>
      <c r="J100" s="4">
        <v>44.660194169999997</v>
      </c>
      <c r="K100" s="3" t="s">
        <v>10</v>
      </c>
    </row>
    <row r="101" spans="1:11" x14ac:dyDescent="0.25">
      <c r="A101" s="22" t="s">
        <v>326</v>
      </c>
      <c r="B101" s="24" t="s">
        <v>215</v>
      </c>
      <c r="C101" s="3" t="s">
        <v>9</v>
      </c>
      <c r="D101" s="6">
        <v>272175</v>
      </c>
      <c r="E101" s="6">
        <v>7117</v>
      </c>
      <c r="F101" s="6">
        <v>3</v>
      </c>
      <c r="G101" s="6">
        <v>147.57281549999999</v>
      </c>
      <c r="H101" s="6">
        <v>4</v>
      </c>
      <c r="I101" s="6">
        <v>152</v>
      </c>
      <c r="J101" s="4">
        <v>47.57281553</v>
      </c>
      <c r="K101" s="3" t="s">
        <v>22</v>
      </c>
    </row>
    <row r="102" spans="1:11" x14ac:dyDescent="0.25">
      <c r="A102" s="22" t="s">
        <v>327</v>
      </c>
      <c r="B102" s="24" t="s">
        <v>301</v>
      </c>
      <c r="C102" s="3" t="s">
        <v>16</v>
      </c>
      <c r="D102" s="6">
        <v>813203</v>
      </c>
      <c r="E102" s="6">
        <v>7117</v>
      </c>
      <c r="F102" s="6">
        <v>3</v>
      </c>
      <c r="G102" s="6">
        <v>170.8737864</v>
      </c>
      <c r="H102" s="6">
        <v>5</v>
      </c>
      <c r="I102" s="6">
        <v>176</v>
      </c>
      <c r="J102" s="4">
        <v>49.514563109999997</v>
      </c>
      <c r="K102" s="3" t="s">
        <v>10</v>
      </c>
    </row>
    <row r="103" spans="1:11" x14ac:dyDescent="0.25">
      <c r="A103" s="22" t="s">
        <v>328</v>
      </c>
      <c r="B103" s="24" t="s">
        <v>207</v>
      </c>
      <c r="C103" s="3" t="s">
        <v>9</v>
      </c>
      <c r="D103" s="6">
        <v>272190</v>
      </c>
      <c r="E103" s="6">
        <v>7117</v>
      </c>
      <c r="F103" s="6">
        <v>3</v>
      </c>
      <c r="G103" s="6">
        <v>160.19417480000001</v>
      </c>
      <c r="H103" s="6">
        <v>4</v>
      </c>
      <c r="I103" s="6">
        <v>165</v>
      </c>
      <c r="J103" s="4">
        <v>56.310679610000001</v>
      </c>
      <c r="K103" s="3" t="s">
        <v>37</v>
      </c>
    </row>
    <row r="104" spans="1:11" x14ac:dyDescent="0.25">
      <c r="A104" s="22" t="s">
        <v>329</v>
      </c>
      <c r="B104" s="24" t="s">
        <v>232</v>
      </c>
      <c r="C104" s="3" t="s">
        <v>16</v>
      </c>
      <c r="D104" s="6">
        <v>143103</v>
      </c>
      <c r="E104" s="6">
        <v>7117</v>
      </c>
      <c r="F104" s="6">
        <v>3</v>
      </c>
      <c r="G104" s="6">
        <v>155.33980579999999</v>
      </c>
      <c r="H104" s="6">
        <v>4</v>
      </c>
      <c r="I104" s="6">
        <v>160</v>
      </c>
      <c r="J104" s="4">
        <v>37.86407767</v>
      </c>
      <c r="K104" s="3" t="s">
        <v>41</v>
      </c>
    </row>
    <row r="105" spans="1:11" x14ac:dyDescent="0.25">
      <c r="A105" s="22" t="s">
        <v>330</v>
      </c>
      <c r="B105" s="24" t="s">
        <v>275</v>
      </c>
      <c r="C105" s="3" t="s">
        <v>9</v>
      </c>
      <c r="D105" s="6">
        <v>277401</v>
      </c>
      <c r="E105" s="6">
        <v>7117</v>
      </c>
      <c r="F105" s="6">
        <v>3</v>
      </c>
      <c r="G105" s="6">
        <v>129.1262136</v>
      </c>
      <c r="H105" s="6">
        <v>3</v>
      </c>
      <c r="I105" s="6">
        <v>133</v>
      </c>
      <c r="J105" s="4">
        <v>37.86407767</v>
      </c>
      <c r="K105" s="3" t="s">
        <v>39</v>
      </c>
    </row>
    <row r="106" spans="1:11" x14ac:dyDescent="0.25">
      <c r="A106" s="22" t="s">
        <v>331</v>
      </c>
      <c r="B106" s="24" t="s">
        <v>244</v>
      </c>
      <c r="C106" s="3" t="s">
        <v>9</v>
      </c>
      <c r="D106" s="6">
        <v>560035</v>
      </c>
      <c r="E106" s="6">
        <v>7117</v>
      </c>
      <c r="F106" s="6">
        <v>3</v>
      </c>
      <c r="G106" s="6">
        <v>262.1359223</v>
      </c>
      <c r="H106" s="6">
        <v>7</v>
      </c>
      <c r="I106" s="6">
        <v>270</v>
      </c>
      <c r="J106" s="4">
        <v>52.42718447</v>
      </c>
      <c r="K106" s="3" t="s">
        <v>39</v>
      </c>
    </row>
    <row r="107" spans="1:11" x14ac:dyDescent="0.25">
      <c r="A107" s="22" t="s">
        <v>332</v>
      </c>
      <c r="B107" s="24" t="s">
        <v>235</v>
      </c>
      <c r="C107" s="3" t="s">
        <v>16</v>
      </c>
      <c r="D107" s="6">
        <v>110047</v>
      </c>
      <c r="E107" s="6">
        <v>7117</v>
      </c>
      <c r="F107" s="6">
        <v>3</v>
      </c>
      <c r="G107" s="6">
        <v>230.09708739999999</v>
      </c>
      <c r="H107" s="6">
        <v>6</v>
      </c>
      <c r="I107" s="6">
        <v>237</v>
      </c>
      <c r="J107" s="4">
        <v>50.485436890000003</v>
      </c>
      <c r="K107" s="3" t="s">
        <v>17</v>
      </c>
    </row>
    <row r="108" spans="1:11" x14ac:dyDescent="0.25">
      <c r="A108" s="22" t="s">
        <v>333</v>
      </c>
      <c r="B108" s="24" t="s">
        <v>259</v>
      </c>
      <c r="C108" s="3" t="s">
        <v>25</v>
      </c>
      <c r="D108" s="6">
        <v>753001</v>
      </c>
      <c r="E108" s="6">
        <v>7117</v>
      </c>
      <c r="F108" s="6">
        <v>3</v>
      </c>
      <c r="G108" s="6">
        <v>154.368932</v>
      </c>
      <c r="H108" s="6">
        <v>4</v>
      </c>
      <c r="I108" s="6">
        <v>159</v>
      </c>
      <c r="J108" s="4">
        <v>37.86407767</v>
      </c>
      <c r="K108" s="3" t="s">
        <v>63</v>
      </c>
    </row>
    <row r="109" spans="1:11" x14ac:dyDescent="0.25">
      <c r="A109" s="22" t="s">
        <v>334</v>
      </c>
      <c r="B109" s="24" t="s">
        <v>335</v>
      </c>
      <c r="C109" s="3" t="s">
        <v>33</v>
      </c>
      <c r="D109" s="6">
        <v>816115</v>
      </c>
      <c r="E109" s="6">
        <v>7117</v>
      </c>
      <c r="F109" s="6">
        <v>3</v>
      </c>
      <c r="G109" s="6">
        <v>269.90291259999998</v>
      </c>
      <c r="H109" s="6">
        <v>8</v>
      </c>
      <c r="I109" s="6">
        <v>278</v>
      </c>
      <c r="J109" s="4">
        <v>51.456310680000001</v>
      </c>
      <c r="K109" s="3" t="s">
        <v>27</v>
      </c>
    </row>
    <row r="110" spans="1:11" x14ac:dyDescent="0.25">
      <c r="A110" s="22" t="s">
        <v>336</v>
      </c>
      <c r="B110" s="24" t="s">
        <v>335</v>
      </c>
      <c r="C110" s="3" t="s">
        <v>16</v>
      </c>
      <c r="D110" s="6">
        <v>228171</v>
      </c>
      <c r="E110" s="6">
        <v>7117</v>
      </c>
      <c r="F110" s="6">
        <v>3</v>
      </c>
      <c r="G110" s="6">
        <v>144.66019420000001</v>
      </c>
      <c r="H110" s="6">
        <v>4</v>
      </c>
      <c r="I110" s="6">
        <v>149</v>
      </c>
      <c r="J110" s="4">
        <v>47.57281553</v>
      </c>
      <c r="K110" s="3" t="s">
        <v>10</v>
      </c>
    </row>
    <row r="111" spans="1:11" x14ac:dyDescent="0.25">
      <c r="A111" s="22" t="s">
        <v>337</v>
      </c>
      <c r="B111" s="24" t="s">
        <v>248</v>
      </c>
      <c r="C111" s="3" t="s">
        <v>25</v>
      </c>
      <c r="D111" s="6">
        <v>141016</v>
      </c>
      <c r="E111" s="6">
        <v>7117</v>
      </c>
      <c r="F111" s="6">
        <v>3</v>
      </c>
      <c r="G111" s="6">
        <v>168.93203879999999</v>
      </c>
      <c r="H111" s="6">
        <v>5</v>
      </c>
      <c r="I111" s="6">
        <v>174</v>
      </c>
      <c r="J111" s="4">
        <v>70.873786409999994</v>
      </c>
      <c r="K111" s="3" t="s">
        <v>35</v>
      </c>
    </row>
    <row r="112" spans="1:11" x14ac:dyDescent="0.25">
      <c r="A112" s="22" t="s">
        <v>338</v>
      </c>
      <c r="B112" s="24" t="s">
        <v>201</v>
      </c>
      <c r="C112" s="3" t="s">
        <v>16</v>
      </c>
      <c r="D112" s="6">
        <v>276137</v>
      </c>
      <c r="E112" s="6">
        <v>7117</v>
      </c>
      <c r="F112" s="6">
        <v>3</v>
      </c>
      <c r="G112" s="6">
        <v>156.31067959999999</v>
      </c>
      <c r="H112" s="6">
        <v>4</v>
      </c>
      <c r="I112" s="6">
        <v>161</v>
      </c>
      <c r="J112" s="4">
        <v>52.42718447</v>
      </c>
      <c r="K112" s="3" t="s">
        <v>22</v>
      </c>
    </row>
    <row r="113" spans="1:11" x14ac:dyDescent="0.25">
      <c r="A113" s="22" t="s">
        <v>339</v>
      </c>
      <c r="B113" s="24" t="s">
        <v>201</v>
      </c>
      <c r="C113" s="3" t="s">
        <v>9</v>
      </c>
      <c r="D113" s="6">
        <v>493228</v>
      </c>
      <c r="E113" s="6">
        <v>7117</v>
      </c>
      <c r="F113" s="6">
        <v>3</v>
      </c>
      <c r="G113" s="6">
        <v>169.90291260000001</v>
      </c>
      <c r="H113" s="6">
        <v>5</v>
      </c>
      <c r="I113" s="6">
        <v>175</v>
      </c>
      <c r="J113" s="4">
        <v>48.543689319999999</v>
      </c>
      <c r="K113" s="3" t="s">
        <v>63</v>
      </c>
    </row>
    <row r="114" spans="1:11" x14ac:dyDescent="0.25">
      <c r="A114" s="22" t="s">
        <v>340</v>
      </c>
      <c r="B114" s="24" t="s">
        <v>244</v>
      </c>
      <c r="C114" s="3" t="s">
        <v>21</v>
      </c>
      <c r="D114" s="6">
        <v>333001</v>
      </c>
      <c r="E114" s="6">
        <v>7117</v>
      </c>
      <c r="F114" s="6">
        <v>3</v>
      </c>
      <c r="G114" s="6">
        <v>145.631068</v>
      </c>
      <c r="H114" s="6">
        <v>4</v>
      </c>
      <c r="I114" s="6">
        <v>150</v>
      </c>
      <c r="J114" s="4">
        <v>45.631067960000003</v>
      </c>
      <c r="K114" s="3" t="s">
        <v>10</v>
      </c>
    </row>
    <row r="115" spans="1:11" x14ac:dyDescent="0.25">
      <c r="A115" s="22" t="s">
        <v>341</v>
      </c>
      <c r="B115" s="24" t="s">
        <v>205</v>
      </c>
      <c r="C115" s="3" t="s">
        <v>9</v>
      </c>
      <c r="D115" s="6">
        <v>843146</v>
      </c>
      <c r="E115" s="6">
        <v>7117</v>
      </c>
      <c r="F115" s="6">
        <v>3</v>
      </c>
      <c r="G115" s="6">
        <v>168.93203879999999</v>
      </c>
      <c r="H115" s="6">
        <v>5</v>
      </c>
      <c r="I115" s="6">
        <v>174</v>
      </c>
      <c r="J115" s="4">
        <v>47.57281553</v>
      </c>
      <c r="K115" s="3" t="s">
        <v>17</v>
      </c>
    </row>
    <row r="116" spans="1:11" x14ac:dyDescent="0.25">
      <c r="A116" s="22" t="s">
        <v>342</v>
      </c>
      <c r="B116" s="24" t="s">
        <v>215</v>
      </c>
      <c r="C116" s="3" t="s">
        <v>25</v>
      </c>
      <c r="D116" s="6">
        <v>846009</v>
      </c>
      <c r="E116" s="6">
        <v>7117</v>
      </c>
      <c r="F116" s="6">
        <v>3</v>
      </c>
      <c r="G116" s="6">
        <v>151.45631069999999</v>
      </c>
      <c r="H116" s="6">
        <v>4</v>
      </c>
      <c r="I116" s="6">
        <v>156</v>
      </c>
      <c r="J116" s="4">
        <v>37.86407767</v>
      </c>
      <c r="K116" s="3" t="s">
        <v>12</v>
      </c>
    </row>
    <row r="117" spans="1:11" x14ac:dyDescent="0.25">
      <c r="A117" s="22" t="s">
        <v>343</v>
      </c>
      <c r="B117" s="24" t="s">
        <v>215</v>
      </c>
      <c r="C117" s="3" t="s">
        <v>9</v>
      </c>
      <c r="D117" s="6">
        <v>243632</v>
      </c>
      <c r="E117" s="6">
        <v>7117</v>
      </c>
      <c r="F117" s="6">
        <v>3</v>
      </c>
      <c r="G117" s="6">
        <v>166.0194175</v>
      </c>
      <c r="H117" s="6">
        <v>4</v>
      </c>
      <c r="I117" s="6">
        <v>171</v>
      </c>
      <c r="J117" s="4">
        <v>52.42718447</v>
      </c>
      <c r="K117" s="3" t="s">
        <v>23</v>
      </c>
    </row>
    <row r="118" spans="1:11" x14ac:dyDescent="0.25">
      <c r="A118" s="22" t="s">
        <v>344</v>
      </c>
      <c r="B118" s="24" t="s">
        <v>269</v>
      </c>
      <c r="C118" s="3" t="s">
        <v>16</v>
      </c>
      <c r="D118" s="6">
        <v>144514</v>
      </c>
      <c r="E118" s="6">
        <v>7117</v>
      </c>
      <c r="F118" s="6">
        <v>3</v>
      </c>
      <c r="G118" s="6">
        <v>169.90291260000001</v>
      </c>
      <c r="H118" s="6">
        <v>5</v>
      </c>
      <c r="I118" s="6">
        <v>175</v>
      </c>
      <c r="J118" s="4">
        <v>48.543689319999999</v>
      </c>
      <c r="K118" s="3" t="s">
        <v>63</v>
      </c>
    </row>
    <row r="119" spans="1:11" x14ac:dyDescent="0.25">
      <c r="A119" s="22" t="s">
        <v>345</v>
      </c>
      <c r="B119" s="24" t="s">
        <v>235</v>
      </c>
      <c r="C119" s="3" t="s">
        <v>25</v>
      </c>
      <c r="D119" s="6">
        <v>151001</v>
      </c>
      <c r="E119" s="6">
        <v>7117</v>
      </c>
      <c r="F119" s="6">
        <v>3</v>
      </c>
      <c r="G119" s="6">
        <v>165.04854370000001</v>
      </c>
      <c r="H119" s="6">
        <v>4</v>
      </c>
      <c r="I119" s="6">
        <v>170</v>
      </c>
      <c r="J119" s="4">
        <v>43.689320389999999</v>
      </c>
      <c r="K119" s="3" t="s">
        <v>10</v>
      </c>
    </row>
    <row r="120" spans="1:11" x14ac:dyDescent="0.25">
      <c r="A120" s="22" t="s">
        <v>346</v>
      </c>
      <c r="B120" s="24" t="s">
        <v>244</v>
      </c>
      <c r="C120" s="3" t="s">
        <v>25</v>
      </c>
      <c r="D120" s="6">
        <v>175012</v>
      </c>
      <c r="E120" s="6">
        <v>7117</v>
      </c>
      <c r="F120" s="6">
        <v>3</v>
      </c>
      <c r="G120" s="6">
        <v>143.68932040000001</v>
      </c>
      <c r="H120" s="6">
        <v>4</v>
      </c>
      <c r="I120" s="6">
        <v>148</v>
      </c>
      <c r="J120" s="4">
        <v>52.42718447</v>
      </c>
      <c r="K120" s="3" t="s">
        <v>27</v>
      </c>
    </row>
    <row r="121" spans="1:11" x14ac:dyDescent="0.25">
      <c r="A121" s="22" t="s">
        <v>347</v>
      </c>
      <c r="B121" s="24" t="s">
        <v>252</v>
      </c>
      <c r="C121" s="3" t="s">
        <v>16</v>
      </c>
      <c r="D121" s="6">
        <v>285203</v>
      </c>
      <c r="E121" s="6">
        <v>7117</v>
      </c>
      <c r="F121" s="6">
        <v>3</v>
      </c>
      <c r="G121" s="6">
        <v>172.81553400000001</v>
      </c>
      <c r="H121" s="6">
        <v>5</v>
      </c>
      <c r="I121" s="6">
        <v>178</v>
      </c>
      <c r="J121" s="4">
        <v>51.456310680000001</v>
      </c>
      <c r="K121" s="3" t="s">
        <v>19</v>
      </c>
    </row>
    <row r="122" spans="1:11" x14ac:dyDescent="0.25">
      <c r="A122" s="22" t="s">
        <v>348</v>
      </c>
      <c r="B122" s="24" t="s">
        <v>219</v>
      </c>
      <c r="C122" s="3" t="s">
        <v>25</v>
      </c>
      <c r="D122" s="6">
        <v>271855</v>
      </c>
      <c r="E122" s="6">
        <v>7117</v>
      </c>
      <c r="F122" s="6">
        <v>3</v>
      </c>
      <c r="G122" s="6">
        <v>162.1359223</v>
      </c>
      <c r="H122" s="6">
        <v>4</v>
      </c>
      <c r="I122" s="6">
        <v>167</v>
      </c>
      <c r="J122" s="4">
        <v>45.631067960000003</v>
      </c>
      <c r="K122" s="3" t="s">
        <v>63</v>
      </c>
    </row>
    <row r="123" spans="1:11" x14ac:dyDescent="0.25">
      <c r="A123" s="22" t="s">
        <v>349</v>
      </c>
      <c r="B123" s="24" t="s">
        <v>248</v>
      </c>
      <c r="C123" s="3" t="s">
        <v>9</v>
      </c>
      <c r="D123" s="6">
        <v>413503</v>
      </c>
      <c r="E123" s="6">
        <v>7117</v>
      </c>
      <c r="F123" s="6">
        <v>3</v>
      </c>
      <c r="G123" s="6">
        <v>168.93203879999999</v>
      </c>
      <c r="H123" s="6">
        <v>5</v>
      </c>
      <c r="I123" s="6">
        <v>174</v>
      </c>
      <c r="J123" s="4">
        <v>52.42718447</v>
      </c>
      <c r="K123" s="3" t="s">
        <v>22</v>
      </c>
    </row>
    <row r="124" spans="1:11" x14ac:dyDescent="0.25">
      <c r="A124" s="22" t="s">
        <v>350</v>
      </c>
      <c r="B124" s="24" t="s">
        <v>201</v>
      </c>
      <c r="C124" s="3" t="s">
        <v>25</v>
      </c>
      <c r="D124" s="6">
        <v>444704</v>
      </c>
      <c r="E124" s="6">
        <v>7117</v>
      </c>
      <c r="F124" s="6">
        <v>3</v>
      </c>
      <c r="G124" s="6">
        <v>156.31067959999999</v>
      </c>
      <c r="H124" s="6">
        <v>4</v>
      </c>
      <c r="I124" s="6">
        <v>161</v>
      </c>
      <c r="J124" s="4">
        <v>52.42718447</v>
      </c>
      <c r="K124" s="3" t="s">
        <v>26</v>
      </c>
    </row>
    <row r="125" spans="1:11" x14ac:dyDescent="0.25">
      <c r="A125" s="22" t="s">
        <v>351</v>
      </c>
      <c r="B125" s="24" t="s">
        <v>287</v>
      </c>
      <c r="C125" s="3" t="s">
        <v>33</v>
      </c>
      <c r="D125" s="6">
        <v>825324</v>
      </c>
      <c r="E125" s="6">
        <v>7117</v>
      </c>
      <c r="F125" s="6">
        <v>3</v>
      </c>
      <c r="G125" s="6">
        <v>160.19417480000001</v>
      </c>
      <c r="H125" s="6">
        <v>4</v>
      </c>
      <c r="I125" s="6">
        <v>165</v>
      </c>
      <c r="J125" s="4">
        <v>56.310679610000001</v>
      </c>
      <c r="K125" s="3" t="s">
        <v>37</v>
      </c>
    </row>
    <row r="126" spans="1:11" x14ac:dyDescent="0.25">
      <c r="A126" s="22" t="s">
        <v>352</v>
      </c>
      <c r="B126" s="24" t="s">
        <v>248</v>
      </c>
      <c r="C126" s="3" t="s">
        <v>9</v>
      </c>
      <c r="D126" s="6">
        <v>185121</v>
      </c>
      <c r="E126" s="6">
        <v>7117</v>
      </c>
      <c r="F126" s="6">
        <v>3</v>
      </c>
      <c r="G126" s="6">
        <v>152.42718450000001</v>
      </c>
      <c r="H126" s="6">
        <v>4</v>
      </c>
      <c r="I126" s="6">
        <v>157</v>
      </c>
      <c r="J126" s="4">
        <v>52.42718447</v>
      </c>
      <c r="K126" s="3" t="s">
        <v>22</v>
      </c>
    </row>
    <row r="127" spans="1:11" x14ac:dyDescent="0.25">
      <c r="A127" s="22" t="s">
        <v>353</v>
      </c>
      <c r="B127" s="24" t="s">
        <v>201</v>
      </c>
      <c r="C127" s="3" t="s">
        <v>25</v>
      </c>
      <c r="D127" s="6">
        <v>626117</v>
      </c>
      <c r="E127" s="6">
        <v>7117</v>
      </c>
      <c r="F127" s="6">
        <v>3</v>
      </c>
      <c r="G127" s="6">
        <v>180.58252429999999</v>
      </c>
      <c r="H127" s="6">
        <v>5</v>
      </c>
      <c r="I127" s="6">
        <v>186</v>
      </c>
      <c r="J127" s="4">
        <v>59.223300969999997</v>
      </c>
      <c r="K127" s="3" t="s">
        <v>26</v>
      </c>
    </row>
    <row r="128" spans="1:11" x14ac:dyDescent="0.25">
      <c r="A128" s="22" t="s">
        <v>354</v>
      </c>
      <c r="B128" s="24" t="s">
        <v>335</v>
      </c>
      <c r="C128" s="3" t="s">
        <v>9</v>
      </c>
      <c r="D128" s="6">
        <v>848114</v>
      </c>
      <c r="E128" s="6">
        <v>7117</v>
      </c>
      <c r="F128" s="6">
        <v>3</v>
      </c>
      <c r="G128" s="6">
        <v>170.8737864</v>
      </c>
      <c r="H128" s="6">
        <v>5</v>
      </c>
      <c r="I128" s="6">
        <v>176</v>
      </c>
      <c r="J128" s="4">
        <v>49.514563109999997</v>
      </c>
      <c r="K128" s="3" t="s">
        <v>10</v>
      </c>
    </row>
    <row r="129" spans="1:11" x14ac:dyDescent="0.25">
      <c r="A129" s="22" t="s">
        <v>355</v>
      </c>
      <c r="B129" s="24" t="s">
        <v>356</v>
      </c>
      <c r="C129" s="3" t="s">
        <v>25</v>
      </c>
      <c r="D129" s="6">
        <v>845106</v>
      </c>
      <c r="E129" s="6">
        <v>7117</v>
      </c>
      <c r="F129" s="6">
        <v>3</v>
      </c>
      <c r="G129" s="6">
        <v>177.66990290000001</v>
      </c>
      <c r="H129" s="6">
        <v>5</v>
      </c>
      <c r="I129" s="6">
        <v>183</v>
      </c>
      <c r="J129" s="4">
        <v>56.310679610000001</v>
      </c>
      <c r="K129" s="3" t="s">
        <v>22</v>
      </c>
    </row>
    <row r="130" spans="1:11" x14ac:dyDescent="0.25">
      <c r="A130" s="22" t="s">
        <v>357</v>
      </c>
      <c r="B130" s="24" t="s">
        <v>356</v>
      </c>
      <c r="C130" s="3" t="s">
        <v>25</v>
      </c>
      <c r="D130" s="6">
        <v>221404</v>
      </c>
      <c r="E130" s="6">
        <v>7117</v>
      </c>
      <c r="F130" s="6">
        <v>3</v>
      </c>
      <c r="G130" s="6">
        <v>177.66990290000001</v>
      </c>
      <c r="H130" s="6">
        <v>5</v>
      </c>
      <c r="I130" s="6">
        <v>183</v>
      </c>
      <c r="J130" s="4">
        <v>56.310679610000001</v>
      </c>
      <c r="K130" s="3" t="s">
        <v>23</v>
      </c>
    </row>
    <row r="131" spans="1:11" x14ac:dyDescent="0.25">
      <c r="A131" s="22" t="s">
        <v>358</v>
      </c>
      <c r="B131" s="24" t="s">
        <v>275</v>
      </c>
      <c r="C131" s="3" t="s">
        <v>25</v>
      </c>
      <c r="D131" s="6">
        <v>226016</v>
      </c>
      <c r="E131" s="6">
        <v>7117</v>
      </c>
      <c r="F131" s="6">
        <v>3</v>
      </c>
      <c r="G131" s="6">
        <v>243.68932040000001</v>
      </c>
      <c r="H131" s="6">
        <v>7</v>
      </c>
      <c r="I131" s="6">
        <v>251</v>
      </c>
      <c r="J131" s="4">
        <v>33.980582519999999</v>
      </c>
      <c r="K131" s="3" t="s">
        <v>63</v>
      </c>
    </row>
    <row r="132" spans="1:11" x14ac:dyDescent="0.25">
      <c r="A132" s="22" t="s">
        <v>359</v>
      </c>
      <c r="B132" s="24" t="s">
        <v>215</v>
      </c>
      <c r="C132" s="3" t="s">
        <v>9</v>
      </c>
      <c r="D132" s="6">
        <v>276123</v>
      </c>
      <c r="E132" s="6">
        <v>7117</v>
      </c>
      <c r="F132" s="6">
        <v>3</v>
      </c>
      <c r="G132" s="6">
        <v>211.65048540000001</v>
      </c>
      <c r="H132" s="6">
        <v>6</v>
      </c>
      <c r="I132" s="6">
        <v>218</v>
      </c>
      <c r="J132" s="4">
        <v>52.42718447</v>
      </c>
      <c r="K132" s="3" t="s">
        <v>22</v>
      </c>
    </row>
    <row r="133" spans="1:11" x14ac:dyDescent="0.25">
      <c r="A133" s="22" t="s">
        <v>360</v>
      </c>
      <c r="B133" s="24" t="s">
        <v>239</v>
      </c>
      <c r="C133" s="3" t="s">
        <v>33</v>
      </c>
      <c r="D133" s="6">
        <v>243402</v>
      </c>
      <c r="E133" s="6">
        <v>7117</v>
      </c>
      <c r="F133" s="6">
        <v>3</v>
      </c>
      <c r="G133" s="6">
        <v>161.16504850000001</v>
      </c>
      <c r="H133" s="6">
        <v>4</v>
      </c>
      <c r="I133" s="6">
        <v>166</v>
      </c>
      <c r="J133" s="4">
        <v>44.660194169999997</v>
      </c>
      <c r="K133" s="3" t="s">
        <v>10</v>
      </c>
    </row>
    <row r="134" spans="1:11" x14ac:dyDescent="0.25">
      <c r="A134" s="22" t="s">
        <v>361</v>
      </c>
      <c r="B134" s="24" t="s">
        <v>248</v>
      </c>
      <c r="C134" s="3" t="s">
        <v>9</v>
      </c>
      <c r="D134" s="6">
        <v>201304</v>
      </c>
      <c r="E134" s="6">
        <v>7117</v>
      </c>
      <c r="F134" s="6">
        <v>3</v>
      </c>
      <c r="G134" s="6">
        <v>161.16504850000001</v>
      </c>
      <c r="H134" s="6">
        <v>4</v>
      </c>
      <c r="I134" s="6">
        <v>166</v>
      </c>
      <c r="J134" s="4">
        <v>44.660194169999997</v>
      </c>
      <c r="K134" s="3" t="s">
        <v>10</v>
      </c>
    </row>
    <row r="135" spans="1:11" x14ac:dyDescent="0.25">
      <c r="A135" s="22" t="s">
        <v>362</v>
      </c>
      <c r="B135" s="24" t="s">
        <v>205</v>
      </c>
      <c r="C135" s="3" t="s">
        <v>25</v>
      </c>
      <c r="D135" s="6">
        <v>201013</v>
      </c>
      <c r="E135" s="6">
        <v>7117</v>
      </c>
      <c r="F135" s="6">
        <v>3</v>
      </c>
      <c r="G135" s="6">
        <v>160.19417480000001</v>
      </c>
      <c r="H135" s="6">
        <v>4</v>
      </c>
      <c r="I135" s="6">
        <v>165</v>
      </c>
      <c r="J135" s="4">
        <v>42.7184466</v>
      </c>
      <c r="K135" s="3" t="s">
        <v>10</v>
      </c>
    </row>
    <row r="136" spans="1:11" x14ac:dyDescent="0.25">
      <c r="A136" s="22" t="s">
        <v>363</v>
      </c>
      <c r="B136" s="24" t="s">
        <v>210</v>
      </c>
      <c r="C136" s="3" t="s">
        <v>25</v>
      </c>
      <c r="D136" s="6">
        <v>110043</v>
      </c>
      <c r="E136" s="6">
        <v>7117</v>
      </c>
      <c r="F136" s="6">
        <v>3</v>
      </c>
      <c r="G136" s="6">
        <v>173.78640780000001</v>
      </c>
      <c r="H136" s="6">
        <v>5</v>
      </c>
      <c r="I136" s="6">
        <v>179</v>
      </c>
      <c r="J136" s="4">
        <v>52.42718447</v>
      </c>
      <c r="K136" s="3" t="s">
        <v>19</v>
      </c>
    </row>
    <row r="137" spans="1:11" x14ac:dyDescent="0.25">
      <c r="A137" s="22" t="s">
        <v>364</v>
      </c>
      <c r="B137" s="24" t="s">
        <v>226</v>
      </c>
      <c r="C137" s="3" t="s">
        <v>9</v>
      </c>
      <c r="D137" s="6">
        <v>222139</v>
      </c>
      <c r="E137" s="6">
        <v>7117</v>
      </c>
      <c r="F137" s="6">
        <v>3</v>
      </c>
      <c r="G137" s="6">
        <v>164.07766989999999</v>
      </c>
      <c r="H137" s="6">
        <v>4</v>
      </c>
      <c r="I137" s="6">
        <v>169</v>
      </c>
      <c r="J137" s="4">
        <v>52.42718447</v>
      </c>
      <c r="K137" s="3" t="s">
        <v>23</v>
      </c>
    </row>
    <row r="138" spans="1:11" x14ac:dyDescent="0.25">
      <c r="A138" s="22" t="s">
        <v>365</v>
      </c>
      <c r="B138" s="24" t="s">
        <v>201</v>
      </c>
      <c r="C138" s="3" t="s">
        <v>9</v>
      </c>
      <c r="D138" s="6">
        <v>226013</v>
      </c>
      <c r="E138" s="6">
        <v>7117</v>
      </c>
      <c r="F138" s="6">
        <v>3</v>
      </c>
      <c r="G138" s="6">
        <v>164.07766989999999</v>
      </c>
      <c r="H138" s="6">
        <v>4</v>
      </c>
      <c r="I138" s="6">
        <v>169</v>
      </c>
      <c r="J138" s="4">
        <v>42.7184466</v>
      </c>
      <c r="K138" s="3" t="s">
        <v>26</v>
      </c>
    </row>
    <row r="139" spans="1:11" x14ac:dyDescent="0.25">
      <c r="A139" s="22" t="s">
        <v>366</v>
      </c>
      <c r="B139" s="24" t="s">
        <v>224</v>
      </c>
      <c r="C139" s="3" t="s">
        <v>16</v>
      </c>
      <c r="D139" s="6">
        <v>491771</v>
      </c>
      <c r="E139" s="6">
        <v>7117</v>
      </c>
      <c r="F139" s="6">
        <v>3</v>
      </c>
      <c r="G139" s="6">
        <v>166.9902913</v>
      </c>
      <c r="H139" s="6">
        <v>5</v>
      </c>
      <c r="I139" s="6">
        <v>172</v>
      </c>
      <c r="J139" s="4">
        <v>52.42718447</v>
      </c>
      <c r="K139" s="3" t="s">
        <v>22</v>
      </c>
    </row>
    <row r="140" spans="1:11" x14ac:dyDescent="0.25">
      <c r="A140" s="22" t="s">
        <v>367</v>
      </c>
      <c r="B140" s="24" t="s">
        <v>275</v>
      </c>
      <c r="C140" s="3" t="s">
        <v>9</v>
      </c>
      <c r="D140" s="6">
        <v>261506</v>
      </c>
      <c r="E140" s="6">
        <v>7117</v>
      </c>
      <c r="F140" s="6">
        <v>3</v>
      </c>
      <c r="G140" s="6">
        <v>129.1262136</v>
      </c>
      <c r="H140" s="6">
        <v>3</v>
      </c>
      <c r="I140" s="6">
        <v>133</v>
      </c>
      <c r="J140" s="4">
        <v>37.86407767</v>
      </c>
      <c r="K140" s="3" t="s">
        <v>39</v>
      </c>
    </row>
    <row r="141" spans="1:11" x14ac:dyDescent="0.25">
      <c r="A141" s="22" t="s">
        <v>368</v>
      </c>
      <c r="B141" s="24" t="s">
        <v>318</v>
      </c>
      <c r="C141" s="3" t="s">
        <v>9</v>
      </c>
      <c r="D141" s="6">
        <v>122413</v>
      </c>
      <c r="E141" s="6">
        <v>7117</v>
      </c>
      <c r="F141" s="6">
        <v>3</v>
      </c>
      <c r="G141" s="6">
        <v>167.96116499999999</v>
      </c>
      <c r="H141" s="6">
        <v>5</v>
      </c>
      <c r="I141" s="6">
        <v>173</v>
      </c>
      <c r="J141" s="4">
        <v>56.310679610000001</v>
      </c>
      <c r="K141" s="3" t="s">
        <v>26</v>
      </c>
    </row>
    <row r="142" spans="1:11" x14ac:dyDescent="0.25">
      <c r="A142" s="22" t="s">
        <v>369</v>
      </c>
      <c r="B142" s="24" t="s">
        <v>203</v>
      </c>
      <c r="C142" s="3" t="s">
        <v>16</v>
      </c>
      <c r="D142" s="6">
        <v>805106</v>
      </c>
      <c r="E142" s="6">
        <v>7117</v>
      </c>
      <c r="F142" s="6">
        <v>3</v>
      </c>
      <c r="G142" s="6">
        <v>147.57281549999999</v>
      </c>
      <c r="H142" s="6">
        <v>4</v>
      </c>
      <c r="I142" s="6">
        <v>152</v>
      </c>
      <c r="J142" s="4">
        <v>50.485436890000003</v>
      </c>
      <c r="K142" s="3" t="s">
        <v>46</v>
      </c>
    </row>
    <row r="143" spans="1:11" x14ac:dyDescent="0.25">
      <c r="A143" s="22" t="s">
        <v>370</v>
      </c>
      <c r="B143" s="24" t="s">
        <v>244</v>
      </c>
      <c r="C143" s="3" t="s">
        <v>9</v>
      </c>
      <c r="D143" s="6">
        <v>800014</v>
      </c>
      <c r="E143" s="6">
        <v>7117</v>
      </c>
      <c r="F143" s="6">
        <v>3</v>
      </c>
      <c r="G143" s="6">
        <v>146.6019417</v>
      </c>
      <c r="H143" s="6">
        <v>4</v>
      </c>
      <c r="I143" s="6">
        <v>151</v>
      </c>
      <c r="J143" s="4">
        <v>33.009708740000001</v>
      </c>
      <c r="K143" s="3" t="s">
        <v>10</v>
      </c>
    </row>
    <row r="144" spans="1:11" x14ac:dyDescent="0.25">
      <c r="A144" s="22" t="s">
        <v>371</v>
      </c>
      <c r="B144" s="24" t="s">
        <v>207</v>
      </c>
      <c r="C144" s="3" t="s">
        <v>33</v>
      </c>
      <c r="D144" s="6">
        <v>232327</v>
      </c>
      <c r="E144" s="6">
        <v>7117</v>
      </c>
      <c r="F144" s="6">
        <v>3</v>
      </c>
      <c r="G144" s="6">
        <v>158.2524272</v>
      </c>
      <c r="H144" s="6">
        <v>4</v>
      </c>
      <c r="I144" s="6">
        <v>163</v>
      </c>
      <c r="J144" s="4">
        <v>55.339805830000003</v>
      </c>
      <c r="K144" s="3" t="s">
        <v>196</v>
      </c>
    </row>
    <row r="145" spans="1:11" x14ac:dyDescent="0.25">
      <c r="A145" s="22" t="s">
        <v>372</v>
      </c>
      <c r="B145" s="24" t="s">
        <v>215</v>
      </c>
      <c r="C145" s="3" t="s">
        <v>25</v>
      </c>
      <c r="D145" s="6">
        <v>848101</v>
      </c>
      <c r="E145" s="6">
        <v>7117</v>
      </c>
      <c r="F145" s="6">
        <v>3</v>
      </c>
      <c r="G145" s="6">
        <v>255.33980579999999</v>
      </c>
      <c r="H145" s="6">
        <v>7</v>
      </c>
      <c r="I145" s="6">
        <v>263</v>
      </c>
      <c r="J145" s="4">
        <v>45.631067960000003</v>
      </c>
      <c r="K145" s="3" t="s">
        <v>27</v>
      </c>
    </row>
    <row r="146" spans="1:11" x14ac:dyDescent="0.25">
      <c r="A146" s="22" t="s">
        <v>373</v>
      </c>
      <c r="B146" s="24" t="s">
        <v>248</v>
      </c>
      <c r="C146" s="3" t="s">
        <v>25</v>
      </c>
      <c r="D146" s="6">
        <v>335001</v>
      </c>
      <c r="E146" s="6">
        <v>7117</v>
      </c>
      <c r="F146" s="6">
        <v>3</v>
      </c>
      <c r="G146" s="6">
        <v>135.92233010000001</v>
      </c>
      <c r="H146" s="6">
        <v>4</v>
      </c>
      <c r="I146" s="6">
        <v>140</v>
      </c>
      <c r="J146" s="4">
        <v>37.86407767</v>
      </c>
      <c r="K146" s="3" t="s">
        <v>19</v>
      </c>
    </row>
    <row r="147" spans="1:11" x14ac:dyDescent="0.25">
      <c r="A147" s="22" t="s">
        <v>374</v>
      </c>
      <c r="B147" s="24" t="s">
        <v>248</v>
      </c>
      <c r="C147" s="3" t="s">
        <v>33</v>
      </c>
      <c r="D147" s="6">
        <v>123401</v>
      </c>
      <c r="E147" s="6">
        <v>7117</v>
      </c>
      <c r="F147" s="6">
        <v>3</v>
      </c>
      <c r="G147" s="6">
        <v>152.42718450000001</v>
      </c>
      <c r="H147" s="6">
        <v>4</v>
      </c>
      <c r="I147" s="6">
        <v>157</v>
      </c>
      <c r="J147" s="4">
        <v>52.42718447</v>
      </c>
      <c r="K147" s="3" t="s">
        <v>37</v>
      </c>
    </row>
    <row r="148" spans="1:11" x14ac:dyDescent="0.25">
      <c r="A148" s="22" t="s">
        <v>375</v>
      </c>
      <c r="B148" s="24" t="s">
        <v>248</v>
      </c>
      <c r="C148" s="3" t="s">
        <v>9</v>
      </c>
      <c r="D148" s="6">
        <v>400607</v>
      </c>
      <c r="E148" s="6">
        <v>7117</v>
      </c>
      <c r="F148" s="6">
        <v>3</v>
      </c>
      <c r="G148" s="6">
        <v>168.93203879999999</v>
      </c>
      <c r="H148" s="6">
        <v>5</v>
      </c>
      <c r="I148" s="6">
        <v>174</v>
      </c>
      <c r="J148" s="4">
        <v>52.42718447</v>
      </c>
      <c r="K148" s="3" t="s">
        <v>41</v>
      </c>
    </row>
    <row r="149" spans="1:11" x14ac:dyDescent="0.25">
      <c r="A149" s="22" t="s">
        <v>376</v>
      </c>
      <c r="B149" s="24" t="s">
        <v>237</v>
      </c>
      <c r="C149" s="3" t="s">
        <v>33</v>
      </c>
      <c r="D149" s="6">
        <v>477222</v>
      </c>
      <c r="E149" s="6">
        <v>7117</v>
      </c>
      <c r="F149" s="6">
        <v>3</v>
      </c>
      <c r="G149" s="6">
        <v>120.3883495</v>
      </c>
      <c r="H149" s="6">
        <v>3</v>
      </c>
      <c r="I149" s="6">
        <v>124</v>
      </c>
      <c r="J149" s="4">
        <v>40.776699030000003</v>
      </c>
      <c r="K149" s="3" t="s">
        <v>37</v>
      </c>
    </row>
    <row r="150" spans="1:11" x14ac:dyDescent="0.25">
      <c r="A150" s="22" t="s">
        <v>377</v>
      </c>
      <c r="B150" s="24" t="s">
        <v>287</v>
      </c>
      <c r="C150" s="3" t="s">
        <v>9</v>
      </c>
      <c r="D150" s="6">
        <v>413102</v>
      </c>
      <c r="E150" s="6">
        <v>7117</v>
      </c>
      <c r="F150" s="6">
        <v>3</v>
      </c>
      <c r="G150" s="6">
        <v>170.8737864</v>
      </c>
      <c r="H150" s="6">
        <v>5</v>
      </c>
      <c r="I150" s="6">
        <v>176</v>
      </c>
      <c r="J150" s="4">
        <v>73.786407769999997</v>
      </c>
      <c r="K150" s="3" t="s">
        <v>35</v>
      </c>
    </row>
    <row r="151" spans="1:11" x14ac:dyDescent="0.25">
      <c r="A151" s="22" t="s">
        <v>378</v>
      </c>
      <c r="B151" s="24" t="s">
        <v>244</v>
      </c>
      <c r="C151" s="3" t="s">
        <v>52</v>
      </c>
      <c r="D151" s="6">
        <v>509001</v>
      </c>
      <c r="E151" s="6">
        <v>7117</v>
      </c>
      <c r="F151" s="6">
        <v>3</v>
      </c>
      <c r="G151" s="6">
        <v>166.0194175</v>
      </c>
      <c r="H151" s="6">
        <v>4</v>
      </c>
      <c r="I151" s="6">
        <v>171</v>
      </c>
      <c r="J151" s="4">
        <v>52.42718447</v>
      </c>
      <c r="K151" s="3" t="s">
        <v>22</v>
      </c>
    </row>
    <row r="152" spans="1:11" x14ac:dyDescent="0.25">
      <c r="A152" s="22" t="s">
        <v>379</v>
      </c>
      <c r="B152" s="24" t="s">
        <v>248</v>
      </c>
      <c r="C152" s="3" t="s">
        <v>52</v>
      </c>
      <c r="D152" s="6">
        <v>277001</v>
      </c>
      <c r="E152" s="6">
        <v>7117</v>
      </c>
      <c r="F152" s="6">
        <v>3</v>
      </c>
      <c r="G152" s="6">
        <v>154.368932</v>
      </c>
      <c r="H152" s="6">
        <v>4</v>
      </c>
      <c r="I152" s="6">
        <v>159</v>
      </c>
      <c r="J152" s="4">
        <v>37.86407767</v>
      </c>
      <c r="K152" s="3" t="s">
        <v>22</v>
      </c>
    </row>
    <row r="153" spans="1:11" x14ac:dyDescent="0.25">
      <c r="A153" s="22" t="s">
        <v>380</v>
      </c>
      <c r="B153" s="24" t="s">
        <v>205</v>
      </c>
      <c r="C153" s="3" t="s">
        <v>9</v>
      </c>
      <c r="D153" s="6">
        <v>509376</v>
      </c>
      <c r="E153" s="6">
        <v>7117</v>
      </c>
      <c r="F153" s="6">
        <v>3</v>
      </c>
      <c r="G153" s="6">
        <v>150.4854369</v>
      </c>
      <c r="H153" s="6">
        <v>4</v>
      </c>
      <c r="I153" s="6">
        <v>155</v>
      </c>
      <c r="J153" s="4">
        <v>33.009708740000001</v>
      </c>
      <c r="K153" s="3" t="s">
        <v>10</v>
      </c>
    </row>
    <row r="154" spans="1:11" x14ac:dyDescent="0.25">
      <c r="A154" s="22" t="s">
        <v>381</v>
      </c>
      <c r="B154" s="24" t="s">
        <v>224</v>
      </c>
      <c r="C154" s="3" t="s">
        <v>16</v>
      </c>
      <c r="D154" s="6">
        <v>392240</v>
      </c>
      <c r="E154" s="6">
        <v>7117</v>
      </c>
      <c r="F154" s="6">
        <v>3</v>
      </c>
      <c r="G154" s="6">
        <v>181.55339810000001</v>
      </c>
      <c r="H154" s="6">
        <v>5</v>
      </c>
      <c r="I154" s="6">
        <v>187</v>
      </c>
      <c r="J154" s="4">
        <v>45.631067960000003</v>
      </c>
      <c r="K154" s="3" t="s">
        <v>10</v>
      </c>
    </row>
    <row r="155" spans="1:11" x14ac:dyDescent="0.25">
      <c r="A155" s="22" t="s">
        <v>382</v>
      </c>
      <c r="B155" s="24" t="s">
        <v>239</v>
      </c>
      <c r="C155" s="3" t="s">
        <v>16</v>
      </c>
      <c r="D155" s="6">
        <v>226005</v>
      </c>
      <c r="E155" s="6">
        <v>7117</v>
      </c>
      <c r="F155" s="6">
        <v>3</v>
      </c>
      <c r="G155" s="6">
        <v>168.93203879999999</v>
      </c>
      <c r="H155" s="6">
        <v>5</v>
      </c>
      <c r="I155" s="6">
        <v>174</v>
      </c>
      <c r="J155" s="4">
        <v>52.42718447</v>
      </c>
      <c r="K155" s="3" t="s">
        <v>19</v>
      </c>
    </row>
    <row r="156" spans="1:11" x14ac:dyDescent="0.25">
      <c r="A156" s="22" t="s">
        <v>383</v>
      </c>
      <c r="B156" s="24" t="s">
        <v>318</v>
      </c>
      <c r="C156" s="3" t="s">
        <v>71</v>
      </c>
      <c r="D156" s="6">
        <v>226002</v>
      </c>
      <c r="E156" s="6">
        <v>7117</v>
      </c>
      <c r="F156" s="6">
        <v>3</v>
      </c>
      <c r="G156" s="6">
        <v>191.2621359</v>
      </c>
      <c r="H156" s="6">
        <v>5</v>
      </c>
      <c r="I156" s="6">
        <v>197</v>
      </c>
      <c r="J156" s="4">
        <v>40.776699030000003</v>
      </c>
      <c r="K156" s="3" t="s">
        <v>53</v>
      </c>
    </row>
    <row r="157" spans="1:11" x14ac:dyDescent="0.25">
      <c r="A157" s="22" t="s">
        <v>384</v>
      </c>
      <c r="B157" s="24" t="s">
        <v>217</v>
      </c>
      <c r="C157" s="3" t="s">
        <v>25</v>
      </c>
      <c r="D157" s="6">
        <v>411060</v>
      </c>
      <c r="E157" s="6">
        <v>7117</v>
      </c>
      <c r="F157" s="6">
        <v>3</v>
      </c>
      <c r="G157" s="6">
        <v>174.7572816</v>
      </c>
      <c r="H157" s="6">
        <v>5</v>
      </c>
      <c r="I157" s="6">
        <v>180</v>
      </c>
      <c r="J157" s="4">
        <v>53.398058249999998</v>
      </c>
      <c r="K157" s="3" t="s">
        <v>22</v>
      </c>
    </row>
    <row r="158" spans="1:11" x14ac:dyDescent="0.25">
      <c r="A158" s="22" t="s">
        <v>385</v>
      </c>
      <c r="B158" s="24" t="s">
        <v>232</v>
      </c>
      <c r="C158" s="3" t="s">
        <v>9</v>
      </c>
      <c r="D158" s="6">
        <v>400043</v>
      </c>
      <c r="E158" s="6">
        <v>7117</v>
      </c>
      <c r="F158" s="6">
        <v>3</v>
      </c>
      <c r="G158" s="6">
        <v>156.31067959999999</v>
      </c>
      <c r="H158" s="6">
        <v>4</v>
      </c>
      <c r="I158" s="6">
        <v>161</v>
      </c>
      <c r="J158" s="4">
        <v>44.660194169999997</v>
      </c>
      <c r="K158" s="3" t="s">
        <v>10</v>
      </c>
    </row>
    <row r="159" spans="1:11" x14ac:dyDescent="0.25">
      <c r="A159" s="22" t="s">
        <v>386</v>
      </c>
      <c r="B159" s="24" t="s">
        <v>301</v>
      </c>
      <c r="C159" s="3" t="s">
        <v>25</v>
      </c>
      <c r="D159" s="6">
        <v>151207</v>
      </c>
      <c r="E159" s="6">
        <v>7117</v>
      </c>
      <c r="F159" s="6">
        <v>3</v>
      </c>
      <c r="G159" s="6">
        <v>160.19417480000001</v>
      </c>
      <c r="H159" s="6">
        <v>4</v>
      </c>
      <c r="I159" s="6">
        <v>165</v>
      </c>
      <c r="J159" s="4">
        <v>56.310679610000001</v>
      </c>
      <c r="K159" s="3" t="s">
        <v>22</v>
      </c>
    </row>
    <row r="160" spans="1:11" x14ac:dyDescent="0.25">
      <c r="A160" s="22" t="s">
        <v>387</v>
      </c>
      <c r="B160" s="24" t="s">
        <v>269</v>
      </c>
      <c r="C160" s="3" t="s">
        <v>16</v>
      </c>
      <c r="D160" s="6">
        <v>411041</v>
      </c>
      <c r="E160" s="6">
        <v>7117</v>
      </c>
      <c r="F160" s="6">
        <v>3</v>
      </c>
      <c r="G160" s="6">
        <v>173.78640780000001</v>
      </c>
      <c r="H160" s="6">
        <v>5</v>
      </c>
      <c r="I160" s="6">
        <v>179</v>
      </c>
      <c r="J160" s="4">
        <v>52.42718447</v>
      </c>
      <c r="K160" s="3" t="s">
        <v>22</v>
      </c>
    </row>
    <row r="161" spans="1:11" x14ac:dyDescent="0.25">
      <c r="A161" s="22" t="s">
        <v>388</v>
      </c>
      <c r="B161" s="24" t="s">
        <v>246</v>
      </c>
      <c r="C161" s="3" t="s">
        <v>16</v>
      </c>
      <c r="D161" s="6">
        <v>133203</v>
      </c>
      <c r="E161" s="6">
        <v>7117</v>
      </c>
      <c r="F161" s="6">
        <v>3</v>
      </c>
      <c r="G161" s="6">
        <v>177.66990290000001</v>
      </c>
      <c r="H161" s="6">
        <v>5</v>
      </c>
      <c r="I161" s="6">
        <v>183</v>
      </c>
      <c r="J161" s="4">
        <v>56.310679610000001</v>
      </c>
      <c r="K161" s="3" t="s">
        <v>53</v>
      </c>
    </row>
    <row r="162" spans="1:11" x14ac:dyDescent="0.25">
      <c r="A162" s="22" t="s">
        <v>389</v>
      </c>
      <c r="B162" s="24" t="s">
        <v>213</v>
      </c>
      <c r="C162" s="3" t="s">
        <v>16</v>
      </c>
      <c r="D162" s="6">
        <v>483501</v>
      </c>
      <c r="E162" s="6">
        <v>330410</v>
      </c>
      <c r="F162" s="6">
        <v>18</v>
      </c>
      <c r="G162" s="6">
        <v>225.42372879999999</v>
      </c>
      <c r="H162" s="6">
        <v>40</v>
      </c>
      <c r="I162" s="6">
        <v>266</v>
      </c>
      <c r="J162" s="4">
        <v>40.677966099999999</v>
      </c>
      <c r="K162" s="3" t="s">
        <v>10</v>
      </c>
    </row>
    <row r="163" spans="1:11" x14ac:dyDescent="0.25">
      <c r="A163" s="22" t="s">
        <v>390</v>
      </c>
      <c r="B163" s="24" t="s">
        <v>269</v>
      </c>
      <c r="C163" s="3" t="s">
        <v>52</v>
      </c>
      <c r="D163" s="6">
        <v>500004</v>
      </c>
      <c r="E163" s="6">
        <v>7117</v>
      </c>
      <c r="F163" s="6">
        <v>3</v>
      </c>
      <c r="G163" s="6">
        <v>168.93203879999999</v>
      </c>
      <c r="H163" s="6">
        <v>5</v>
      </c>
      <c r="I163" s="6">
        <v>174</v>
      </c>
      <c r="J163" s="4">
        <v>71.844660189999999</v>
      </c>
      <c r="K163" s="3" t="s">
        <v>54</v>
      </c>
    </row>
    <row r="164" spans="1:11" x14ac:dyDescent="0.25">
      <c r="A164" s="22" t="s">
        <v>391</v>
      </c>
      <c r="B164" s="24" t="s">
        <v>246</v>
      </c>
      <c r="C164" s="3" t="s">
        <v>16</v>
      </c>
      <c r="D164" s="6">
        <v>473222</v>
      </c>
      <c r="E164" s="6">
        <v>7117</v>
      </c>
      <c r="F164" s="6">
        <v>3</v>
      </c>
      <c r="G164" s="6">
        <v>274.7572816</v>
      </c>
      <c r="H164" s="6">
        <v>8</v>
      </c>
      <c r="I164" s="6">
        <v>283</v>
      </c>
      <c r="J164" s="4">
        <v>56.310679610000001</v>
      </c>
      <c r="K164" s="3" t="s">
        <v>37</v>
      </c>
    </row>
    <row r="165" spans="1:11" x14ac:dyDescent="0.25">
      <c r="A165" s="22" t="s">
        <v>392</v>
      </c>
      <c r="B165" s="24" t="s">
        <v>335</v>
      </c>
      <c r="C165" s="3" t="s">
        <v>9</v>
      </c>
      <c r="D165" s="6">
        <v>224190</v>
      </c>
      <c r="E165" s="6">
        <v>7117</v>
      </c>
      <c r="F165" s="6">
        <v>3</v>
      </c>
      <c r="G165" s="6">
        <v>163.1067961</v>
      </c>
      <c r="H165" s="6">
        <v>4</v>
      </c>
      <c r="I165" s="6">
        <v>168</v>
      </c>
      <c r="J165" s="4">
        <v>41.747572820000002</v>
      </c>
      <c r="K165" s="3" t="s">
        <v>19</v>
      </c>
    </row>
    <row r="166" spans="1:11" x14ac:dyDescent="0.25">
      <c r="A166" s="22" t="s">
        <v>393</v>
      </c>
      <c r="B166" s="24" t="s">
        <v>232</v>
      </c>
      <c r="C166" s="3" t="s">
        <v>16</v>
      </c>
      <c r="D166" s="6">
        <v>562159</v>
      </c>
      <c r="E166" s="6">
        <v>7117</v>
      </c>
      <c r="F166" s="6">
        <v>3</v>
      </c>
      <c r="G166" s="6">
        <v>155.33980579999999</v>
      </c>
      <c r="H166" s="6">
        <v>4</v>
      </c>
      <c r="I166" s="6">
        <v>160</v>
      </c>
      <c r="J166" s="4">
        <v>37.86407767</v>
      </c>
      <c r="K166" s="3" t="s">
        <v>41</v>
      </c>
    </row>
    <row r="167" spans="1:11" x14ac:dyDescent="0.25">
      <c r="A167" s="22" t="s">
        <v>394</v>
      </c>
      <c r="B167" s="24" t="s">
        <v>275</v>
      </c>
      <c r="C167" s="3" t="s">
        <v>16</v>
      </c>
      <c r="D167" s="6">
        <v>824211</v>
      </c>
      <c r="E167" s="6">
        <v>7117</v>
      </c>
      <c r="F167" s="6">
        <v>3</v>
      </c>
      <c r="G167" s="6">
        <v>137.8640777</v>
      </c>
      <c r="H167" s="6">
        <v>4</v>
      </c>
      <c r="I167" s="6">
        <v>142</v>
      </c>
      <c r="J167" s="4">
        <v>37.86407767</v>
      </c>
      <c r="K167" s="3" t="s">
        <v>39</v>
      </c>
    </row>
    <row r="168" spans="1:11" x14ac:dyDescent="0.25">
      <c r="A168" s="22" t="s">
        <v>395</v>
      </c>
      <c r="B168" s="24" t="s">
        <v>205</v>
      </c>
      <c r="C168" s="3" t="s">
        <v>52</v>
      </c>
      <c r="D168" s="6">
        <v>273158</v>
      </c>
      <c r="E168" s="6">
        <v>7117</v>
      </c>
      <c r="F168" s="6">
        <v>3</v>
      </c>
      <c r="G168" s="6">
        <v>170.8737864</v>
      </c>
      <c r="H168" s="6">
        <v>5</v>
      </c>
      <c r="I168" s="6">
        <v>176</v>
      </c>
      <c r="J168" s="4">
        <v>53.398058249999998</v>
      </c>
      <c r="K168" s="3" t="s">
        <v>53</v>
      </c>
    </row>
    <row r="169" spans="1:11" x14ac:dyDescent="0.25">
      <c r="A169" s="22" t="s">
        <v>396</v>
      </c>
      <c r="B169" s="24" t="s">
        <v>232</v>
      </c>
      <c r="C169" s="3" t="s">
        <v>71</v>
      </c>
      <c r="D169" s="6">
        <v>223226</v>
      </c>
      <c r="E169" s="6">
        <v>7117</v>
      </c>
      <c r="F169" s="6">
        <v>3</v>
      </c>
      <c r="G169" s="6">
        <v>85.4368932</v>
      </c>
      <c r="H169" s="6">
        <v>2</v>
      </c>
      <c r="I169" s="6">
        <v>88</v>
      </c>
      <c r="J169" s="4">
        <v>37.86407767</v>
      </c>
      <c r="K169" s="3" t="s">
        <v>39</v>
      </c>
    </row>
    <row r="170" spans="1:11" x14ac:dyDescent="0.25">
      <c r="A170" s="22" t="s">
        <v>397</v>
      </c>
      <c r="B170" s="24" t="s">
        <v>235</v>
      </c>
      <c r="C170" s="3" t="s">
        <v>25</v>
      </c>
      <c r="D170" s="6">
        <v>208013</v>
      </c>
      <c r="E170" s="6">
        <v>7117</v>
      </c>
      <c r="F170" s="6">
        <v>3</v>
      </c>
      <c r="G170" s="6">
        <v>214.56310680000001</v>
      </c>
      <c r="H170" s="6">
        <v>6</v>
      </c>
      <c r="I170" s="6">
        <v>221</v>
      </c>
      <c r="J170" s="4">
        <v>49.514563109999997</v>
      </c>
      <c r="K170" s="3" t="s">
        <v>12</v>
      </c>
    </row>
    <row r="171" spans="1:11" x14ac:dyDescent="0.25">
      <c r="A171" s="22" t="s">
        <v>398</v>
      </c>
      <c r="B171" s="24" t="s">
        <v>356</v>
      </c>
      <c r="C171" s="3" t="s">
        <v>52</v>
      </c>
      <c r="D171" s="6">
        <v>160022</v>
      </c>
      <c r="E171" s="6">
        <v>7117</v>
      </c>
      <c r="F171" s="6">
        <v>3</v>
      </c>
      <c r="G171" s="6">
        <v>187.3786408</v>
      </c>
      <c r="H171" s="6">
        <v>5</v>
      </c>
      <c r="I171" s="6">
        <v>193</v>
      </c>
      <c r="J171" s="4">
        <v>40.776699030000003</v>
      </c>
      <c r="K171" s="3" t="s">
        <v>23</v>
      </c>
    </row>
    <row r="172" spans="1:11" x14ac:dyDescent="0.25">
      <c r="A172" s="22" t="s">
        <v>399</v>
      </c>
      <c r="B172" s="24" t="s">
        <v>248</v>
      </c>
      <c r="C172" s="3" t="s">
        <v>25</v>
      </c>
      <c r="D172" s="6">
        <v>831011</v>
      </c>
      <c r="E172" s="6">
        <v>7117</v>
      </c>
      <c r="F172" s="6">
        <v>3</v>
      </c>
      <c r="G172" s="6">
        <v>146.6019417</v>
      </c>
      <c r="H172" s="6">
        <v>4</v>
      </c>
      <c r="I172" s="6">
        <v>151</v>
      </c>
      <c r="J172" s="4">
        <v>33.009708740000001</v>
      </c>
      <c r="K172" s="3" t="s">
        <v>46</v>
      </c>
    </row>
    <row r="173" spans="1:11" x14ac:dyDescent="0.25">
      <c r="A173" s="22" t="s">
        <v>400</v>
      </c>
      <c r="B173" s="24" t="s">
        <v>401</v>
      </c>
      <c r="C173" s="3" t="s">
        <v>16</v>
      </c>
      <c r="D173" s="6">
        <v>301704</v>
      </c>
      <c r="E173" s="6">
        <v>7117</v>
      </c>
      <c r="F173" s="6">
        <v>3</v>
      </c>
      <c r="G173" s="6">
        <v>174.7572816</v>
      </c>
      <c r="H173" s="6">
        <v>5</v>
      </c>
      <c r="I173" s="6">
        <v>180</v>
      </c>
      <c r="J173" s="4">
        <v>53.398058249999998</v>
      </c>
      <c r="K173" s="3" t="s">
        <v>26</v>
      </c>
    </row>
    <row r="174" spans="1:11" x14ac:dyDescent="0.25">
      <c r="A174" s="22" t="s">
        <v>402</v>
      </c>
      <c r="B174" s="24" t="s">
        <v>403</v>
      </c>
      <c r="C174" s="3" t="s">
        <v>52</v>
      </c>
      <c r="D174" s="6">
        <v>400055</v>
      </c>
      <c r="E174" s="6">
        <v>7117</v>
      </c>
      <c r="F174" s="6">
        <v>3</v>
      </c>
      <c r="G174" s="6">
        <v>163.1067961</v>
      </c>
      <c r="H174" s="6">
        <v>4</v>
      </c>
      <c r="I174" s="6">
        <v>168</v>
      </c>
      <c r="J174" s="4">
        <v>41.747572820000002</v>
      </c>
      <c r="K174" s="3" t="s">
        <v>17</v>
      </c>
    </row>
    <row r="175" spans="1:11" x14ac:dyDescent="0.25">
      <c r="A175" s="22" t="s">
        <v>404</v>
      </c>
      <c r="B175" s="24" t="s">
        <v>403</v>
      </c>
      <c r="C175" s="3" t="s">
        <v>16</v>
      </c>
      <c r="D175" s="6">
        <v>392240</v>
      </c>
      <c r="E175" s="6">
        <v>7117</v>
      </c>
      <c r="F175" s="6">
        <v>3</v>
      </c>
      <c r="G175" s="6">
        <v>162.1359223</v>
      </c>
      <c r="H175" s="6">
        <v>4</v>
      </c>
      <c r="I175" s="6">
        <v>167</v>
      </c>
      <c r="J175" s="4">
        <v>44.660194169999997</v>
      </c>
      <c r="K175" s="3" t="s">
        <v>46</v>
      </c>
    </row>
    <row r="176" spans="1:11" x14ac:dyDescent="0.25">
      <c r="A176" s="22" t="s">
        <v>405</v>
      </c>
      <c r="B176" s="24" t="s">
        <v>406</v>
      </c>
      <c r="C176" s="3" t="s">
        <v>52</v>
      </c>
      <c r="D176" s="6">
        <v>585103</v>
      </c>
      <c r="E176" s="6">
        <v>7117</v>
      </c>
      <c r="F176" s="6">
        <v>3</v>
      </c>
      <c r="G176" s="6">
        <v>128.15533980000001</v>
      </c>
      <c r="H176" s="6">
        <v>3</v>
      </c>
      <c r="I176" s="6">
        <v>132</v>
      </c>
      <c r="J176" s="4">
        <v>33.980582519999999</v>
      </c>
      <c r="K176" s="3" t="s">
        <v>46</v>
      </c>
    </row>
    <row r="177" spans="1:11" x14ac:dyDescent="0.25">
      <c r="A177" s="22" t="s">
        <v>407</v>
      </c>
      <c r="B177" s="24" t="s">
        <v>408</v>
      </c>
      <c r="C177" s="3" t="s">
        <v>16</v>
      </c>
      <c r="D177" s="6">
        <v>171014</v>
      </c>
      <c r="E177" s="6">
        <v>330410</v>
      </c>
      <c r="F177" s="6">
        <v>18</v>
      </c>
      <c r="G177" s="6">
        <v>201.69491529999999</v>
      </c>
      <c r="H177" s="6">
        <v>36</v>
      </c>
      <c r="I177" s="6">
        <v>238</v>
      </c>
      <c r="J177" s="4">
        <v>44.915254240000003</v>
      </c>
      <c r="K177" s="3" t="s">
        <v>10</v>
      </c>
    </row>
    <row r="178" spans="1:11" x14ac:dyDescent="0.25">
      <c r="A178" s="22" t="s">
        <v>409</v>
      </c>
      <c r="B178" s="24" t="s">
        <v>406</v>
      </c>
      <c r="C178" s="3" t="s">
        <v>9</v>
      </c>
      <c r="D178" s="6">
        <v>326034</v>
      </c>
      <c r="E178" s="6">
        <v>7117</v>
      </c>
      <c r="F178" s="6">
        <v>3</v>
      </c>
      <c r="G178" s="6">
        <v>147.57281549999999</v>
      </c>
      <c r="H178" s="6">
        <v>4</v>
      </c>
      <c r="I178" s="6">
        <v>152</v>
      </c>
      <c r="J178" s="4">
        <v>44.660194169999997</v>
      </c>
      <c r="K178" s="3" t="s">
        <v>46</v>
      </c>
    </row>
    <row r="179" spans="1:11" x14ac:dyDescent="0.25">
      <c r="A179" s="22" t="s">
        <v>410</v>
      </c>
      <c r="B179" s="24" t="s">
        <v>411</v>
      </c>
      <c r="C179" s="3" t="s">
        <v>16</v>
      </c>
      <c r="D179" s="6">
        <v>560037</v>
      </c>
      <c r="E179" s="6">
        <v>7117</v>
      </c>
      <c r="F179" s="6">
        <v>3</v>
      </c>
      <c r="G179" s="6">
        <v>164.07766989999999</v>
      </c>
      <c r="H179" s="6">
        <v>4</v>
      </c>
      <c r="I179" s="6">
        <v>169</v>
      </c>
      <c r="J179" s="4">
        <v>46.601941750000002</v>
      </c>
      <c r="K179" s="3" t="s">
        <v>10</v>
      </c>
    </row>
    <row r="180" spans="1:11" x14ac:dyDescent="0.25">
      <c r="A180" s="22" t="s">
        <v>412</v>
      </c>
      <c r="B180" s="24" t="s">
        <v>406</v>
      </c>
      <c r="C180" s="3" t="s">
        <v>52</v>
      </c>
      <c r="D180" s="6">
        <v>560078</v>
      </c>
      <c r="E180" s="6">
        <v>7117</v>
      </c>
      <c r="F180" s="6">
        <v>3</v>
      </c>
      <c r="G180" s="6">
        <v>150.4854369</v>
      </c>
      <c r="H180" s="6">
        <v>4</v>
      </c>
      <c r="I180" s="6">
        <v>155</v>
      </c>
      <c r="J180" s="4">
        <v>53.398058249999998</v>
      </c>
      <c r="K180" s="3" t="s">
        <v>37</v>
      </c>
    </row>
    <row r="181" spans="1:11" x14ac:dyDescent="0.25">
      <c r="A181" s="22" t="s">
        <v>413</v>
      </c>
      <c r="B181" s="24" t="s">
        <v>411</v>
      </c>
      <c r="C181" s="3" t="s">
        <v>16</v>
      </c>
      <c r="D181" s="6">
        <v>700006</v>
      </c>
      <c r="E181" s="6">
        <v>7117</v>
      </c>
      <c r="F181" s="6">
        <v>18</v>
      </c>
      <c r="G181" s="6">
        <v>133.0508475</v>
      </c>
      <c r="H181" s="6">
        <v>23</v>
      </c>
      <c r="I181" s="6">
        <v>157</v>
      </c>
      <c r="J181" s="4">
        <v>42.372881360000001</v>
      </c>
      <c r="K181" s="3" t="s">
        <v>41</v>
      </c>
    </row>
    <row r="182" spans="1:11" x14ac:dyDescent="0.25">
      <c r="A182" s="22" t="s">
        <v>414</v>
      </c>
      <c r="B182" s="24" t="s">
        <v>415</v>
      </c>
      <c r="C182" s="3" t="s">
        <v>16</v>
      </c>
      <c r="D182" s="6">
        <v>226016</v>
      </c>
      <c r="E182" s="6">
        <v>7117</v>
      </c>
      <c r="F182" s="6">
        <v>3</v>
      </c>
      <c r="G182" s="6">
        <v>176.69902909999999</v>
      </c>
      <c r="H182" s="6">
        <v>5</v>
      </c>
      <c r="I182" s="6">
        <v>182</v>
      </c>
      <c r="J182" s="4">
        <v>55.339805830000003</v>
      </c>
      <c r="K182" s="3" t="s">
        <v>37</v>
      </c>
    </row>
    <row r="183" spans="1:11" x14ac:dyDescent="0.25">
      <c r="A183" s="22" t="s">
        <v>416</v>
      </c>
      <c r="B183" s="24" t="s">
        <v>417</v>
      </c>
      <c r="C183" s="3" t="s">
        <v>16</v>
      </c>
      <c r="D183" s="6">
        <v>440034</v>
      </c>
      <c r="E183" s="6">
        <v>7117</v>
      </c>
      <c r="F183" s="6">
        <v>3</v>
      </c>
      <c r="G183" s="6">
        <v>218.44660189999999</v>
      </c>
      <c r="H183" s="6">
        <v>6</v>
      </c>
      <c r="I183" s="6">
        <v>225</v>
      </c>
      <c r="J183" s="4">
        <v>53.398058249999998</v>
      </c>
      <c r="K183" s="3" t="s">
        <v>26</v>
      </c>
    </row>
    <row r="184" spans="1:11" x14ac:dyDescent="0.25">
      <c r="A184" s="22" t="s">
        <v>418</v>
      </c>
      <c r="B184" s="24" t="s">
        <v>419</v>
      </c>
      <c r="C184" s="3" t="s">
        <v>25</v>
      </c>
      <c r="D184" s="6">
        <v>845401</v>
      </c>
      <c r="E184" s="6">
        <v>7117</v>
      </c>
      <c r="F184" s="6">
        <v>3</v>
      </c>
      <c r="G184" s="6">
        <v>163.1067961</v>
      </c>
      <c r="H184" s="6">
        <v>4</v>
      </c>
      <c r="I184" s="6">
        <v>168</v>
      </c>
      <c r="J184" s="4">
        <v>45.631067960000003</v>
      </c>
      <c r="K184" s="3" t="s">
        <v>17</v>
      </c>
    </row>
    <row r="185" spans="1:11" x14ac:dyDescent="0.25">
      <c r="A185" s="22" t="s">
        <v>420</v>
      </c>
      <c r="B185" s="24" t="s">
        <v>411</v>
      </c>
      <c r="C185" s="3" t="s">
        <v>16</v>
      </c>
      <c r="D185" s="6">
        <v>121002</v>
      </c>
      <c r="E185" s="6">
        <v>7117</v>
      </c>
      <c r="F185" s="6">
        <v>3</v>
      </c>
      <c r="G185" s="6">
        <v>156.31067959999999</v>
      </c>
      <c r="H185" s="6">
        <v>4</v>
      </c>
      <c r="I185" s="6">
        <v>161</v>
      </c>
      <c r="J185" s="4">
        <v>38.834951459999999</v>
      </c>
      <c r="K185" s="3" t="s">
        <v>39</v>
      </c>
    </row>
    <row r="186" spans="1:11" x14ac:dyDescent="0.25">
      <c r="A186" s="22" t="s">
        <v>421</v>
      </c>
      <c r="B186" s="24" t="s">
        <v>422</v>
      </c>
      <c r="C186" s="3" t="s">
        <v>16</v>
      </c>
      <c r="D186" s="6">
        <v>801109</v>
      </c>
      <c r="E186" s="6">
        <v>7117</v>
      </c>
      <c r="F186" s="6">
        <v>3</v>
      </c>
      <c r="G186" s="6">
        <v>156.31067959999999</v>
      </c>
      <c r="H186" s="6">
        <v>4</v>
      </c>
      <c r="I186" s="6">
        <v>161</v>
      </c>
      <c r="J186" s="4">
        <v>38.834951459999999</v>
      </c>
      <c r="K186" s="3" t="s">
        <v>41</v>
      </c>
    </row>
    <row r="187" spans="1:11" x14ac:dyDescent="0.25">
      <c r="A187" s="22" t="s">
        <v>423</v>
      </c>
      <c r="B187" s="24" t="s">
        <v>419</v>
      </c>
      <c r="C187" s="3" t="s">
        <v>25</v>
      </c>
      <c r="D187" s="6">
        <v>274702</v>
      </c>
      <c r="E187" s="6">
        <v>7117</v>
      </c>
      <c r="F187" s="6">
        <v>18</v>
      </c>
      <c r="G187" s="6">
        <v>106.779661</v>
      </c>
      <c r="H187" s="6">
        <v>19</v>
      </c>
      <c r="I187" s="6">
        <v>126</v>
      </c>
      <c r="J187" s="4">
        <v>35.593220340000002</v>
      </c>
      <c r="K187" s="3" t="s">
        <v>41</v>
      </c>
    </row>
    <row r="188" spans="1:11" x14ac:dyDescent="0.25">
      <c r="A188" s="22" t="s">
        <v>424</v>
      </c>
      <c r="B188" s="24" t="s">
        <v>411</v>
      </c>
      <c r="C188" s="3" t="s">
        <v>25</v>
      </c>
      <c r="D188" s="6">
        <v>208021</v>
      </c>
      <c r="E188" s="6">
        <v>7117</v>
      </c>
      <c r="F188" s="6">
        <v>3</v>
      </c>
      <c r="G188" s="6">
        <v>172.81553400000001</v>
      </c>
      <c r="H188" s="6">
        <v>5</v>
      </c>
      <c r="I188" s="6">
        <v>178</v>
      </c>
      <c r="J188" s="4">
        <v>55.339805830000003</v>
      </c>
      <c r="K188" s="3" t="s">
        <v>53</v>
      </c>
    </row>
    <row r="189" spans="1:11" x14ac:dyDescent="0.25">
      <c r="A189" s="22" t="s">
        <v>425</v>
      </c>
      <c r="B189" s="24" t="s">
        <v>426</v>
      </c>
      <c r="C189" s="3" t="s">
        <v>25</v>
      </c>
      <c r="D189" s="6">
        <v>517501</v>
      </c>
      <c r="E189" s="6">
        <v>7117</v>
      </c>
      <c r="F189" s="6">
        <v>3</v>
      </c>
      <c r="G189" s="6">
        <v>167.96116499999999</v>
      </c>
      <c r="H189" s="6">
        <v>5</v>
      </c>
      <c r="I189" s="6">
        <v>173</v>
      </c>
      <c r="J189" s="4">
        <v>46.601941750000002</v>
      </c>
      <c r="K189" s="3" t="s">
        <v>10</v>
      </c>
    </row>
    <row r="190" spans="1:11" x14ac:dyDescent="0.25">
      <c r="A190" s="22" t="s">
        <v>427</v>
      </c>
      <c r="B190" s="24" t="s">
        <v>408</v>
      </c>
      <c r="C190" s="3" t="s">
        <v>21</v>
      </c>
      <c r="D190" s="6">
        <v>500011</v>
      </c>
      <c r="E190" s="6">
        <v>7117</v>
      </c>
      <c r="F190" s="6">
        <v>3</v>
      </c>
      <c r="G190" s="6">
        <v>170.8737864</v>
      </c>
      <c r="H190" s="6">
        <v>5</v>
      </c>
      <c r="I190" s="6">
        <v>176</v>
      </c>
      <c r="J190" s="4">
        <v>53.398058249999998</v>
      </c>
      <c r="K190" s="3" t="s">
        <v>22</v>
      </c>
    </row>
    <row r="191" spans="1:11" x14ac:dyDescent="0.25">
      <c r="A191" s="22" t="s">
        <v>428</v>
      </c>
      <c r="B191" s="24" t="s">
        <v>406</v>
      </c>
      <c r="C191" s="3" t="s">
        <v>16</v>
      </c>
      <c r="D191" s="6">
        <v>641654</v>
      </c>
      <c r="E191" s="6">
        <v>7117</v>
      </c>
      <c r="F191" s="6">
        <v>3</v>
      </c>
      <c r="G191" s="6">
        <v>173.78640780000001</v>
      </c>
      <c r="H191" s="6">
        <v>5</v>
      </c>
      <c r="I191" s="6">
        <v>179</v>
      </c>
      <c r="J191" s="4">
        <v>52.42718447</v>
      </c>
      <c r="K191" s="3" t="s">
        <v>23</v>
      </c>
    </row>
    <row r="192" spans="1:11" x14ac:dyDescent="0.25">
      <c r="A192" s="22" t="s">
        <v>429</v>
      </c>
      <c r="B192" s="24" t="s">
        <v>419</v>
      </c>
      <c r="C192" s="3" t="s">
        <v>16</v>
      </c>
      <c r="D192" s="6">
        <v>201009</v>
      </c>
      <c r="E192" s="6">
        <v>7117</v>
      </c>
      <c r="F192" s="6">
        <v>3</v>
      </c>
      <c r="G192" s="6">
        <v>100.97087380000001</v>
      </c>
      <c r="H192" s="6">
        <v>3</v>
      </c>
      <c r="I192" s="6">
        <v>104</v>
      </c>
      <c r="J192" s="4">
        <v>38.834951459999999</v>
      </c>
      <c r="K192" s="3" t="s">
        <v>27</v>
      </c>
    </row>
    <row r="193" spans="1:11" x14ac:dyDescent="0.25">
      <c r="A193" s="22" t="s">
        <v>430</v>
      </c>
      <c r="B193" s="24" t="s">
        <v>431</v>
      </c>
      <c r="C193" s="3" t="s">
        <v>25</v>
      </c>
      <c r="D193" s="6">
        <v>143507</v>
      </c>
      <c r="E193" s="6">
        <v>7117</v>
      </c>
      <c r="F193" s="6">
        <v>3</v>
      </c>
      <c r="G193" s="6">
        <v>134.95145629999999</v>
      </c>
      <c r="H193" s="6">
        <v>4</v>
      </c>
      <c r="I193" s="6">
        <v>139</v>
      </c>
      <c r="J193" s="4">
        <v>40.776699030000003</v>
      </c>
      <c r="K193" s="3" t="s">
        <v>10</v>
      </c>
    </row>
    <row r="194" spans="1:11" x14ac:dyDescent="0.25">
      <c r="A194" s="22" t="s">
        <v>432</v>
      </c>
      <c r="B194" s="24" t="s">
        <v>415</v>
      </c>
      <c r="C194" s="3" t="s">
        <v>21</v>
      </c>
      <c r="D194" s="6">
        <v>843313</v>
      </c>
      <c r="E194" s="6">
        <v>7117</v>
      </c>
      <c r="F194" s="6">
        <v>3</v>
      </c>
      <c r="G194" s="6">
        <v>162.1359223</v>
      </c>
      <c r="H194" s="6">
        <v>4</v>
      </c>
      <c r="I194" s="6">
        <v>167</v>
      </c>
      <c r="J194" s="4">
        <v>40.776699030000003</v>
      </c>
      <c r="K194" s="3" t="s">
        <v>10</v>
      </c>
    </row>
    <row r="195" spans="1:11" x14ac:dyDescent="0.25">
      <c r="A195" s="22" t="s">
        <v>433</v>
      </c>
      <c r="B195" s="24" t="s">
        <v>417</v>
      </c>
      <c r="C195" s="3" t="s">
        <v>16</v>
      </c>
      <c r="D195" s="6">
        <v>302013</v>
      </c>
      <c r="E195" s="6">
        <v>7117</v>
      </c>
      <c r="F195" s="6">
        <v>3</v>
      </c>
      <c r="G195" s="6">
        <v>169.90291260000001</v>
      </c>
      <c r="H195" s="6">
        <v>5</v>
      </c>
      <c r="I195" s="6">
        <v>175</v>
      </c>
      <c r="J195" s="4">
        <v>52.42718447</v>
      </c>
      <c r="K195" s="3" t="s">
        <v>10</v>
      </c>
    </row>
    <row r="196" spans="1:11" x14ac:dyDescent="0.25">
      <c r="A196" s="22" t="s">
        <v>434</v>
      </c>
      <c r="B196" s="24" t="s">
        <v>419</v>
      </c>
      <c r="C196" s="3" t="s">
        <v>16</v>
      </c>
      <c r="D196" s="6">
        <v>421204</v>
      </c>
      <c r="E196" s="6">
        <v>7117</v>
      </c>
      <c r="F196" s="6">
        <v>3</v>
      </c>
      <c r="G196" s="6">
        <v>175.7281553</v>
      </c>
      <c r="H196" s="6">
        <v>5</v>
      </c>
      <c r="I196" s="6">
        <v>181</v>
      </c>
      <c r="J196" s="4">
        <v>58.252427179999998</v>
      </c>
      <c r="K196" s="3" t="s">
        <v>37</v>
      </c>
    </row>
    <row r="197" spans="1:11" x14ac:dyDescent="0.25">
      <c r="A197" s="22" t="s">
        <v>435</v>
      </c>
      <c r="B197" s="24" t="s">
        <v>436</v>
      </c>
      <c r="C197" s="3" t="s">
        <v>52</v>
      </c>
      <c r="D197" s="6">
        <v>110092</v>
      </c>
      <c r="E197" s="6">
        <v>7117</v>
      </c>
      <c r="F197" s="6">
        <v>3</v>
      </c>
      <c r="G197" s="6">
        <v>124.2718447</v>
      </c>
      <c r="H197" s="6">
        <v>3</v>
      </c>
      <c r="I197" s="6">
        <v>128</v>
      </c>
      <c r="J197" s="4">
        <v>44.660194169999997</v>
      </c>
      <c r="K197" s="3" t="s">
        <v>10</v>
      </c>
    </row>
    <row r="198" spans="1:11" x14ac:dyDescent="0.25">
      <c r="A198" s="22" t="s">
        <v>437</v>
      </c>
      <c r="B198" s="24" t="s">
        <v>438</v>
      </c>
      <c r="C198" s="3" t="s">
        <v>16</v>
      </c>
      <c r="D198" s="6">
        <v>700066</v>
      </c>
      <c r="E198" s="6">
        <v>7117</v>
      </c>
      <c r="F198" s="6">
        <v>3</v>
      </c>
      <c r="G198" s="6">
        <v>170.8737864</v>
      </c>
      <c r="H198" s="6">
        <v>5</v>
      </c>
      <c r="I198" s="6">
        <v>176</v>
      </c>
      <c r="J198" s="4">
        <v>53.398058249999998</v>
      </c>
      <c r="K198" s="3" t="s">
        <v>22</v>
      </c>
    </row>
    <row r="199" spans="1:11" x14ac:dyDescent="0.25">
      <c r="A199" s="22" t="s">
        <v>439</v>
      </c>
      <c r="B199" s="24" t="s">
        <v>426</v>
      </c>
      <c r="C199" s="3" t="s">
        <v>16</v>
      </c>
      <c r="D199" s="6">
        <v>271123</v>
      </c>
      <c r="E199" s="6">
        <v>7117</v>
      </c>
      <c r="F199" s="6">
        <v>3</v>
      </c>
      <c r="G199" s="6">
        <v>133.9805825</v>
      </c>
      <c r="H199" s="6">
        <v>4</v>
      </c>
      <c r="I199" s="6">
        <v>138</v>
      </c>
      <c r="J199" s="4">
        <v>39.805825239999997</v>
      </c>
      <c r="K199" s="3" t="s">
        <v>41</v>
      </c>
    </row>
    <row r="200" spans="1:11" x14ac:dyDescent="0.25">
      <c r="A200" s="22" t="s">
        <v>440</v>
      </c>
      <c r="B200" s="24" t="s">
        <v>441</v>
      </c>
      <c r="C200" s="3" t="s">
        <v>21</v>
      </c>
      <c r="D200" s="6">
        <v>247129</v>
      </c>
      <c r="E200" s="6">
        <v>7117</v>
      </c>
      <c r="F200" s="6">
        <v>3</v>
      </c>
      <c r="G200" s="6">
        <v>173.78640780000001</v>
      </c>
      <c r="H200" s="6">
        <v>5</v>
      </c>
      <c r="I200" s="6">
        <v>179</v>
      </c>
      <c r="J200" s="4">
        <v>52.42718447</v>
      </c>
      <c r="K200" s="3" t="s">
        <v>41</v>
      </c>
    </row>
    <row r="201" spans="1:11" x14ac:dyDescent="0.25">
      <c r="A201" s="22" t="s">
        <v>442</v>
      </c>
      <c r="B201" s="24" t="s">
        <v>441</v>
      </c>
      <c r="C201" s="3" t="s">
        <v>16</v>
      </c>
      <c r="D201" s="6">
        <v>211003</v>
      </c>
      <c r="E201" s="6">
        <v>7117</v>
      </c>
      <c r="F201" s="6">
        <v>3</v>
      </c>
      <c r="G201" s="6">
        <v>167.96116499999999</v>
      </c>
      <c r="H201" s="6">
        <v>5</v>
      </c>
      <c r="I201" s="6">
        <v>173</v>
      </c>
      <c r="J201" s="4">
        <v>46.601941750000002</v>
      </c>
      <c r="K201" s="3" t="s">
        <v>39</v>
      </c>
    </row>
    <row r="202" spans="1:11" x14ac:dyDescent="0.25">
      <c r="A202" s="22" t="s">
        <v>443</v>
      </c>
      <c r="B202" s="24" t="s">
        <v>419</v>
      </c>
      <c r="C202" s="3" t="s">
        <v>16</v>
      </c>
      <c r="D202" s="6">
        <v>176092</v>
      </c>
      <c r="E202" s="6">
        <v>7117</v>
      </c>
      <c r="F202" s="6">
        <v>3</v>
      </c>
      <c r="G202" s="6">
        <v>161.16504850000001</v>
      </c>
      <c r="H202" s="6">
        <v>4</v>
      </c>
      <c r="I202" s="6">
        <v>166</v>
      </c>
      <c r="J202" s="4">
        <v>39.805825239999997</v>
      </c>
      <c r="K202" s="3" t="s">
        <v>10</v>
      </c>
    </row>
    <row r="203" spans="1:11" x14ac:dyDescent="0.25">
      <c r="A203" s="22" t="s">
        <v>444</v>
      </c>
      <c r="B203" s="24" t="s">
        <v>441</v>
      </c>
      <c r="C203" s="3" t="s">
        <v>16</v>
      </c>
      <c r="D203" s="6">
        <v>457222</v>
      </c>
      <c r="E203" s="6">
        <v>7117</v>
      </c>
      <c r="F203" s="6">
        <v>3</v>
      </c>
      <c r="G203" s="6">
        <v>150.4854369</v>
      </c>
      <c r="H203" s="6">
        <v>4</v>
      </c>
      <c r="I203" s="6">
        <v>155</v>
      </c>
      <c r="J203" s="4">
        <v>33.009708740000001</v>
      </c>
      <c r="K203" s="3" t="s">
        <v>10</v>
      </c>
    </row>
    <row r="204" spans="1:11" x14ac:dyDescent="0.25">
      <c r="A204" s="22" t="s">
        <v>445</v>
      </c>
      <c r="B204" s="24" t="s">
        <v>438</v>
      </c>
      <c r="C204" s="3" t="s">
        <v>71</v>
      </c>
      <c r="D204" s="6">
        <v>223226</v>
      </c>
      <c r="E204" s="6">
        <v>7117</v>
      </c>
      <c r="F204" s="6">
        <v>3</v>
      </c>
      <c r="G204" s="6">
        <v>169.90291260000001</v>
      </c>
      <c r="H204" s="6">
        <v>5</v>
      </c>
      <c r="I204" s="6">
        <v>175</v>
      </c>
      <c r="J204" s="4">
        <v>48.543689319999999</v>
      </c>
      <c r="K204" s="3" t="s">
        <v>23</v>
      </c>
    </row>
    <row r="205" spans="1:11" x14ac:dyDescent="0.25">
      <c r="A205" s="22" t="s">
        <v>446</v>
      </c>
      <c r="B205" s="24" t="s">
        <v>447</v>
      </c>
      <c r="C205" s="3" t="s">
        <v>16</v>
      </c>
      <c r="D205" s="6">
        <v>400066</v>
      </c>
      <c r="E205" s="6">
        <v>7117</v>
      </c>
      <c r="F205" s="6">
        <v>3</v>
      </c>
      <c r="G205" s="6">
        <v>173.78640780000001</v>
      </c>
      <c r="H205" s="6">
        <v>5</v>
      </c>
      <c r="I205" s="6">
        <v>179</v>
      </c>
      <c r="J205" s="4">
        <v>52.42718447</v>
      </c>
      <c r="K205" s="3" t="s">
        <v>19</v>
      </c>
    </row>
    <row r="206" spans="1:11" x14ac:dyDescent="0.25">
      <c r="A206" s="22" t="s">
        <v>448</v>
      </c>
      <c r="B206" s="24" t="s">
        <v>422</v>
      </c>
      <c r="C206" s="3" t="s">
        <v>16</v>
      </c>
      <c r="D206" s="6">
        <v>800016</v>
      </c>
      <c r="E206" s="6">
        <v>7117</v>
      </c>
      <c r="F206" s="6">
        <v>3</v>
      </c>
      <c r="G206" s="6">
        <v>152.42718450000001</v>
      </c>
      <c r="H206" s="6">
        <v>4</v>
      </c>
      <c r="I206" s="6">
        <v>157</v>
      </c>
      <c r="J206" s="4">
        <v>34.951456309999998</v>
      </c>
      <c r="K206" s="3" t="s">
        <v>26</v>
      </c>
    </row>
    <row r="207" spans="1:11" x14ac:dyDescent="0.25">
      <c r="A207" s="22" t="s">
        <v>449</v>
      </c>
      <c r="B207" s="24" t="s">
        <v>450</v>
      </c>
      <c r="C207" s="3" t="s">
        <v>71</v>
      </c>
      <c r="D207" s="6">
        <v>560087</v>
      </c>
      <c r="E207" s="6">
        <v>7117</v>
      </c>
      <c r="F207" s="6">
        <v>3</v>
      </c>
      <c r="G207" s="6">
        <v>161.16504850000001</v>
      </c>
      <c r="H207" s="6">
        <v>4</v>
      </c>
      <c r="I207" s="6">
        <v>166</v>
      </c>
      <c r="J207" s="4">
        <v>45.631067960000003</v>
      </c>
      <c r="K207" s="3" t="s">
        <v>49</v>
      </c>
    </row>
    <row r="208" spans="1:11" x14ac:dyDescent="0.25">
      <c r="A208" s="22" t="s">
        <v>451</v>
      </c>
      <c r="B208" s="24" t="s">
        <v>452</v>
      </c>
      <c r="C208" s="3" t="s">
        <v>9</v>
      </c>
      <c r="D208" s="6">
        <v>400066</v>
      </c>
      <c r="E208" s="6">
        <v>7117</v>
      </c>
      <c r="F208" s="6">
        <v>3</v>
      </c>
      <c r="G208" s="6">
        <v>171.84466019999999</v>
      </c>
      <c r="H208" s="6">
        <v>5</v>
      </c>
      <c r="I208" s="6">
        <v>177</v>
      </c>
      <c r="J208" s="4">
        <v>50.485436890000003</v>
      </c>
      <c r="K208" s="3" t="s">
        <v>22</v>
      </c>
    </row>
    <row r="209" spans="1:11" x14ac:dyDescent="0.25">
      <c r="A209" s="22" t="s">
        <v>453</v>
      </c>
      <c r="B209" s="24" t="s">
        <v>419</v>
      </c>
      <c r="C209" s="3" t="s">
        <v>21</v>
      </c>
      <c r="D209" s="6">
        <v>585104</v>
      </c>
      <c r="E209" s="6">
        <v>7117</v>
      </c>
      <c r="F209" s="6">
        <v>3</v>
      </c>
      <c r="G209" s="6">
        <v>152.42718450000001</v>
      </c>
      <c r="H209" s="6">
        <v>4</v>
      </c>
      <c r="I209" s="6">
        <v>157</v>
      </c>
      <c r="J209" s="4">
        <v>34.951456309999998</v>
      </c>
      <c r="K209" s="3" t="s">
        <v>10</v>
      </c>
    </row>
    <row r="210" spans="1:11" x14ac:dyDescent="0.25">
      <c r="A210" s="22" t="s">
        <v>454</v>
      </c>
      <c r="B210" s="24" t="s">
        <v>419</v>
      </c>
      <c r="C210" s="3" t="s">
        <v>16</v>
      </c>
      <c r="D210" s="6">
        <v>400053</v>
      </c>
      <c r="E210" s="6">
        <v>7117</v>
      </c>
      <c r="F210" s="6">
        <v>3</v>
      </c>
      <c r="G210" s="6">
        <v>186.40776700000001</v>
      </c>
      <c r="H210" s="6">
        <v>5</v>
      </c>
      <c r="I210" s="6">
        <v>192</v>
      </c>
      <c r="J210" s="4">
        <v>67.961165050000005</v>
      </c>
      <c r="K210" s="3" t="s">
        <v>26</v>
      </c>
    </row>
    <row r="211" spans="1:11" x14ac:dyDescent="0.25">
      <c r="A211" s="22" t="s">
        <v>455</v>
      </c>
      <c r="B211" s="24" t="s">
        <v>447</v>
      </c>
      <c r="C211" s="3" t="s">
        <v>16</v>
      </c>
      <c r="D211" s="6">
        <v>781026</v>
      </c>
      <c r="E211" s="6">
        <v>7117</v>
      </c>
      <c r="F211" s="6">
        <v>3</v>
      </c>
      <c r="G211" s="6">
        <v>169.90291260000001</v>
      </c>
      <c r="H211" s="6">
        <v>5</v>
      </c>
      <c r="I211" s="6">
        <v>175</v>
      </c>
      <c r="J211" s="4">
        <v>52.42718447</v>
      </c>
      <c r="K211" s="3" t="s">
        <v>14</v>
      </c>
    </row>
    <row r="212" spans="1:11" x14ac:dyDescent="0.25">
      <c r="A212" s="22" t="s">
        <v>456</v>
      </c>
      <c r="B212" s="24" t="s">
        <v>452</v>
      </c>
      <c r="C212" s="3" t="s">
        <v>21</v>
      </c>
      <c r="D212" s="6">
        <v>110030</v>
      </c>
      <c r="E212" s="6">
        <v>7117</v>
      </c>
      <c r="F212" s="6">
        <v>3</v>
      </c>
      <c r="G212" s="6">
        <v>166.0194175</v>
      </c>
      <c r="H212" s="6">
        <v>4</v>
      </c>
      <c r="I212" s="6">
        <v>171</v>
      </c>
      <c r="J212" s="4">
        <v>62.13592233</v>
      </c>
      <c r="K212" s="3" t="s">
        <v>22</v>
      </c>
    </row>
    <row r="213" spans="1:11" x14ac:dyDescent="0.25">
      <c r="A213" s="22" t="s">
        <v>457</v>
      </c>
      <c r="B213" s="24" t="s">
        <v>458</v>
      </c>
      <c r="C213" s="3" t="s">
        <v>16</v>
      </c>
      <c r="D213" s="6">
        <v>274702</v>
      </c>
      <c r="E213" s="6">
        <v>7117</v>
      </c>
      <c r="F213" s="6">
        <v>3</v>
      </c>
      <c r="G213" s="6">
        <v>157.28155340000001</v>
      </c>
      <c r="H213" s="6">
        <v>4</v>
      </c>
      <c r="I213" s="6">
        <v>162</v>
      </c>
      <c r="J213" s="4">
        <v>39.805825239999997</v>
      </c>
      <c r="K213" s="3" t="s">
        <v>19</v>
      </c>
    </row>
    <row r="214" spans="1:11" x14ac:dyDescent="0.25">
      <c r="A214" s="22" t="s">
        <v>459</v>
      </c>
      <c r="B214" s="24" t="s">
        <v>447</v>
      </c>
      <c r="C214" s="3" t="s">
        <v>25</v>
      </c>
      <c r="D214" s="6">
        <v>160101</v>
      </c>
      <c r="E214" s="6">
        <v>7117</v>
      </c>
      <c r="F214" s="6">
        <v>3</v>
      </c>
      <c r="G214" s="6">
        <v>150.4854369</v>
      </c>
      <c r="H214" s="6">
        <v>4</v>
      </c>
      <c r="I214" s="6">
        <v>155</v>
      </c>
      <c r="J214" s="4">
        <v>33.009708740000001</v>
      </c>
      <c r="K214" s="3" t="s">
        <v>46</v>
      </c>
    </row>
    <row r="215" spans="1:11" x14ac:dyDescent="0.25">
      <c r="A215" s="22" t="s">
        <v>460</v>
      </c>
      <c r="B215" s="24" t="s">
        <v>461</v>
      </c>
      <c r="C215" s="3" t="s">
        <v>21</v>
      </c>
      <c r="D215" s="6">
        <v>302025</v>
      </c>
      <c r="E215" s="6">
        <v>7117</v>
      </c>
      <c r="F215" s="6">
        <v>3</v>
      </c>
      <c r="G215" s="6">
        <v>163.1067961</v>
      </c>
      <c r="H215" s="6">
        <v>4</v>
      </c>
      <c r="I215" s="6">
        <v>168</v>
      </c>
      <c r="J215" s="4">
        <v>45.631067960000003</v>
      </c>
      <c r="K215" s="3" t="s">
        <v>19</v>
      </c>
    </row>
    <row r="216" spans="1:11" x14ac:dyDescent="0.25">
      <c r="A216" s="22" t="s">
        <v>462</v>
      </c>
      <c r="B216" s="24" t="s">
        <v>450</v>
      </c>
      <c r="C216" s="3" t="s">
        <v>16</v>
      </c>
      <c r="D216" s="6">
        <v>841402</v>
      </c>
      <c r="E216" s="6">
        <v>7117</v>
      </c>
      <c r="F216" s="6">
        <v>3</v>
      </c>
      <c r="G216" s="6">
        <v>149.5145631</v>
      </c>
      <c r="H216" s="6">
        <v>4</v>
      </c>
      <c r="I216" s="6">
        <v>154</v>
      </c>
      <c r="J216" s="4">
        <v>37.86407767</v>
      </c>
      <c r="K216" s="3" t="s">
        <v>37</v>
      </c>
    </row>
    <row r="217" spans="1:11" x14ac:dyDescent="0.25">
      <c r="A217" s="22" t="s">
        <v>463</v>
      </c>
      <c r="B217" s="24" t="s">
        <v>447</v>
      </c>
      <c r="C217" s="3" t="s">
        <v>16</v>
      </c>
      <c r="D217" s="6">
        <v>562123</v>
      </c>
      <c r="E217" s="6">
        <v>7117</v>
      </c>
      <c r="F217" s="6">
        <v>3</v>
      </c>
      <c r="G217" s="6">
        <v>146.6019417</v>
      </c>
      <c r="H217" s="6">
        <v>4</v>
      </c>
      <c r="I217" s="6">
        <v>151</v>
      </c>
      <c r="J217" s="4">
        <v>52.42718447</v>
      </c>
      <c r="K217" s="3" t="s">
        <v>12</v>
      </c>
    </row>
    <row r="218" spans="1:11" x14ac:dyDescent="0.25">
      <c r="A218" s="22" t="s">
        <v>464</v>
      </c>
      <c r="B218" s="24" t="s">
        <v>465</v>
      </c>
      <c r="C218" s="3" t="s">
        <v>16</v>
      </c>
      <c r="D218" s="6">
        <v>121008</v>
      </c>
      <c r="E218" s="6">
        <v>7117</v>
      </c>
      <c r="F218" s="6">
        <v>3</v>
      </c>
      <c r="G218" s="6">
        <v>127.184466</v>
      </c>
      <c r="H218" s="6">
        <v>3</v>
      </c>
      <c r="I218" s="6">
        <v>131</v>
      </c>
      <c r="J218" s="4">
        <v>33.009708740000001</v>
      </c>
      <c r="K218" s="3" t="s">
        <v>49</v>
      </c>
    </row>
    <row r="219" spans="1:11" x14ac:dyDescent="0.25">
      <c r="A219" s="22" t="s">
        <v>466</v>
      </c>
      <c r="B219" s="24" t="s">
        <v>411</v>
      </c>
      <c r="C219" s="3" t="s">
        <v>16</v>
      </c>
      <c r="D219" s="6">
        <v>474010</v>
      </c>
      <c r="E219" s="6">
        <v>7117</v>
      </c>
      <c r="F219" s="6">
        <v>3</v>
      </c>
      <c r="G219" s="6">
        <v>162.1359223</v>
      </c>
      <c r="H219" s="6">
        <v>4</v>
      </c>
      <c r="I219" s="6">
        <v>167</v>
      </c>
      <c r="J219" s="4">
        <v>40.776699030000003</v>
      </c>
      <c r="K219" s="3" t="s">
        <v>10</v>
      </c>
    </row>
    <row r="220" spans="1:11" x14ac:dyDescent="0.25">
      <c r="A220" s="22" t="s">
        <v>467</v>
      </c>
      <c r="B220" s="24" t="s">
        <v>406</v>
      </c>
      <c r="C220" s="3" t="s">
        <v>25</v>
      </c>
      <c r="D220" s="6">
        <v>402103</v>
      </c>
      <c r="E220" s="6">
        <v>7117</v>
      </c>
      <c r="F220" s="6">
        <v>3</v>
      </c>
      <c r="G220" s="6">
        <v>161.16504850000001</v>
      </c>
      <c r="H220" s="6">
        <v>4</v>
      </c>
      <c r="I220" s="6">
        <v>166</v>
      </c>
      <c r="J220" s="4">
        <v>39.805825239999997</v>
      </c>
      <c r="K220" s="3" t="s">
        <v>10</v>
      </c>
    </row>
    <row r="221" spans="1:11" x14ac:dyDescent="0.25">
      <c r="A221" s="22" t="s">
        <v>468</v>
      </c>
      <c r="B221" s="24" t="s">
        <v>411</v>
      </c>
      <c r="C221" s="3" t="s">
        <v>16</v>
      </c>
      <c r="D221" s="6">
        <v>575007</v>
      </c>
      <c r="E221" s="6">
        <v>7117</v>
      </c>
      <c r="F221" s="6">
        <v>3</v>
      </c>
      <c r="G221" s="6">
        <v>160.19417480000001</v>
      </c>
      <c r="H221" s="6">
        <v>4</v>
      </c>
      <c r="I221" s="6">
        <v>165</v>
      </c>
      <c r="J221" s="4">
        <v>42.7184466</v>
      </c>
      <c r="K221" s="3" t="s">
        <v>41</v>
      </c>
    </row>
    <row r="222" spans="1:11" x14ac:dyDescent="0.25">
      <c r="A222" s="22" t="s">
        <v>469</v>
      </c>
      <c r="B222" s="24" t="s">
        <v>436</v>
      </c>
      <c r="C222" s="3" t="s">
        <v>21</v>
      </c>
      <c r="D222" s="6">
        <v>844112</v>
      </c>
      <c r="E222" s="6">
        <v>7117</v>
      </c>
      <c r="F222" s="6">
        <v>3</v>
      </c>
      <c r="G222" s="6">
        <v>162.1359223</v>
      </c>
      <c r="H222" s="6">
        <v>4</v>
      </c>
      <c r="I222" s="6">
        <v>167</v>
      </c>
      <c r="J222" s="4">
        <v>44.660194169999997</v>
      </c>
      <c r="K222" s="3" t="s">
        <v>46</v>
      </c>
    </row>
    <row r="223" spans="1:11" x14ac:dyDescent="0.25">
      <c r="A223" s="22" t="s">
        <v>470</v>
      </c>
      <c r="B223" s="24" t="s">
        <v>436</v>
      </c>
      <c r="C223" s="3" t="s">
        <v>25</v>
      </c>
      <c r="D223" s="6">
        <v>402103</v>
      </c>
      <c r="E223" s="6">
        <v>7117</v>
      </c>
      <c r="F223" s="6">
        <v>3</v>
      </c>
      <c r="G223" s="6">
        <v>150.4854369</v>
      </c>
      <c r="H223" s="6">
        <v>4</v>
      </c>
      <c r="I223" s="6">
        <v>155</v>
      </c>
      <c r="J223" s="4">
        <v>33.009708740000001</v>
      </c>
      <c r="K223" s="3" t="s">
        <v>10</v>
      </c>
    </row>
    <row r="224" spans="1:11" x14ac:dyDescent="0.25">
      <c r="A224" s="22" t="s">
        <v>471</v>
      </c>
      <c r="B224" s="24" t="s">
        <v>438</v>
      </c>
      <c r="C224" s="3" t="s">
        <v>16</v>
      </c>
      <c r="D224" s="6">
        <v>560032</v>
      </c>
      <c r="E224" s="6">
        <v>7117</v>
      </c>
      <c r="F224" s="6">
        <v>3</v>
      </c>
      <c r="G224" s="6">
        <v>150.4854369</v>
      </c>
      <c r="H224" s="6">
        <v>4</v>
      </c>
      <c r="I224" s="6">
        <v>155</v>
      </c>
      <c r="J224" s="4">
        <v>33.009708740000001</v>
      </c>
      <c r="K224" s="3" t="s">
        <v>10</v>
      </c>
    </row>
    <row r="225" spans="1:11" x14ac:dyDescent="0.25">
      <c r="A225" s="22" t="s">
        <v>472</v>
      </c>
      <c r="B225" s="24" t="s">
        <v>473</v>
      </c>
      <c r="C225" s="3" t="s">
        <v>16</v>
      </c>
      <c r="D225" s="6">
        <v>560037</v>
      </c>
      <c r="E225" s="6">
        <v>7117</v>
      </c>
      <c r="F225" s="6">
        <v>3</v>
      </c>
      <c r="G225" s="6">
        <v>157.28155340000001</v>
      </c>
      <c r="H225" s="6">
        <v>4</v>
      </c>
      <c r="I225" s="6">
        <v>162</v>
      </c>
      <c r="J225" s="4">
        <v>39.805825239999997</v>
      </c>
      <c r="K225" s="3" t="s">
        <v>41</v>
      </c>
    </row>
    <row r="226" spans="1:11" x14ac:dyDescent="0.25">
      <c r="A226" s="22" t="s">
        <v>474</v>
      </c>
      <c r="B226" s="24" t="s">
        <v>411</v>
      </c>
      <c r="C226" s="3" t="s">
        <v>16</v>
      </c>
      <c r="D226" s="6">
        <v>151204</v>
      </c>
      <c r="E226" s="6">
        <v>7117</v>
      </c>
      <c r="F226" s="6">
        <v>3</v>
      </c>
      <c r="G226" s="6">
        <v>155.33980579999999</v>
      </c>
      <c r="H226" s="6">
        <v>4</v>
      </c>
      <c r="I226" s="6">
        <v>160</v>
      </c>
      <c r="J226" s="4">
        <v>37.86407767</v>
      </c>
      <c r="K226" s="3" t="s">
        <v>22</v>
      </c>
    </row>
    <row r="227" spans="1:11" x14ac:dyDescent="0.25">
      <c r="A227" s="22" t="s">
        <v>475</v>
      </c>
      <c r="B227" s="24" t="s">
        <v>408</v>
      </c>
      <c r="C227" s="3" t="s">
        <v>9</v>
      </c>
      <c r="D227" s="6">
        <v>227806</v>
      </c>
      <c r="E227" s="6">
        <v>7117</v>
      </c>
      <c r="F227" s="6">
        <v>3</v>
      </c>
      <c r="G227" s="6">
        <v>171.84466019999999</v>
      </c>
      <c r="H227" s="6">
        <v>5</v>
      </c>
      <c r="I227" s="6">
        <v>177</v>
      </c>
      <c r="J227" s="4">
        <v>50.485436890000003</v>
      </c>
      <c r="K227" s="3" t="s">
        <v>22</v>
      </c>
    </row>
    <row r="228" spans="1:11" x14ac:dyDescent="0.25">
      <c r="A228" s="22" t="s">
        <v>476</v>
      </c>
      <c r="B228" s="24" t="s">
        <v>452</v>
      </c>
      <c r="C228" s="3" t="s">
        <v>16</v>
      </c>
      <c r="D228" s="6">
        <v>396424</v>
      </c>
      <c r="E228" s="6">
        <v>7117</v>
      </c>
      <c r="F228" s="6">
        <v>3</v>
      </c>
      <c r="G228" s="6">
        <v>202.91262140000001</v>
      </c>
      <c r="H228" s="6">
        <v>6</v>
      </c>
      <c r="I228" s="6">
        <v>209</v>
      </c>
      <c r="J228" s="4">
        <v>81.553398060000006</v>
      </c>
      <c r="K228" s="3" t="s">
        <v>22</v>
      </c>
    </row>
    <row r="229" spans="1:11" x14ac:dyDescent="0.25">
      <c r="A229" s="22" t="s">
        <v>477</v>
      </c>
      <c r="B229" s="24" t="s">
        <v>461</v>
      </c>
      <c r="C229" s="3" t="s">
        <v>25</v>
      </c>
      <c r="D229" s="6">
        <v>402103</v>
      </c>
      <c r="E229" s="6">
        <v>7117</v>
      </c>
      <c r="F229" s="6">
        <v>3</v>
      </c>
      <c r="G229" s="6">
        <v>191.2621359</v>
      </c>
      <c r="H229" s="6">
        <v>5</v>
      </c>
      <c r="I229" s="6">
        <v>197</v>
      </c>
      <c r="J229" s="4">
        <v>69.902912619999995</v>
      </c>
      <c r="K229" s="3" t="s">
        <v>26</v>
      </c>
    </row>
    <row r="230" spans="1:11" x14ac:dyDescent="0.25">
      <c r="A230" s="22" t="s">
        <v>478</v>
      </c>
      <c r="B230" s="24" t="s">
        <v>408</v>
      </c>
      <c r="C230" s="3" t="s">
        <v>25</v>
      </c>
      <c r="D230" s="6">
        <v>829117</v>
      </c>
      <c r="E230" s="6">
        <v>7117</v>
      </c>
      <c r="F230" s="6">
        <v>3</v>
      </c>
      <c r="G230" s="6">
        <v>157.28155340000001</v>
      </c>
      <c r="H230" s="6">
        <v>4</v>
      </c>
      <c r="I230" s="6">
        <v>162</v>
      </c>
      <c r="J230" s="4">
        <v>53.398058249999998</v>
      </c>
      <c r="K230" s="3" t="s">
        <v>22</v>
      </c>
    </row>
    <row r="231" spans="1:11" x14ac:dyDescent="0.25">
      <c r="A231" s="22" t="s">
        <v>479</v>
      </c>
      <c r="B231" s="24" t="s">
        <v>408</v>
      </c>
      <c r="C231" s="3" t="s">
        <v>52</v>
      </c>
      <c r="D231" s="6">
        <v>221010</v>
      </c>
      <c r="E231" s="6">
        <v>7117</v>
      </c>
      <c r="F231" s="6">
        <v>3</v>
      </c>
      <c r="G231" s="6">
        <v>114.5631068</v>
      </c>
      <c r="H231" s="6">
        <v>3</v>
      </c>
      <c r="I231" s="6">
        <v>118</v>
      </c>
      <c r="J231" s="4">
        <v>38.834951459999999</v>
      </c>
      <c r="K231" s="3" t="s">
        <v>41</v>
      </c>
    </row>
    <row r="232" spans="1:11" x14ac:dyDescent="0.25">
      <c r="A232" s="22" t="s">
        <v>480</v>
      </c>
      <c r="B232" s="24" t="s">
        <v>411</v>
      </c>
      <c r="C232" s="3" t="s">
        <v>25</v>
      </c>
      <c r="D232" s="6">
        <v>431203</v>
      </c>
      <c r="E232" s="6">
        <v>7117</v>
      </c>
      <c r="F232" s="6">
        <v>3</v>
      </c>
      <c r="G232" s="6">
        <v>135.92233010000001</v>
      </c>
      <c r="H232" s="6">
        <v>4</v>
      </c>
      <c r="I232" s="6">
        <v>140</v>
      </c>
      <c r="J232" s="4">
        <v>41.747572820000002</v>
      </c>
      <c r="K232" s="3" t="s">
        <v>23</v>
      </c>
    </row>
    <row r="233" spans="1:11" x14ac:dyDescent="0.25">
      <c r="A233" s="22" t="s">
        <v>481</v>
      </c>
      <c r="B233" s="24" t="s">
        <v>447</v>
      </c>
      <c r="C233" s="3" t="s">
        <v>16</v>
      </c>
      <c r="D233" s="6">
        <v>110091</v>
      </c>
      <c r="E233" s="6">
        <v>7117</v>
      </c>
      <c r="F233" s="6">
        <v>3</v>
      </c>
      <c r="G233" s="6">
        <v>167.96116499999999</v>
      </c>
      <c r="H233" s="6">
        <v>5</v>
      </c>
      <c r="I233" s="6">
        <v>173</v>
      </c>
      <c r="J233" s="4">
        <v>50.485436890000003</v>
      </c>
      <c r="K233" s="3" t="s">
        <v>12</v>
      </c>
    </row>
    <row r="234" spans="1:11" x14ac:dyDescent="0.25">
      <c r="A234" s="22" t="s">
        <v>482</v>
      </c>
      <c r="B234" s="24" t="s">
        <v>408</v>
      </c>
      <c r="C234" s="3" t="s">
        <v>21</v>
      </c>
      <c r="D234" s="6">
        <v>221306</v>
      </c>
      <c r="E234" s="6">
        <v>7117</v>
      </c>
      <c r="F234" s="6">
        <v>3</v>
      </c>
      <c r="G234" s="6">
        <v>167.96116499999999</v>
      </c>
      <c r="H234" s="6">
        <v>5</v>
      </c>
      <c r="I234" s="6">
        <v>173</v>
      </c>
      <c r="J234" s="4">
        <v>46.601941750000002</v>
      </c>
      <c r="K234" s="3" t="s">
        <v>28</v>
      </c>
    </row>
    <row r="235" spans="1:11" x14ac:dyDescent="0.25">
      <c r="A235" s="22" t="s">
        <v>483</v>
      </c>
      <c r="B235" s="24" t="s">
        <v>426</v>
      </c>
      <c r="C235" s="3" t="s">
        <v>16</v>
      </c>
      <c r="D235" s="6">
        <v>474010</v>
      </c>
      <c r="E235" s="6">
        <v>7117</v>
      </c>
      <c r="F235" s="6">
        <v>3</v>
      </c>
      <c r="G235" s="6">
        <v>156.31067959999999</v>
      </c>
      <c r="H235" s="6">
        <v>4</v>
      </c>
      <c r="I235" s="6">
        <v>161</v>
      </c>
      <c r="J235" s="4">
        <v>38.834951459999999</v>
      </c>
      <c r="K235" s="3" t="s">
        <v>19</v>
      </c>
    </row>
    <row r="236" spans="1:11" x14ac:dyDescent="0.25">
      <c r="A236" s="22" t="s">
        <v>484</v>
      </c>
      <c r="B236" s="24" t="s">
        <v>485</v>
      </c>
      <c r="C236" s="3" t="s">
        <v>25</v>
      </c>
      <c r="D236" s="6">
        <v>587101</v>
      </c>
      <c r="E236" s="6">
        <v>7117</v>
      </c>
      <c r="F236" s="6">
        <v>3</v>
      </c>
      <c r="G236" s="6">
        <v>173.78640780000001</v>
      </c>
      <c r="H236" s="6">
        <v>5</v>
      </c>
      <c r="I236" s="6">
        <v>179</v>
      </c>
      <c r="J236" s="4">
        <v>52.42718447</v>
      </c>
      <c r="K236" s="3" t="s">
        <v>17</v>
      </c>
    </row>
    <row r="237" spans="1:11" x14ac:dyDescent="0.25">
      <c r="A237" s="22" t="s">
        <v>486</v>
      </c>
      <c r="B237" s="24" t="s">
        <v>450</v>
      </c>
      <c r="C237" s="3" t="s">
        <v>16</v>
      </c>
      <c r="D237" s="6">
        <v>143109</v>
      </c>
      <c r="E237" s="6">
        <v>7117</v>
      </c>
      <c r="F237" s="6">
        <v>3</v>
      </c>
      <c r="G237" s="6">
        <v>154.368932</v>
      </c>
      <c r="H237" s="6">
        <v>4</v>
      </c>
      <c r="I237" s="6">
        <v>159</v>
      </c>
      <c r="J237" s="4">
        <v>38.834951459999999</v>
      </c>
      <c r="K237" s="3" t="s">
        <v>968</v>
      </c>
    </row>
    <row r="238" spans="1:11" x14ac:dyDescent="0.25">
      <c r="A238" s="22" t="s">
        <v>487</v>
      </c>
      <c r="B238" s="24" t="s">
        <v>408</v>
      </c>
      <c r="C238" s="3" t="s">
        <v>52</v>
      </c>
      <c r="D238" s="6">
        <v>495557</v>
      </c>
      <c r="E238" s="6">
        <v>7117</v>
      </c>
      <c r="F238" s="6">
        <v>3</v>
      </c>
      <c r="G238" s="6">
        <v>144.66019420000001</v>
      </c>
      <c r="H238" s="6">
        <v>4</v>
      </c>
      <c r="I238" s="6">
        <v>149</v>
      </c>
      <c r="J238" s="4">
        <v>37.86407767</v>
      </c>
      <c r="K238" s="3" t="s">
        <v>14</v>
      </c>
    </row>
    <row r="239" spans="1:11" x14ac:dyDescent="0.25">
      <c r="A239" s="22" t="s">
        <v>488</v>
      </c>
      <c r="B239" s="24" t="s">
        <v>411</v>
      </c>
      <c r="C239" s="3" t="s">
        <v>16</v>
      </c>
      <c r="D239" s="6">
        <v>211019</v>
      </c>
      <c r="E239" s="6">
        <v>7117</v>
      </c>
      <c r="F239" s="6">
        <v>3</v>
      </c>
      <c r="G239" s="6">
        <v>151.45631069999999</v>
      </c>
      <c r="H239" s="6">
        <v>4</v>
      </c>
      <c r="I239" s="6">
        <v>156</v>
      </c>
      <c r="J239" s="4">
        <v>33.980582519999999</v>
      </c>
      <c r="K239" s="3" t="s">
        <v>28</v>
      </c>
    </row>
    <row r="240" spans="1:11" x14ac:dyDescent="0.25">
      <c r="A240" s="22" t="s">
        <v>489</v>
      </c>
      <c r="B240" s="24" t="s">
        <v>450</v>
      </c>
      <c r="C240" s="3" t="s">
        <v>16</v>
      </c>
      <c r="D240" s="6">
        <v>844503</v>
      </c>
      <c r="E240" s="6">
        <v>7117</v>
      </c>
      <c r="F240" s="6">
        <v>3</v>
      </c>
      <c r="G240" s="6">
        <v>123.3009709</v>
      </c>
      <c r="H240" s="6">
        <v>3</v>
      </c>
      <c r="I240" s="6">
        <v>127</v>
      </c>
      <c r="J240" s="4">
        <v>33.009708740000001</v>
      </c>
      <c r="K240" s="3" t="s">
        <v>10</v>
      </c>
    </row>
    <row r="241" spans="1:11" x14ac:dyDescent="0.25">
      <c r="A241" s="22" t="s">
        <v>490</v>
      </c>
      <c r="B241" s="24" t="s">
        <v>436</v>
      </c>
      <c r="C241" s="3" t="s">
        <v>25</v>
      </c>
      <c r="D241" s="6">
        <v>824102</v>
      </c>
      <c r="E241" s="6">
        <v>7117</v>
      </c>
      <c r="F241" s="6">
        <v>3</v>
      </c>
      <c r="G241" s="6">
        <v>164.07766989999999</v>
      </c>
      <c r="H241" s="6">
        <v>4</v>
      </c>
      <c r="I241" s="6">
        <v>169</v>
      </c>
      <c r="J241" s="4">
        <v>42.7184466</v>
      </c>
      <c r="K241" s="3" t="s">
        <v>54</v>
      </c>
    </row>
    <row r="242" spans="1:11" x14ac:dyDescent="0.25">
      <c r="A242" s="22" t="s">
        <v>491</v>
      </c>
      <c r="B242" s="24" t="s">
        <v>473</v>
      </c>
      <c r="C242" s="3" t="s">
        <v>16</v>
      </c>
      <c r="D242" s="6">
        <v>243726</v>
      </c>
      <c r="E242" s="6">
        <v>7117</v>
      </c>
      <c r="F242" s="6">
        <v>3</v>
      </c>
      <c r="G242" s="6">
        <v>170.8737864</v>
      </c>
      <c r="H242" s="6">
        <v>5</v>
      </c>
      <c r="I242" s="6">
        <v>176</v>
      </c>
      <c r="J242" s="4">
        <v>53.398058249999998</v>
      </c>
      <c r="K242" s="3" t="s">
        <v>22</v>
      </c>
    </row>
    <row r="243" spans="1:11" x14ac:dyDescent="0.25">
      <c r="A243" s="22" t="s">
        <v>492</v>
      </c>
      <c r="B243" s="24" t="s">
        <v>458</v>
      </c>
      <c r="C243" s="3" t="s">
        <v>16</v>
      </c>
      <c r="D243" s="6">
        <v>210204</v>
      </c>
      <c r="E243" s="6">
        <v>7117</v>
      </c>
      <c r="F243" s="6">
        <v>3</v>
      </c>
      <c r="G243" s="6">
        <v>174.7572816</v>
      </c>
      <c r="H243" s="6">
        <v>5</v>
      </c>
      <c r="I243" s="6">
        <v>180</v>
      </c>
      <c r="J243" s="4">
        <v>53.398058249999998</v>
      </c>
      <c r="K243" s="3" t="s">
        <v>37</v>
      </c>
    </row>
    <row r="244" spans="1:11" x14ac:dyDescent="0.25">
      <c r="A244" s="22" t="s">
        <v>493</v>
      </c>
      <c r="B244" s="24" t="s">
        <v>458</v>
      </c>
      <c r="C244" s="3" t="s">
        <v>25</v>
      </c>
      <c r="D244" s="6">
        <v>185211</v>
      </c>
      <c r="E244" s="6">
        <v>7117</v>
      </c>
      <c r="F244" s="6">
        <v>3</v>
      </c>
      <c r="G244" s="6">
        <v>167.96116499999999</v>
      </c>
      <c r="H244" s="6">
        <v>5</v>
      </c>
      <c r="I244" s="6">
        <v>173</v>
      </c>
      <c r="J244" s="4">
        <v>46.601941750000002</v>
      </c>
      <c r="K244" s="3" t="s">
        <v>10</v>
      </c>
    </row>
    <row r="245" spans="1:11" x14ac:dyDescent="0.25">
      <c r="A245" s="22" t="s">
        <v>494</v>
      </c>
      <c r="B245" s="24" t="s">
        <v>408</v>
      </c>
      <c r="C245" s="3" t="s">
        <v>16</v>
      </c>
      <c r="D245" s="6">
        <v>791109</v>
      </c>
      <c r="E245" s="6">
        <v>7117</v>
      </c>
      <c r="F245" s="6">
        <v>3</v>
      </c>
      <c r="G245" s="6">
        <v>165.04854370000001</v>
      </c>
      <c r="H245" s="6">
        <v>4</v>
      </c>
      <c r="I245" s="6">
        <v>170</v>
      </c>
      <c r="J245" s="4">
        <v>47.57281553</v>
      </c>
      <c r="K245" s="3" t="s">
        <v>10</v>
      </c>
    </row>
    <row r="246" spans="1:11" x14ac:dyDescent="0.25">
      <c r="A246" s="22" t="s">
        <v>495</v>
      </c>
      <c r="B246" s="24" t="s">
        <v>496</v>
      </c>
      <c r="C246" s="3" t="s">
        <v>25</v>
      </c>
      <c r="D246" s="6">
        <v>400068</v>
      </c>
      <c r="E246" s="6">
        <v>7117</v>
      </c>
      <c r="F246" s="6">
        <v>3</v>
      </c>
      <c r="G246" s="6">
        <v>148.54368930000001</v>
      </c>
      <c r="H246" s="6">
        <v>4</v>
      </c>
      <c r="I246" s="6">
        <v>153</v>
      </c>
      <c r="J246" s="4">
        <v>45.631067960000003</v>
      </c>
      <c r="K246" s="3" t="s">
        <v>46</v>
      </c>
    </row>
    <row r="247" spans="1:11" x14ac:dyDescent="0.25">
      <c r="A247" s="22" t="s">
        <v>497</v>
      </c>
      <c r="B247" s="24" t="s">
        <v>401</v>
      </c>
      <c r="C247" s="3" t="s">
        <v>16</v>
      </c>
      <c r="D247" s="6">
        <v>122004</v>
      </c>
      <c r="E247" s="6">
        <v>7117</v>
      </c>
      <c r="F247" s="6">
        <v>3</v>
      </c>
      <c r="G247" s="6">
        <v>154.368932</v>
      </c>
      <c r="H247" s="6">
        <v>4</v>
      </c>
      <c r="I247" s="6">
        <v>159</v>
      </c>
      <c r="J247" s="4">
        <v>50.485436890000003</v>
      </c>
      <c r="K247" s="3" t="s">
        <v>37</v>
      </c>
    </row>
    <row r="248" spans="1:11" x14ac:dyDescent="0.25">
      <c r="A248" s="22" t="s">
        <v>498</v>
      </c>
      <c r="B248" s="24" t="s">
        <v>422</v>
      </c>
      <c r="C248" s="3" t="s">
        <v>16</v>
      </c>
      <c r="D248" s="6">
        <v>475671</v>
      </c>
      <c r="E248" s="6">
        <v>7117</v>
      </c>
      <c r="F248" s="6">
        <v>3</v>
      </c>
      <c r="G248" s="6">
        <v>159.22330099999999</v>
      </c>
      <c r="H248" s="6">
        <v>4</v>
      </c>
      <c r="I248" s="6">
        <v>164</v>
      </c>
      <c r="J248" s="4">
        <v>55.339805830000003</v>
      </c>
      <c r="K248" s="3" t="s">
        <v>22</v>
      </c>
    </row>
    <row r="249" spans="1:11" x14ac:dyDescent="0.25">
      <c r="A249" s="22" t="s">
        <v>499</v>
      </c>
      <c r="B249" s="24" t="s">
        <v>417</v>
      </c>
      <c r="C249" s="3" t="s">
        <v>16</v>
      </c>
      <c r="D249" s="6">
        <v>688535</v>
      </c>
      <c r="E249" s="6">
        <v>7117</v>
      </c>
      <c r="F249" s="6">
        <v>3</v>
      </c>
      <c r="G249" s="6">
        <v>177.66990290000001</v>
      </c>
      <c r="H249" s="6">
        <v>5</v>
      </c>
      <c r="I249" s="6">
        <v>183</v>
      </c>
      <c r="J249" s="4">
        <v>56.310679610000001</v>
      </c>
      <c r="K249" s="3" t="s">
        <v>19</v>
      </c>
    </row>
    <row r="250" spans="1:11" x14ac:dyDescent="0.25">
      <c r="A250" s="22" t="s">
        <v>500</v>
      </c>
      <c r="B250" s="24" t="s">
        <v>501</v>
      </c>
      <c r="C250" s="3" t="s">
        <v>16</v>
      </c>
      <c r="D250" s="6">
        <v>110091</v>
      </c>
      <c r="E250" s="6">
        <v>7117</v>
      </c>
      <c r="F250" s="6">
        <v>3</v>
      </c>
      <c r="G250" s="6">
        <v>171.84466019999999</v>
      </c>
      <c r="H250" s="6">
        <v>5</v>
      </c>
      <c r="I250" s="6">
        <v>177</v>
      </c>
      <c r="J250" s="4">
        <v>50.485436890000003</v>
      </c>
      <c r="K250" s="3" t="s">
        <v>22</v>
      </c>
    </row>
    <row r="251" spans="1:11" x14ac:dyDescent="0.25">
      <c r="A251" s="22" t="s">
        <v>502</v>
      </c>
      <c r="B251" s="24" t="s">
        <v>496</v>
      </c>
      <c r="C251" s="3" t="s">
        <v>16</v>
      </c>
      <c r="D251" s="6">
        <v>335001</v>
      </c>
      <c r="E251" s="6">
        <v>7117</v>
      </c>
      <c r="F251" s="6">
        <v>3</v>
      </c>
      <c r="G251" s="6">
        <v>156.31067959999999</v>
      </c>
      <c r="H251" s="6">
        <v>4</v>
      </c>
      <c r="I251" s="6">
        <v>161</v>
      </c>
      <c r="J251" s="4">
        <v>38.834951459999999</v>
      </c>
      <c r="K251" s="3" t="s">
        <v>41</v>
      </c>
    </row>
    <row r="252" spans="1:11" x14ac:dyDescent="0.25">
      <c r="A252" s="22" t="s">
        <v>503</v>
      </c>
      <c r="B252" s="24" t="s">
        <v>496</v>
      </c>
      <c r="C252" s="3" t="s">
        <v>16</v>
      </c>
      <c r="D252" s="6">
        <v>412115</v>
      </c>
      <c r="E252" s="6">
        <v>7117</v>
      </c>
      <c r="F252" s="6">
        <v>3</v>
      </c>
      <c r="G252" s="6">
        <v>155.33980579999999</v>
      </c>
      <c r="H252" s="6">
        <v>4</v>
      </c>
      <c r="I252" s="6">
        <v>160</v>
      </c>
      <c r="J252" s="4">
        <v>33.980582519999999</v>
      </c>
      <c r="K252" s="3" t="s">
        <v>10</v>
      </c>
    </row>
    <row r="253" spans="1:11" x14ac:dyDescent="0.25">
      <c r="A253" s="22" t="s">
        <v>504</v>
      </c>
      <c r="B253" s="24" t="s">
        <v>438</v>
      </c>
      <c r="C253" s="3" t="s">
        <v>16</v>
      </c>
      <c r="D253" s="6">
        <v>208011</v>
      </c>
      <c r="E253" s="6">
        <v>7117</v>
      </c>
      <c r="F253" s="6">
        <v>3</v>
      </c>
      <c r="G253" s="6">
        <v>156.31067959999999</v>
      </c>
      <c r="H253" s="6">
        <v>4</v>
      </c>
      <c r="I253" s="6">
        <v>161</v>
      </c>
      <c r="J253" s="4">
        <v>38.834951459999999</v>
      </c>
      <c r="K253" s="3" t="s">
        <v>41</v>
      </c>
    </row>
    <row r="254" spans="1:11" x14ac:dyDescent="0.25">
      <c r="A254" s="22" t="s">
        <v>505</v>
      </c>
      <c r="B254" s="24" t="s">
        <v>438</v>
      </c>
      <c r="C254" s="3" t="s">
        <v>16</v>
      </c>
      <c r="D254" s="6">
        <v>803116</v>
      </c>
      <c r="E254" s="6">
        <v>7117</v>
      </c>
      <c r="F254" s="6">
        <v>3</v>
      </c>
      <c r="G254" s="6">
        <v>170.8737864</v>
      </c>
      <c r="H254" s="6">
        <v>5</v>
      </c>
      <c r="I254" s="6">
        <v>176</v>
      </c>
      <c r="J254" s="4">
        <v>53.398058249999998</v>
      </c>
      <c r="K254" s="3" t="s">
        <v>22</v>
      </c>
    </row>
    <row r="255" spans="1:11" x14ac:dyDescent="0.25">
      <c r="A255" s="22" t="s">
        <v>506</v>
      </c>
      <c r="B255" s="24" t="s">
        <v>473</v>
      </c>
      <c r="C255" s="3" t="s">
        <v>21</v>
      </c>
      <c r="D255" s="6">
        <v>486001</v>
      </c>
      <c r="E255" s="6">
        <v>7117</v>
      </c>
      <c r="F255" s="6">
        <v>3</v>
      </c>
      <c r="G255" s="6">
        <v>175.7281553</v>
      </c>
      <c r="H255" s="6">
        <v>5</v>
      </c>
      <c r="I255" s="6">
        <v>181</v>
      </c>
      <c r="J255" s="4">
        <v>54.368932039999997</v>
      </c>
      <c r="K255" s="3" t="s">
        <v>46</v>
      </c>
    </row>
    <row r="256" spans="1:11" x14ac:dyDescent="0.25">
      <c r="A256" s="22" t="s">
        <v>507</v>
      </c>
      <c r="B256" s="24" t="s">
        <v>458</v>
      </c>
      <c r="C256" s="3" t="s">
        <v>33</v>
      </c>
      <c r="D256" s="6">
        <v>110042</v>
      </c>
      <c r="E256" s="6">
        <v>7117</v>
      </c>
      <c r="F256" s="6">
        <v>3</v>
      </c>
      <c r="G256" s="6">
        <v>196.1165049</v>
      </c>
      <c r="H256" s="6">
        <v>5</v>
      </c>
      <c r="I256" s="6">
        <v>202</v>
      </c>
      <c r="J256" s="4">
        <v>74.757281550000002</v>
      </c>
      <c r="K256" s="3" t="s">
        <v>26</v>
      </c>
    </row>
    <row r="257" spans="1:11" x14ac:dyDescent="0.25">
      <c r="A257" s="22" t="s">
        <v>508</v>
      </c>
      <c r="B257" s="24" t="s">
        <v>458</v>
      </c>
      <c r="C257" s="3" t="s">
        <v>25</v>
      </c>
      <c r="D257" s="6">
        <v>522101</v>
      </c>
      <c r="E257" s="6">
        <v>7117</v>
      </c>
      <c r="F257" s="6">
        <v>3</v>
      </c>
      <c r="G257" s="6">
        <v>187.3786408</v>
      </c>
      <c r="H257" s="6">
        <v>5</v>
      </c>
      <c r="I257" s="6">
        <v>193</v>
      </c>
      <c r="J257" s="4">
        <v>46.601941750000002</v>
      </c>
      <c r="K257" s="3" t="s">
        <v>46</v>
      </c>
    </row>
    <row r="258" spans="1:11" x14ac:dyDescent="0.25">
      <c r="A258" s="22" t="s">
        <v>509</v>
      </c>
      <c r="B258" s="24" t="s">
        <v>441</v>
      </c>
      <c r="C258" s="3" t="s">
        <v>21</v>
      </c>
      <c r="D258" s="6">
        <v>456664</v>
      </c>
      <c r="E258" s="6">
        <v>7117</v>
      </c>
      <c r="F258" s="6">
        <v>3</v>
      </c>
      <c r="G258" s="6">
        <v>152.42718450000001</v>
      </c>
      <c r="H258" s="6">
        <v>4</v>
      </c>
      <c r="I258" s="6">
        <v>157</v>
      </c>
      <c r="J258" s="4">
        <v>48.543689319999999</v>
      </c>
      <c r="K258" s="3" t="s">
        <v>26</v>
      </c>
    </row>
    <row r="259" spans="1:11" x14ac:dyDescent="0.25">
      <c r="A259" s="22" t="s">
        <v>510</v>
      </c>
      <c r="B259" s="24" t="s">
        <v>406</v>
      </c>
      <c r="C259" s="3" t="s">
        <v>16</v>
      </c>
      <c r="D259" s="6">
        <v>276121</v>
      </c>
      <c r="E259" s="6">
        <v>7117</v>
      </c>
      <c r="F259" s="6">
        <v>3</v>
      </c>
      <c r="G259" s="6">
        <v>185.43689319999999</v>
      </c>
      <c r="H259" s="6">
        <v>5</v>
      </c>
      <c r="I259" s="6">
        <v>191</v>
      </c>
      <c r="J259" s="4">
        <v>64.077669900000004</v>
      </c>
      <c r="K259" s="3" t="s">
        <v>967</v>
      </c>
    </row>
    <row r="260" spans="1:11" x14ac:dyDescent="0.25">
      <c r="A260" s="22" t="s">
        <v>511</v>
      </c>
      <c r="B260" s="24" t="s">
        <v>417</v>
      </c>
      <c r="C260" s="3" t="s">
        <v>16</v>
      </c>
      <c r="D260" s="6">
        <v>110059</v>
      </c>
      <c r="E260" s="6">
        <v>7117</v>
      </c>
      <c r="F260" s="6">
        <v>3</v>
      </c>
      <c r="G260" s="6">
        <v>161.16504850000001</v>
      </c>
      <c r="H260" s="6">
        <v>4</v>
      </c>
      <c r="I260" s="6">
        <v>166</v>
      </c>
      <c r="J260" s="4">
        <v>53.398058249999998</v>
      </c>
      <c r="K260" s="3" t="s">
        <v>23</v>
      </c>
    </row>
    <row r="261" spans="1:11" x14ac:dyDescent="0.25">
      <c r="A261" s="22" t="s">
        <v>512</v>
      </c>
      <c r="B261" s="24" t="s">
        <v>438</v>
      </c>
      <c r="C261" s="3" t="s">
        <v>16</v>
      </c>
      <c r="D261" s="6">
        <v>344031</v>
      </c>
      <c r="E261" s="6">
        <v>7117</v>
      </c>
      <c r="F261" s="6">
        <v>3</v>
      </c>
      <c r="G261" s="6">
        <v>179.6116505</v>
      </c>
      <c r="H261" s="6">
        <v>5</v>
      </c>
      <c r="I261" s="6">
        <v>185</v>
      </c>
      <c r="J261" s="4">
        <v>62.13592233</v>
      </c>
      <c r="K261" s="3" t="s">
        <v>39</v>
      </c>
    </row>
    <row r="262" spans="1:11" x14ac:dyDescent="0.25">
      <c r="A262" s="22" t="s">
        <v>513</v>
      </c>
      <c r="B262" s="24" t="s">
        <v>452</v>
      </c>
      <c r="C262" s="3" t="s">
        <v>16</v>
      </c>
      <c r="D262" s="6">
        <v>848502</v>
      </c>
      <c r="E262" s="6">
        <v>7117</v>
      </c>
      <c r="F262" s="6">
        <v>3</v>
      </c>
      <c r="G262" s="6">
        <v>140.77669900000001</v>
      </c>
      <c r="H262" s="6">
        <v>4</v>
      </c>
      <c r="I262" s="6">
        <v>145</v>
      </c>
      <c r="J262" s="4">
        <v>36.893203880000002</v>
      </c>
      <c r="K262" s="3" t="s">
        <v>10</v>
      </c>
    </row>
    <row r="263" spans="1:11" x14ac:dyDescent="0.25">
      <c r="A263" s="22" t="s">
        <v>514</v>
      </c>
      <c r="B263" s="24" t="s">
        <v>515</v>
      </c>
      <c r="C263" s="3" t="s">
        <v>52</v>
      </c>
      <c r="D263" s="6">
        <v>400055</v>
      </c>
      <c r="E263" s="6">
        <v>7117</v>
      </c>
      <c r="F263" s="6">
        <v>3</v>
      </c>
      <c r="G263" s="6">
        <v>320.3883495</v>
      </c>
      <c r="H263" s="6">
        <v>9</v>
      </c>
      <c r="I263" s="6">
        <v>330</v>
      </c>
      <c r="J263" s="4">
        <v>67.961165050000005</v>
      </c>
      <c r="K263" s="3" t="s">
        <v>10</v>
      </c>
    </row>
    <row r="264" spans="1:11" x14ac:dyDescent="0.25">
      <c r="A264" s="22" t="s">
        <v>516</v>
      </c>
      <c r="B264" s="24" t="s">
        <v>441</v>
      </c>
      <c r="C264" s="3" t="s">
        <v>52</v>
      </c>
      <c r="D264" s="6">
        <v>184121</v>
      </c>
      <c r="E264" s="6">
        <v>7117</v>
      </c>
      <c r="F264" s="6">
        <v>3</v>
      </c>
      <c r="G264" s="6">
        <v>169.90291260000001</v>
      </c>
      <c r="H264" s="6">
        <v>5</v>
      </c>
      <c r="I264" s="6">
        <v>175</v>
      </c>
      <c r="J264" s="4">
        <v>52.42718447</v>
      </c>
      <c r="K264" s="3" t="s">
        <v>41</v>
      </c>
    </row>
    <row r="265" spans="1:11" x14ac:dyDescent="0.25">
      <c r="A265" s="22" t="s">
        <v>517</v>
      </c>
      <c r="B265" s="24" t="s">
        <v>515</v>
      </c>
      <c r="C265" s="3" t="s">
        <v>16</v>
      </c>
      <c r="D265" s="6">
        <v>410210</v>
      </c>
      <c r="E265" s="6">
        <v>7117</v>
      </c>
      <c r="F265" s="6">
        <v>3</v>
      </c>
      <c r="G265" s="6">
        <v>143.68932040000001</v>
      </c>
      <c r="H265" s="6">
        <v>4</v>
      </c>
      <c r="I265" s="6">
        <v>148</v>
      </c>
      <c r="J265" s="4">
        <v>39.805825239999997</v>
      </c>
      <c r="K265" s="3" t="s">
        <v>10</v>
      </c>
    </row>
    <row r="266" spans="1:11" x14ac:dyDescent="0.25">
      <c r="A266" s="22" t="s">
        <v>518</v>
      </c>
      <c r="B266" s="24" t="s">
        <v>496</v>
      </c>
      <c r="C266" s="3" t="s">
        <v>25</v>
      </c>
      <c r="D266" s="6">
        <v>803116</v>
      </c>
      <c r="E266" s="6">
        <v>7117</v>
      </c>
      <c r="F266" s="6">
        <v>3</v>
      </c>
      <c r="G266" s="6">
        <v>156.31067959999999</v>
      </c>
      <c r="H266" s="6">
        <v>4</v>
      </c>
      <c r="I266" s="6">
        <v>161</v>
      </c>
      <c r="J266" s="4">
        <v>38.834951459999999</v>
      </c>
      <c r="K266" s="3" t="s">
        <v>12</v>
      </c>
    </row>
    <row r="267" spans="1:11" x14ac:dyDescent="0.25">
      <c r="A267" s="22" t="s">
        <v>519</v>
      </c>
      <c r="B267" s="24" t="s">
        <v>417</v>
      </c>
      <c r="C267" s="3" t="s">
        <v>21</v>
      </c>
      <c r="D267" s="6">
        <v>791110</v>
      </c>
      <c r="E267" s="6">
        <v>7117</v>
      </c>
      <c r="F267" s="6">
        <v>3</v>
      </c>
      <c r="G267" s="6">
        <v>168.93203879999999</v>
      </c>
      <c r="H267" s="6">
        <v>5</v>
      </c>
      <c r="I267" s="6">
        <v>174</v>
      </c>
      <c r="J267" s="4">
        <v>47.57281553</v>
      </c>
      <c r="K267" s="3" t="s">
        <v>46</v>
      </c>
    </row>
    <row r="268" spans="1:11" x14ac:dyDescent="0.25">
      <c r="A268" s="22" t="s">
        <v>520</v>
      </c>
      <c r="B268" s="24" t="s">
        <v>521</v>
      </c>
      <c r="C268" s="3" t="s">
        <v>16</v>
      </c>
      <c r="D268" s="6">
        <v>752055</v>
      </c>
      <c r="E268" s="6">
        <v>7117</v>
      </c>
      <c r="F268" s="6">
        <v>3</v>
      </c>
      <c r="G268" s="6">
        <v>162.1359223</v>
      </c>
      <c r="H268" s="6">
        <v>4</v>
      </c>
      <c r="I268" s="6">
        <v>167</v>
      </c>
      <c r="J268" s="4">
        <v>40.776699030000003</v>
      </c>
      <c r="K268" s="3" t="s">
        <v>10</v>
      </c>
    </row>
    <row r="269" spans="1:11" x14ac:dyDescent="0.25">
      <c r="A269" s="22" t="s">
        <v>522</v>
      </c>
      <c r="B269" s="24" t="s">
        <v>461</v>
      </c>
      <c r="C269" s="3" t="s">
        <v>16</v>
      </c>
      <c r="D269" s="6">
        <v>751024</v>
      </c>
      <c r="E269" s="6">
        <v>7117</v>
      </c>
      <c r="F269" s="6">
        <v>3</v>
      </c>
      <c r="G269" s="6">
        <v>133.0097087</v>
      </c>
      <c r="H269" s="6">
        <v>3</v>
      </c>
      <c r="I269" s="6">
        <v>137</v>
      </c>
      <c r="J269" s="4">
        <v>38.834951459999999</v>
      </c>
      <c r="K269" s="3" t="s">
        <v>22</v>
      </c>
    </row>
    <row r="270" spans="1:11" x14ac:dyDescent="0.25">
      <c r="A270" s="22" t="s">
        <v>523</v>
      </c>
      <c r="B270" s="24" t="s">
        <v>401</v>
      </c>
      <c r="C270" s="3" t="s">
        <v>25</v>
      </c>
      <c r="D270" s="6">
        <v>140603</v>
      </c>
      <c r="E270" s="6">
        <v>7117</v>
      </c>
      <c r="F270" s="6">
        <v>3</v>
      </c>
      <c r="G270" s="6">
        <v>166.0194175</v>
      </c>
      <c r="H270" s="6">
        <v>4</v>
      </c>
      <c r="I270" s="6">
        <v>171</v>
      </c>
      <c r="J270" s="4">
        <v>71.844660189999999</v>
      </c>
      <c r="K270" s="3" t="s">
        <v>44</v>
      </c>
    </row>
    <row r="271" spans="1:11" x14ac:dyDescent="0.25">
      <c r="A271" s="22" t="s">
        <v>524</v>
      </c>
      <c r="B271" s="24" t="s">
        <v>515</v>
      </c>
      <c r="C271" s="3" t="s">
        <v>16</v>
      </c>
      <c r="D271" s="6">
        <v>211006</v>
      </c>
      <c r="E271" s="6">
        <v>7117</v>
      </c>
      <c r="F271" s="6">
        <v>3</v>
      </c>
      <c r="G271" s="6">
        <v>154.368932</v>
      </c>
      <c r="H271" s="6">
        <v>4</v>
      </c>
      <c r="I271" s="6">
        <v>159</v>
      </c>
      <c r="J271" s="4">
        <v>33.009708740000001</v>
      </c>
      <c r="K271" s="3" t="s">
        <v>10</v>
      </c>
    </row>
    <row r="272" spans="1:11" x14ac:dyDescent="0.25">
      <c r="A272" s="22" t="s">
        <v>525</v>
      </c>
      <c r="B272" s="24" t="s">
        <v>401</v>
      </c>
      <c r="C272" s="3" t="s">
        <v>25</v>
      </c>
      <c r="D272" s="6">
        <v>751009</v>
      </c>
      <c r="E272" s="6">
        <v>7117</v>
      </c>
      <c r="F272" s="6">
        <v>3</v>
      </c>
      <c r="G272" s="6">
        <v>162.1359223</v>
      </c>
      <c r="H272" s="6">
        <v>4</v>
      </c>
      <c r="I272" s="6">
        <v>167</v>
      </c>
      <c r="J272" s="4">
        <v>40.776699030000003</v>
      </c>
      <c r="K272" s="3" t="s">
        <v>10</v>
      </c>
    </row>
    <row r="273" spans="1:11" x14ac:dyDescent="0.25">
      <c r="A273" s="22" t="s">
        <v>526</v>
      </c>
      <c r="B273" s="24" t="s">
        <v>515</v>
      </c>
      <c r="C273" s="3" t="s">
        <v>16</v>
      </c>
      <c r="D273" s="6">
        <v>560098</v>
      </c>
      <c r="E273" s="6">
        <v>7117</v>
      </c>
      <c r="F273" s="6">
        <v>3</v>
      </c>
      <c r="G273" s="6">
        <v>300.97087379999999</v>
      </c>
      <c r="H273" s="6">
        <v>9</v>
      </c>
      <c r="I273" s="6">
        <v>310</v>
      </c>
      <c r="J273" s="4">
        <v>66.019417480000001</v>
      </c>
      <c r="K273" s="3" t="s">
        <v>10</v>
      </c>
    </row>
    <row r="274" spans="1:11" x14ac:dyDescent="0.25">
      <c r="A274" s="22" t="s">
        <v>527</v>
      </c>
      <c r="B274" s="24" t="s">
        <v>431</v>
      </c>
      <c r="C274" s="3" t="s">
        <v>16</v>
      </c>
      <c r="D274" s="6">
        <v>261135</v>
      </c>
      <c r="E274" s="6">
        <v>7117</v>
      </c>
      <c r="F274" s="6">
        <v>3</v>
      </c>
      <c r="G274" s="6">
        <v>152.42718450000001</v>
      </c>
      <c r="H274" s="6">
        <v>4</v>
      </c>
      <c r="I274" s="6">
        <v>157</v>
      </c>
      <c r="J274" s="4">
        <v>48.543689319999999</v>
      </c>
      <c r="K274" s="3" t="s">
        <v>26</v>
      </c>
    </row>
    <row r="275" spans="1:11" x14ac:dyDescent="0.25">
      <c r="A275" s="22" t="s">
        <v>528</v>
      </c>
      <c r="B275" s="24" t="s">
        <v>408</v>
      </c>
      <c r="C275" s="3" t="s">
        <v>25</v>
      </c>
      <c r="D275" s="6">
        <v>744101</v>
      </c>
      <c r="E275" s="6">
        <v>7117</v>
      </c>
      <c r="F275" s="6">
        <v>3</v>
      </c>
      <c r="G275" s="6">
        <v>162.1359223</v>
      </c>
      <c r="H275" s="6">
        <v>4</v>
      </c>
      <c r="I275" s="6">
        <v>167</v>
      </c>
      <c r="J275" s="4">
        <v>44.660194169999997</v>
      </c>
      <c r="K275" s="3" t="s">
        <v>54</v>
      </c>
    </row>
    <row r="276" spans="1:11" x14ac:dyDescent="0.25">
      <c r="A276" s="22" t="s">
        <v>529</v>
      </c>
      <c r="B276" s="24" t="s">
        <v>452</v>
      </c>
      <c r="C276" s="3" t="s">
        <v>21</v>
      </c>
      <c r="D276" s="6">
        <v>509338</v>
      </c>
      <c r="E276" s="6">
        <v>7117</v>
      </c>
      <c r="F276" s="6">
        <v>3</v>
      </c>
      <c r="G276" s="6">
        <v>312.62135919999997</v>
      </c>
      <c r="H276" s="6">
        <v>9</v>
      </c>
      <c r="I276" s="6">
        <v>322</v>
      </c>
      <c r="J276" s="4">
        <v>77.669902910000005</v>
      </c>
      <c r="K276" s="3" t="s">
        <v>54</v>
      </c>
    </row>
    <row r="277" spans="1:11" x14ac:dyDescent="0.25">
      <c r="A277" s="22" t="s">
        <v>530</v>
      </c>
      <c r="B277" s="24" t="s">
        <v>431</v>
      </c>
      <c r="C277" s="3" t="s">
        <v>16</v>
      </c>
      <c r="D277" s="6">
        <v>221712</v>
      </c>
      <c r="E277" s="6">
        <v>7117</v>
      </c>
      <c r="F277" s="6">
        <v>3</v>
      </c>
      <c r="G277" s="6">
        <v>167.96116499999999</v>
      </c>
      <c r="H277" s="6">
        <v>5</v>
      </c>
      <c r="I277" s="6">
        <v>173</v>
      </c>
      <c r="J277" s="4">
        <v>46.601941750000002</v>
      </c>
      <c r="K277" s="3" t="s">
        <v>10</v>
      </c>
    </row>
    <row r="278" spans="1:11" x14ac:dyDescent="0.25">
      <c r="A278" s="22" t="s">
        <v>531</v>
      </c>
      <c r="B278" s="24" t="s">
        <v>501</v>
      </c>
      <c r="C278" s="3" t="s">
        <v>21</v>
      </c>
      <c r="D278" s="6">
        <v>324008</v>
      </c>
      <c r="E278" s="6">
        <v>7117</v>
      </c>
      <c r="F278" s="6">
        <v>3</v>
      </c>
      <c r="G278" s="6">
        <v>157.28155340000001</v>
      </c>
      <c r="H278" s="6">
        <v>4</v>
      </c>
      <c r="I278" s="6">
        <v>162</v>
      </c>
      <c r="J278" s="4">
        <v>53.398058249999998</v>
      </c>
      <c r="K278" s="3" t="s">
        <v>22</v>
      </c>
    </row>
    <row r="279" spans="1:11" x14ac:dyDescent="0.25">
      <c r="A279" s="22" t="s">
        <v>532</v>
      </c>
      <c r="B279" s="24" t="s">
        <v>401</v>
      </c>
      <c r="C279" s="3" t="s">
        <v>52</v>
      </c>
      <c r="D279" s="6">
        <v>800010</v>
      </c>
      <c r="E279" s="6">
        <v>7117</v>
      </c>
      <c r="F279" s="6">
        <v>3</v>
      </c>
      <c r="G279" s="6">
        <v>137.8640777</v>
      </c>
      <c r="H279" s="6">
        <v>4</v>
      </c>
      <c r="I279" s="6">
        <v>142</v>
      </c>
      <c r="J279" s="4">
        <v>53.398058249999998</v>
      </c>
      <c r="K279" s="3" t="s">
        <v>54</v>
      </c>
    </row>
    <row r="280" spans="1:11" x14ac:dyDescent="0.25">
      <c r="A280" s="22" t="s">
        <v>533</v>
      </c>
      <c r="B280" s="24" t="s">
        <v>465</v>
      </c>
      <c r="C280" s="3" t="s">
        <v>25</v>
      </c>
      <c r="D280" s="6">
        <v>412312</v>
      </c>
      <c r="E280" s="6">
        <v>7117</v>
      </c>
      <c r="F280" s="6">
        <v>3</v>
      </c>
      <c r="G280" s="6">
        <v>162.1359223</v>
      </c>
      <c r="H280" s="6">
        <v>4</v>
      </c>
      <c r="I280" s="6">
        <v>167</v>
      </c>
      <c r="J280" s="4">
        <v>40.776699030000003</v>
      </c>
      <c r="K280" s="3" t="s">
        <v>26</v>
      </c>
    </row>
    <row r="281" spans="1:11" x14ac:dyDescent="0.25">
      <c r="A281" s="22" t="s">
        <v>534</v>
      </c>
      <c r="B281" s="24" t="s">
        <v>452</v>
      </c>
      <c r="C281" s="3" t="s">
        <v>16</v>
      </c>
      <c r="D281" s="6">
        <v>500020</v>
      </c>
      <c r="E281" s="6">
        <v>7117</v>
      </c>
      <c r="F281" s="6">
        <v>3</v>
      </c>
      <c r="G281" s="6">
        <v>157.28155340000001</v>
      </c>
      <c r="H281" s="6">
        <v>4</v>
      </c>
      <c r="I281" s="6">
        <v>162</v>
      </c>
      <c r="J281" s="4">
        <v>53.398058249999998</v>
      </c>
      <c r="K281" s="3" t="s">
        <v>53</v>
      </c>
    </row>
    <row r="282" spans="1:11" x14ac:dyDescent="0.25">
      <c r="A282" s="22" t="s">
        <v>535</v>
      </c>
      <c r="B282" s="24" t="s">
        <v>417</v>
      </c>
      <c r="C282" s="3" t="s">
        <v>25</v>
      </c>
      <c r="D282" s="6">
        <v>225403</v>
      </c>
      <c r="E282" s="6">
        <v>7117</v>
      </c>
      <c r="F282" s="6">
        <v>3</v>
      </c>
      <c r="G282" s="6">
        <v>170.8737864</v>
      </c>
      <c r="H282" s="6">
        <v>5</v>
      </c>
      <c r="I282" s="6">
        <v>176</v>
      </c>
      <c r="J282" s="4">
        <v>53.398058249999998</v>
      </c>
      <c r="K282" s="3" t="s">
        <v>41</v>
      </c>
    </row>
    <row r="283" spans="1:11" x14ac:dyDescent="0.25">
      <c r="A283" s="22" t="s">
        <v>536</v>
      </c>
      <c r="B283" s="24" t="s">
        <v>417</v>
      </c>
      <c r="C283" s="3" t="s">
        <v>16</v>
      </c>
      <c r="D283" s="6">
        <v>273212</v>
      </c>
      <c r="E283" s="6">
        <v>7117</v>
      </c>
      <c r="F283" s="6">
        <v>3</v>
      </c>
      <c r="G283" s="6">
        <v>150.4854369</v>
      </c>
      <c r="H283" s="6">
        <v>4</v>
      </c>
      <c r="I283" s="6">
        <v>155</v>
      </c>
      <c r="J283" s="4">
        <v>53.398058249999998</v>
      </c>
      <c r="K283" s="3" t="s">
        <v>53</v>
      </c>
    </row>
    <row r="284" spans="1:11" x14ac:dyDescent="0.25">
      <c r="A284" s="22" t="s">
        <v>537</v>
      </c>
      <c r="B284" s="24" t="s">
        <v>426</v>
      </c>
      <c r="C284" s="3" t="s">
        <v>25</v>
      </c>
      <c r="D284" s="6">
        <v>110043</v>
      </c>
      <c r="E284" s="6">
        <v>7117</v>
      </c>
      <c r="F284" s="6">
        <v>3</v>
      </c>
      <c r="G284" s="6">
        <v>169.90291260000001</v>
      </c>
      <c r="H284" s="6">
        <v>5</v>
      </c>
      <c r="I284" s="6">
        <v>175</v>
      </c>
      <c r="J284" s="4">
        <v>48.543689319999999</v>
      </c>
      <c r="K284" s="3" t="s">
        <v>28</v>
      </c>
    </row>
    <row r="285" spans="1:11" x14ac:dyDescent="0.25">
      <c r="A285" s="22" t="s">
        <v>538</v>
      </c>
      <c r="B285" s="24" t="s">
        <v>501</v>
      </c>
      <c r="C285" s="3" t="s">
        <v>21</v>
      </c>
      <c r="D285" s="6">
        <v>752038</v>
      </c>
      <c r="E285" s="6">
        <v>7117</v>
      </c>
      <c r="F285" s="6">
        <v>3</v>
      </c>
      <c r="G285" s="6">
        <v>202.91262140000001</v>
      </c>
      <c r="H285" s="6">
        <v>6</v>
      </c>
      <c r="I285" s="6">
        <v>209</v>
      </c>
      <c r="J285" s="4">
        <v>81.553398060000006</v>
      </c>
      <c r="K285" s="3" t="s">
        <v>22</v>
      </c>
    </row>
    <row r="286" spans="1:11" x14ac:dyDescent="0.25">
      <c r="A286" s="22" t="s">
        <v>539</v>
      </c>
      <c r="B286" s="24" t="s">
        <v>426</v>
      </c>
      <c r="C286" s="3" t="s">
        <v>16</v>
      </c>
      <c r="D286" s="6">
        <v>845401</v>
      </c>
      <c r="E286" s="6">
        <v>7117</v>
      </c>
      <c r="F286" s="6">
        <v>3</v>
      </c>
      <c r="G286" s="6">
        <v>202.91262140000001</v>
      </c>
      <c r="H286" s="6">
        <v>6</v>
      </c>
      <c r="I286" s="6">
        <v>209</v>
      </c>
      <c r="J286" s="4">
        <v>81.553398060000006</v>
      </c>
      <c r="K286" s="3" t="s">
        <v>10</v>
      </c>
    </row>
    <row r="287" spans="1:11" x14ac:dyDescent="0.25">
      <c r="A287" s="22" t="s">
        <v>540</v>
      </c>
      <c r="B287" s="24" t="s">
        <v>521</v>
      </c>
      <c r="C287" s="3" t="s">
        <v>9</v>
      </c>
      <c r="D287" s="6">
        <v>110091</v>
      </c>
      <c r="E287" s="6">
        <v>7117</v>
      </c>
      <c r="F287" s="6">
        <v>3</v>
      </c>
      <c r="G287" s="6">
        <v>171.84466019999999</v>
      </c>
      <c r="H287" s="6">
        <v>5</v>
      </c>
      <c r="I287" s="6">
        <v>177</v>
      </c>
      <c r="J287" s="4">
        <v>50.485436890000003</v>
      </c>
      <c r="K287" s="3" t="s">
        <v>19</v>
      </c>
    </row>
    <row r="288" spans="1:11" x14ac:dyDescent="0.25">
      <c r="A288" s="22" t="s">
        <v>541</v>
      </c>
      <c r="B288" s="24" t="s">
        <v>521</v>
      </c>
      <c r="C288" s="3" t="s">
        <v>21</v>
      </c>
      <c r="D288" s="6">
        <v>324008</v>
      </c>
      <c r="E288" s="6">
        <v>7117</v>
      </c>
      <c r="F288" s="6">
        <v>3</v>
      </c>
      <c r="G288" s="6">
        <v>139.80582519999999</v>
      </c>
      <c r="H288" s="6">
        <v>4</v>
      </c>
      <c r="I288" s="6">
        <v>144</v>
      </c>
      <c r="J288" s="4">
        <v>42.7184466</v>
      </c>
      <c r="K288" s="3" t="s">
        <v>19</v>
      </c>
    </row>
    <row r="289" spans="1:11" x14ac:dyDescent="0.25">
      <c r="A289" s="22" t="s">
        <v>542</v>
      </c>
      <c r="B289" s="24" t="s">
        <v>485</v>
      </c>
      <c r="C289" s="3" t="s">
        <v>52</v>
      </c>
      <c r="D289" s="6">
        <v>700040</v>
      </c>
      <c r="E289" s="6">
        <v>7117</v>
      </c>
      <c r="F289" s="6">
        <v>3</v>
      </c>
      <c r="G289" s="6">
        <v>91.262135900000004</v>
      </c>
      <c r="H289" s="6">
        <v>2</v>
      </c>
      <c r="I289" s="6">
        <v>94</v>
      </c>
      <c r="J289" s="4">
        <v>43.689320389999999</v>
      </c>
      <c r="K289" s="3" t="s">
        <v>39</v>
      </c>
    </row>
    <row r="290" spans="1:11" x14ac:dyDescent="0.25">
      <c r="A290" s="22" t="s">
        <v>543</v>
      </c>
      <c r="B290" s="24" t="s">
        <v>461</v>
      </c>
      <c r="C290" s="3" t="s">
        <v>16</v>
      </c>
      <c r="D290" s="6">
        <v>798620</v>
      </c>
      <c r="E290" s="6">
        <v>7117</v>
      </c>
      <c r="F290" s="6">
        <v>3</v>
      </c>
      <c r="G290" s="6">
        <v>174.7572816</v>
      </c>
      <c r="H290" s="6">
        <v>5</v>
      </c>
      <c r="I290" s="6">
        <v>180</v>
      </c>
      <c r="J290" s="4">
        <v>53.398058249999998</v>
      </c>
      <c r="K290" s="3" t="s">
        <v>41</v>
      </c>
    </row>
    <row r="291" spans="1:11" x14ac:dyDescent="0.25">
      <c r="A291" s="22" t="s">
        <v>544</v>
      </c>
      <c r="B291" s="24" t="s">
        <v>401</v>
      </c>
      <c r="C291" s="3" t="s">
        <v>16</v>
      </c>
      <c r="D291" s="6">
        <v>824102</v>
      </c>
      <c r="E291" s="6">
        <v>7117</v>
      </c>
      <c r="F291" s="6">
        <v>3</v>
      </c>
      <c r="G291" s="6">
        <v>165.04854370000001</v>
      </c>
      <c r="H291" s="6">
        <v>4</v>
      </c>
      <c r="I291" s="6">
        <v>170</v>
      </c>
      <c r="J291" s="4">
        <v>43.689320389999999</v>
      </c>
      <c r="K291" s="3" t="s">
        <v>14</v>
      </c>
    </row>
    <row r="292" spans="1:11" x14ac:dyDescent="0.25">
      <c r="A292" s="22" t="s">
        <v>545</v>
      </c>
      <c r="B292" s="24" t="s">
        <v>401</v>
      </c>
      <c r="C292" s="3" t="s">
        <v>16</v>
      </c>
      <c r="D292" s="6">
        <v>804407</v>
      </c>
      <c r="E292" s="6">
        <v>7117</v>
      </c>
      <c r="F292" s="6">
        <v>3</v>
      </c>
      <c r="G292" s="6">
        <v>152.42718450000001</v>
      </c>
      <c r="H292" s="6">
        <v>4</v>
      </c>
      <c r="I292" s="6">
        <v>157</v>
      </c>
      <c r="J292" s="4">
        <v>34.951456309999998</v>
      </c>
      <c r="K292" s="3" t="s">
        <v>28</v>
      </c>
    </row>
    <row r="293" spans="1:11" x14ac:dyDescent="0.25">
      <c r="A293" s="22" t="s">
        <v>546</v>
      </c>
      <c r="B293" s="24" t="s">
        <v>450</v>
      </c>
      <c r="C293" s="3" t="s">
        <v>21</v>
      </c>
      <c r="D293" s="6">
        <v>212601</v>
      </c>
      <c r="E293" s="6">
        <v>7117</v>
      </c>
      <c r="F293" s="6">
        <v>3</v>
      </c>
      <c r="G293" s="6">
        <v>149.5145631</v>
      </c>
      <c r="H293" s="6">
        <v>4</v>
      </c>
      <c r="I293" s="6">
        <v>154</v>
      </c>
      <c r="J293" s="4">
        <v>37.86407767</v>
      </c>
      <c r="K293" s="3" t="s">
        <v>10</v>
      </c>
    </row>
    <row r="294" spans="1:11" x14ac:dyDescent="0.25">
      <c r="A294" s="22" t="s">
        <v>547</v>
      </c>
      <c r="B294" s="24" t="s">
        <v>461</v>
      </c>
      <c r="C294" s="3" t="s">
        <v>16</v>
      </c>
      <c r="D294" s="6">
        <v>110040</v>
      </c>
      <c r="E294" s="6">
        <v>7117</v>
      </c>
      <c r="F294" s="6">
        <v>3</v>
      </c>
      <c r="G294" s="6">
        <v>179.6116505</v>
      </c>
      <c r="H294" s="6">
        <v>5</v>
      </c>
      <c r="I294" s="6">
        <v>185</v>
      </c>
      <c r="J294" s="4">
        <v>75.728155340000001</v>
      </c>
      <c r="K294" s="3" t="s">
        <v>22</v>
      </c>
    </row>
    <row r="295" spans="1:11" x14ac:dyDescent="0.25">
      <c r="A295" s="22" t="s">
        <v>548</v>
      </c>
      <c r="B295" s="24" t="s">
        <v>521</v>
      </c>
      <c r="C295" s="3" t="s">
        <v>16</v>
      </c>
      <c r="D295" s="6">
        <v>223226</v>
      </c>
      <c r="E295" s="6">
        <v>7117</v>
      </c>
      <c r="F295" s="6">
        <v>3</v>
      </c>
      <c r="G295" s="6">
        <v>171.84466019999999</v>
      </c>
      <c r="H295" s="6">
        <v>5</v>
      </c>
      <c r="I295" s="6">
        <v>177</v>
      </c>
      <c r="J295" s="4">
        <v>53.398058249999998</v>
      </c>
      <c r="K295" s="3" t="s">
        <v>12</v>
      </c>
    </row>
    <row r="296" spans="1:11" x14ac:dyDescent="0.25">
      <c r="A296" s="22" t="s">
        <v>549</v>
      </c>
      <c r="B296" s="24" t="s">
        <v>485</v>
      </c>
      <c r="C296" s="3" t="s">
        <v>16</v>
      </c>
      <c r="D296" s="6">
        <v>802312</v>
      </c>
      <c r="E296" s="6">
        <v>7117</v>
      </c>
      <c r="F296" s="6">
        <v>3</v>
      </c>
      <c r="G296" s="6">
        <v>128.15533980000001</v>
      </c>
      <c r="H296" s="6">
        <v>3</v>
      </c>
      <c r="I296" s="6">
        <v>132</v>
      </c>
      <c r="J296" s="4">
        <v>33.980582519999999</v>
      </c>
      <c r="K296" s="3" t="s">
        <v>63</v>
      </c>
    </row>
    <row r="297" spans="1:11" x14ac:dyDescent="0.25">
      <c r="A297" s="22" t="s">
        <v>550</v>
      </c>
      <c r="B297" s="24" t="s">
        <v>551</v>
      </c>
      <c r="C297" s="3" t="s">
        <v>71</v>
      </c>
      <c r="D297" s="6">
        <v>711106</v>
      </c>
      <c r="E297" s="6">
        <v>7117</v>
      </c>
      <c r="F297" s="6">
        <v>3</v>
      </c>
      <c r="G297" s="6">
        <v>155.33980579999999</v>
      </c>
      <c r="H297" s="6">
        <v>4</v>
      </c>
      <c r="I297" s="6">
        <v>160</v>
      </c>
      <c r="J297" s="4">
        <v>37.86407767</v>
      </c>
      <c r="K297" s="3" t="s">
        <v>10</v>
      </c>
    </row>
    <row r="298" spans="1:11" x14ac:dyDescent="0.25">
      <c r="A298" s="22" t="s">
        <v>552</v>
      </c>
      <c r="B298" s="24" t="s">
        <v>496</v>
      </c>
      <c r="C298" s="3" t="s">
        <v>16</v>
      </c>
      <c r="D298" s="6">
        <v>313027</v>
      </c>
      <c r="E298" s="6">
        <v>7117</v>
      </c>
      <c r="F298" s="6">
        <v>3</v>
      </c>
      <c r="G298" s="6">
        <v>174.7572816</v>
      </c>
      <c r="H298" s="6">
        <v>5</v>
      </c>
      <c r="I298" s="6">
        <v>180</v>
      </c>
      <c r="J298" s="4">
        <v>53.398058249999998</v>
      </c>
      <c r="K298" s="3" t="s">
        <v>37</v>
      </c>
    </row>
    <row r="299" spans="1:11" x14ac:dyDescent="0.25">
      <c r="A299" s="22" t="s">
        <v>553</v>
      </c>
      <c r="B299" s="24" t="s">
        <v>554</v>
      </c>
      <c r="C299" s="3" t="s">
        <v>16</v>
      </c>
      <c r="D299" s="6">
        <v>683110</v>
      </c>
      <c r="E299" s="6">
        <v>7117</v>
      </c>
      <c r="F299" s="6">
        <v>3</v>
      </c>
      <c r="G299" s="6">
        <v>219.41747570000001</v>
      </c>
      <c r="H299" s="6">
        <v>6</v>
      </c>
      <c r="I299" s="6">
        <v>226</v>
      </c>
      <c r="J299" s="4">
        <v>93.203883500000003</v>
      </c>
      <c r="K299" s="3" t="s">
        <v>41</v>
      </c>
    </row>
    <row r="300" spans="1:11" x14ac:dyDescent="0.25">
      <c r="A300" s="22" t="s">
        <v>555</v>
      </c>
      <c r="B300" s="24" t="s">
        <v>452</v>
      </c>
      <c r="C300" s="3" t="s">
        <v>16</v>
      </c>
      <c r="D300" s="6">
        <v>144601</v>
      </c>
      <c r="E300" s="6">
        <v>7117</v>
      </c>
      <c r="F300" s="6">
        <v>3</v>
      </c>
      <c r="G300" s="6">
        <v>163.1067961</v>
      </c>
      <c r="H300" s="6">
        <v>4</v>
      </c>
      <c r="I300" s="6">
        <v>168</v>
      </c>
      <c r="J300" s="4">
        <v>41.747572820000002</v>
      </c>
      <c r="K300" s="3" t="s">
        <v>10</v>
      </c>
    </row>
    <row r="301" spans="1:11" x14ac:dyDescent="0.25">
      <c r="A301" s="22" t="s">
        <v>556</v>
      </c>
      <c r="B301" s="24" t="s">
        <v>436</v>
      </c>
      <c r="C301" s="3" t="s">
        <v>16</v>
      </c>
      <c r="D301" s="6">
        <v>600112</v>
      </c>
      <c r="E301" s="6">
        <v>7117</v>
      </c>
      <c r="F301" s="6">
        <v>3</v>
      </c>
      <c r="G301" s="6">
        <v>155.33980579999999</v>
      </c>
      <c r="H301" s="6">
        <v>4</v>
      </c>
      <c r="I301" s="6">
        <v>160</v>
      </c>
      <c r="J301" s="4">
        <v>37.86407767</v>
      </c>
      <c r="K301" s="3" t="s">
        <v>19</v>
      </c>
    </row>
    <row r="302" spans="1:11" x14ac:dyDescent="0.25">
      <c r="A302" s="22" t="s">
        <v>557</v>
      </c>
      <c r="B302" s="24" t="s">
        <v>431</v>
      </c>
      <c r="C302" s="3" t="s">
        <v>25</v>
      </c>
      <c r="D302" s="6">
        <v>522101</v>
      </c>
      <c r="E302" s="6">
        <v>7117</v>
      </c>
      <c r="F302" s="6">
        <v>3</v>
      </c>
      <c r="G302" s="6">
        <v>167.96116499999999</v>
      </c>
      <c r="H302" s="6">
        <v>5</v>
      </c>
      <c r="I302" s="6">
        <v>173</v>
      </c>
      <c r="J302" s="4">
        <v>46.601941750000002</v>
      </c>
      <c r="K302" s="3" t="s">
        <v>10</v>
      </c>
    </row>
    <row r="303" spans="1:11" x14ac:dyDescent="0.25">
      <c r="A303" s="22" t="s">
        <v>558</v>
      </c>
      <c r="B303" s="24" t="s">
        <v>452</v>
      </c>
      <c r="C303" s="3" t="s">
        <v>16</v>
      </c>
      <c r="D303" s="6">
        <v>245304</v>
      </c>
      <c r="E303" s="6">
        <v>7117</v>
      </c>
      <c r="F303" s="6">
        <v>3</v>
      </c>
      <c r="G303" s="6">
        <v>182.52427180000001</v>
      </c>
      <c r="H303" s="6">
        <v>5</v>
      </c>
      <c r="I303" s="6">
        <v>188</v>
      </c>
      <c r="J303" s="4">
        <v>41.747572820000002</v>
      </c>
      <c r="K303" s="3" t="s">
        <v>10</v>
      </c>
    </row>
    <row r="304" spans="1:11" x14ac:dyDescent="0.25">
      <c r="A304" s="22" t="s">
        <v>559</v>
      </c>
      <c r="B304" s="24" t="s">
        <v>521</v>
      </c>
      <c r="C304" s="3" t="s">
        <v>9</v>
      </c>
      <c r="D304" s="6">
        <v>282007</v>
      </c>
      <c r="E304" s="6">
        <v>7117</v>
      </c>
      <c r="F304" s="6">
        <v>3</v>
      </c>
      <c r="G304" s="6">
        <v>165.04854370000001</v>
      </c>
      <c r="H304" s="6">
        <v>4</v>
      </c>
      <c r="I304" s="6">
        <v>170</v>
      </c>
      <c r="J304" s="4">
        <v>47.57281553</v>
      </c>
      <c r="K304" s="3" t="s">
        <v>98</v>
      </c>
    </row>
    <row r="305" spans="1:11" x14ac:dyDescent="0.25">
      <c r="A305" s="22" t="s">
        <v>560</v>
      </c>
      <c r="B305" s="24" t="s">
        <v>431</v>
      </c>
      <c r="C305" s="3" t="s">
        <v>16</v>
      </c>
      <c r="D305" s="6">
        <v>425502</v>
      </c>
      <c r="E305" s="6">
        <v>7117</v>
      </c>
      <c r="F305" s="6">
        <v>3</v>
      </c>
      <c r="G305" s="6">
        <v>160.19417480000001</v>
      </c>
      <c r="H305" s="6">
        <v>4</v>
      </c>
      <c r="I305" s="6">
        <v>165</v>
      </c>
      <c r="J305" s="4">
        <v>42.7184466</v>
      </c>
      <c r="K305" s="3" t="s">
        <v>10</v>
      </c>
    </row>
    <row r="306" spans="1:11" x14ac:dyDescent="0.25">
      <c r="A306" s="22" t="s">
        <v>561</v>
      </c>
      <c r="B306" s="24" t="s">
        <v>403</v>
      </c>
      <c r="C306" s="3" t="s">
        <v>16</v>
      </c>
      <c r="D306" s="6">
        <v>263148</v>
      </c>
      <c r="E306" s="6">
        <v>7117</v>
      </c>
      <c r="F306" s="6">
        <v>3</v>
      </c>
      <c r="G306" s="6">
        <v>164.07766989999999</v>
      </c>
      <c r="H306" s="6">
        <v>4</v>
      </c>
      <c r="I306" s="6">
        <v>169</v>
      </c>
      <c r="J306" s="4">
        <v>42.7184466</v>
      </c>
      <c r="K306" s="3" t="s">
        <v>41</v>
      </c>
    </row>
    <row r="307" spans="1:11" x14ac:dyDescent="0.25">
      <c r="A307" s="22" t="s">
        <v>562</v>
      </c>
      <c r="B307" s="24" t="s">
        <v>554</v>
      </c>
      <c r="C307" s="3" t="s">
        <v>16</v>
      </c>
      <c r="D307" s="6">
        <v>500034</v>
      </c>
      <c r="E307" s="6">
        <v>7117</v>
      </c>
      <c r="F307" s="6">
        <v>3</v>
      </c>
      <c r="G307" s="6">
        <v>161.16504850000001</v>
      </c>
      <c r="H307" s="6">
        <v>4</v>
      </c>
      <c r="I307" s="6">
        <v>166</v>
      </c>
      <c r="J307" s="4">
        <v>39.805825239999997</v>
      </c>
      <c r="K307" s="3" t="s">
        <v>22</v>
      </c>
    </row>
    <row r="308" spans="1:11" x14ac:dyDescent="0.25">
      <c r="A308" s="22" t="s">
        <v>563</v>
      </c>
      <c r="B308" s="24" t="s">
        <v>485</v>
      </c>
      <c r="C308" s="3" t="s">
        <v>25</v>
      </c>
      <c r="D308" s="6">
        <v>277213</v>
      </c>
      <c r="E308" s="6">
        <v>7117</v>
      </c>
      <c r="F308" s="6">
        <v>3</v>
      </c>
      <c r="G308" s="6">
        <v>182.52427180000001</v>
      </c>
      <c r="H308" s="6">
        <v>5</v>
      </c>
      <c r="I308" s="6">
        <v>188</v>
      </c>
      <c r="J308" s="4">
        <v>61.165048540000001</v>
      </c>
      <c r="K308" s="3" t="s">
        <v>169</v>
      </c>
    </row>
    <row r="309" spans="1:11" x14ac:dyDescent="0.25">
      <c r="A309" s="22" t="s">
        <v>564</v>
      </c>
      <c r="B309" s="24" t="s">
        <v>403</v>
      </c>
      <c r="C309" s="3" t="s">
        <v>16</v>
      </c>
      <c r="D309" s="6">
        <v>202135</v>
      </c>
      <c r="E309" s="6">
        <v>7117</v>
      </c>
      <c r="F309" s="6">
        <v>3</v>
      </c>
      <c r="G309" s="6">
        <v>157.28155340000001</v>
      </c>
      <c r="H309" s="6">
        <v>4</v>
      </c>
      <c r="I309" s="6">
        <v>162</v>
      </c>
      <c r="J309" s="4">
        <v>53.398058249999998</v>
      </c>
      <c r="K309" s="3" t="s">
        <v>22</v>
      </c>
    </row>
    <row r="310" spans="1:11" x14ac:dyDescent="0.25">
      <c r="A310" s="22" t="s">
        <v>565</v>
      </c>
      <c r="B310" s="24" t="s">
        <v>436</v>
      </c>
      <c r="C310" s="3" t="s">
        <v>16</v>
      </c>
      <c r="D310" s="6">
        <v>803116</v>
      </c>
      <c r="E310" s="6">
        <v>7117</v>
      </c>
      <c r="F310" s="6">
        <v>3</v>
      </c>
      <c r="G310" s="6">
        <v>156.31067959999999</v>
      </c>
      <c r="H310" s="6">
        <v>4</v>
      </c>
      <c r="I310" s="6">
        <v>161</v>
      </c>
      <c r="J310" s="4">
        <v>38.834951459999999</v>
      </c>
      <c r="K310" s="3" t="s">
        <v>10</v>
      </c>
    </row>
    <row r="311" spans="1:11" x14ac:dyDescent="0.25">
      <c r="A311" s="22" t="s">
        <v>566</v>
      </c>
      <c r="B311" s="24" t="s">
        <v>485</v>
      </c>
      <c r="C311" s="3" t="s">
        <v>52</v>
      </c>
      <c r="D311" s="6">
        <v>224201</v>
      </c>
      <c r="E311" s="6">
        <v>7117</v>
      </c>
      <c r="F311" s="6">
        <v>3</v>
      </c>
      <c r="G311" s="6">
        <v>186.40776700000001</v>
      </c>
      <c r="H311" s="6">
        <v>5</v>
      </c>
      <c r="I311" s="6">
        <v>192</v>
      </c>
      <c r="J311" s="4">
        <v>46.601941750000002</v>
      </c>
      <c r="K311" s="3" t="s">
        <v>10</v>
      </c>
    </row>
    <row r="312" spans="1:11" x14ac:dyDescent="0.25">
      <c r="A312" s="22" t="s">
        <v>567</v>
      </c>
      <c r="B312" s="24" t="s">
        <v>408</v>
      </c>
      <c r="C312" s="3" t="s">
        <v>52</v>
      </c>
      <c r="D312" s="6">
        <v>585401</v>
      </c>
      <c r="E312" s="6">
        <v>7117</v>
      </c>
      <c r="F312" s="6">
        <v>3</v>
      </c>
      <c r="G312" s="6">
        <v>285.43689319999999</v>
      </c>
      <c r="H312" s="6">
        <v>8</v>
      </c>
      <c r="I312" s="6">
        <v>294</v>
      </c>
      <c r="J312" s="4">
        <v>97.087378639999997</v>
      </c>
      <c r="K312" s="3" t="s">
        <v>967</v>
      </c>
    </row>
    <row r="313" spans="1:11" x14ac:dyDescent="0.25">
      <c r="A313" s="22" t="s">
        <v>568</v>
      </c>
      <c r="B313" s="24" t="s">
        <v>554</v>
      </c>
      <c r="C313" s="3" t="s">
        <v>16</v>
      </c>
      <c r="D313" s="6">
        <v>250004</v>
      </c>
      <c r="E313" s="6">
        <v>7117</v>
      </c>
      <c r="F313" s="6">
        <v>3</v>
      </c>
      <c r="G313" s="6">
        <v>140.77669900000001</v>
      </c>
      <c r="H313" s="6">
        <v>4</v>
      </c>
      <c r="I313" s="6">
        <v>145</v>
      </c>
      <c r="J313" s="4">
        <v>37.86407767</v>
      </c>
      <c r="K313" s="3" t="s">
        <v>49</v>
      </c>
    </row>
    <row r="314" spans="1:11" x14ac:dyDescent="0.25">
      <c r="A314" s="22" t="s">
        <v>569</v>
      </c>
      <c r="B314" s="24" t="s">
        <v>406</v>
      </c>
      <c r="C314" s="3" t="s">
        <v>16</v>
      </c>
      <c r="D314" s="6">
        <v>788720</v>
      </c>
      <c r="E314" s="6">
        <v>7117</v>
      </c>
      <c r="F314" s="6">
        <v>3</v>
      </c>
      <c r="G314" s="6">
        <v>187.3786408</v>
      </c>
      <c r="H314" s="6">
        <v>5</v>
      </c>
      <c r="I314" s="6">
        <v>193</v>
      </c>
      <c r="J314" s="4">
        <v>32.038834950000002</v>
      </c>
      <c r="K314" s="3" t="s">
        <v>49</v>
      </c>
    </row>
    <row r="315" spans="1:11" x14ac:dyDescent="0.25">
      <c r="A315" s="22" t="s">
        <v>570</v>
      </c>
      <c r="B315" s="24" t="s">
        <v>436</v>
      </c>
      <c r="C315" s="3" t="s">
        <v>16</v>
      </c>
      <c r="D315" s="6">
        <v>673014</v>
      </c>
      <c r="E315" s="6">
        <v>7117</v>
      </c>
      <c r="F315" s="6">
        <v>3</v>
      </c>
      <c r="G315" s="6">
        <v>156.31067959999999</v>
      </c>
      <c r="H315" s="6">
        <v>4</v>
      </c>
      <c r="I315" s="6">
        <v>161</v>
      </c>
      <c r="J315" s="4">
        <v>52.42718447</v>
      </c>
      <c r="K315" s="3" t="s">
        <v>37</v>
      </c>
    </row>
    <row r="316" spans="1:11" x14ac:dyDescent="0.25">
      <c r="A316" s="22" t="s">
        <v>571</v>
      </c>
      <c r="B316" s="24" t="s">
        <v>515</v>
      </c>
      <c r="C316" s="3" t="s">
        <v>16</v>
      </c>
      <c r="D316" s="6">
        <v>500034</v>
      </c>
      <c r="E316" s="6">
        <v>7117</v>
      </c>
      <c r="F316" s="6">
        <v>3</v>
      </c>
      <c r="G316" s="6">
        <v>160.19417480000001</v>
      </c>
      <c r="H316" s="6">
        <v>4</v>
      </c>
      <c r="I316" s="6">
        <v>165</v>
      </c>
      <c r="J316" s="4">
        <v>33.980582519999999</v>
      </c>
      <c r="K316" s="3" t="s">
        <v>46</v>
      </c>
    </row>
    <row r="317" spans="1:11" x14ac:dyDescent="0.25">
      <c r="A317" s="22" t="s">
        <v>572</v>
      </c>
      <c r="B317" s="24" t="s">
        <v>417</v>
      </c>
      <c r="C317" s="3" t="s">
        <v>9</v>
      </c>
      <c r="D317" s="6">
        <v>402103</v>
      </c>
      <c r="E317" s="6">
        <v>7117</v>
      </c>
      <c r="F317" s="6">
        <v>3</v>
      </c>
      <c r="G317" s="6">
        <v>136.8932039</v>
      </c>
      <c r="H317" s="6">
        <v>4</v>
      </c>
      <c r="I317" s="6">
        <v>141</v>
      </c>
      <c r="J317" s="4">
        <v>49.514563109999997</v>
      </c>
      <c r="K317" s="3" t="s">
        <v>23</v>
      </c>
    </row>
    <row r="318" spans="1:11" x14ac:dyDescent="0.25">
      <c r="A318" s="22" t="s">
        <v>573</v>
      </c>
      <c r="B318" s="24" t="s">
        <v>426</v>
      </c>
      <c r="C318" s="3" t="s">
        <v>16</v>
      </c>
      <c r="D318" s="6">
        <v>621701</v>
      </c>
      <c r="E318" s="6">
        <v>7117</v>
      </c>
      <c r="F318" s="6">
        <v>3</v>
      </c>
      <c r="G318" s="6">
        <v>174.7572816</v>
      </c>
      <c r="H318" s="6">
        <v>5</v>
      </c>
      <c r="I318" s="6">
        <v>180</v>
      </c>
      <c r="J318" s="4">
        <v>57.2815534</v>
      </c>
      <c r="K318" s="3" t="s">
        <v>26</v>
      </c>
    </row>
    <row r="319" spans="1:11" x14ac:dyDescent="0.25">
      <c r="A319" s="22" t="s">
        <v>574</v>
      </c>
      <c r="B319" s="24" t="s">
        <v>431</v>
      </c>
      <c r="C319" s="3" t="s">
        <v>52</v>
      </c>
      <c r="D319" s="6">
        <v>244231</v>
      </c>
      <c r="E319" s="6">
        <v>7117</v>
      </c>
      <c r="F319" s="6">
        <v>3</v>
      </c>
      <c r="G319" s="6">
        <v>171.84466019999999</v>
      </c>
      <c r="H319" s="6">
        <v>5</v>
      </c>
      <c r="I319" s="6">
        <v>177</v>
      </c>
      <c r="J319" s="4">
        <v>50.485436890000003</v>
      </c>
      <c r="K319" s="3" t="s">
        <v>22</v>
      </c>
    </row>
    <row r="320" spans="1:11" x14ac:dyDescent="0.25">
      <c r="A320" s="22" t="s">
        <v>575</v>
      </c>
      <c r="B320" s="24" t="s">
        <v>515</v>
      </c>
      <c r="C320" s="3" t="s">
        <v>16</v>
      </c>
      <c r="D320" s="6">
        <v>328001</v>
      </c>
      <c r="E320" s="6">
        <v>7117</v>
      </c>
      <c r="F320" s="6">
        <v>3</v>
      </c>
      <c r="G320" s="6">
        <v>179.6116505</v>
      </c>
      <c r="H320" s="6">
        <v>5</v>
      </c>
      <c r="I320" s="6">
        <v>185</v>
      </c>
      <c r="J320" s="4">
        <v>53.398058249999998</v>
      </c>
      <c r="K320" s="3" t="s">
        <v>22</v>
      </c>
    </row>
    <row r="321" spans="1:11" x14ac:dyDescent="0.25">
      <c r="A321" s="22" t="s">
        <v>576</v>
      </c>
      <c r="B321" s="24" t="s">
        <v>450</v>
      </c>
      <c r="C321" s="3" t="s">
        <v>16</v>
      </c>
      <c r="D321" s="6">
        <v>412312</v>
      </c>
      <c r="E321" s="6">
        <v>7117</v>
      </c>
      <c r="F321" s="6">
        <v>3</v>
      </c>
      <c r="G321" s="6">
        <v>124.2718447</v>
      </c>
      <c r="H321" s="6">
        <v>3</v>
      </c>
      <c r="I321" s="6">
        <v>128</v>
      </c>
      <c r="J321" s="4">
        <v>33.980582519999999</v>
      </c>
      <c r="K321" s="3" t="s">
        <v>46</v>
      </c>
    </row>
    <row r="322" spans="1:11" x14ac:dyDescent="0.25">
      <c r="A322" s="22" t="s">
        <v>577</v>
      </c>
      <c r="B322" s="24" t="s">
        <v>438</v>
      </c>
      <c r="C322" s="3" t="s">
        <v>52</v>
      </c>
      <c r="D322" s="6">
        <v>735220</v>
      </c>
      <c r="E322" s="6">
        <v>7117</v>
      </c>
      <c r="F322" s="6">
        <v>3</v>
      </c>
      <c r="G322" s="6">
        <v>171.84466019999999</v>
      </c>
      <c r="H322" s="6">
        <v>5</v>
      </c>
      <c r="I322" s="6">
        <v>177</v>
      </c>
      <c r="J322" s="4">
        <v>50.485436890000003</v>
      </c>
      <c r="K322" s="3" t="s">
        <v>22</v>
      </c>
    </row>
    <row r="323" spans="1:11" x14ac:dyDescent="0.25">
      <c r="A323" s="22" t="s">
        <v>578</v>
      </c>
      <c r="B323" s="24" t="s">
        <v>403</v>
      </c>
      <c r="C323" s="3" t="s">
        <v>16</v>
      </c>
      <c r="D323" s="6">
        <v>131001</v>
      </c>
      <c r="E323" s="6">
        <v>7117</v>
      </c>
      <c r="F323" s="6">
        <v>3</v>
      </c>
      <c r="G323" s="6">
        <v>189.32038829999999</v>
      </c>
      <c r="H323" s="6">
        <v>5</v>
      </c>
      <c r="I323" s="6">
        <v>195</v>
      </c>
      <c r="J323" s="4">
        <v>71.844660189999999</v>
      </c>
      <c r="K323" s="3" t="s">
        <v>35</v>
      </c>
    </row>
    <row r="324" spans="1:11" x14ac:dyDescent="0.25">
      <c r="A324" s="22" t="s">
        <v>579</v>
      </c>
      <c r="B324" s="24" t="s">
        <v>417</v>
      </c>
      <c r="C324" s="3" t="s">
        <v>25</v>
      </c>
      <c r="D324" s="6">
        <v>852214</v>
      </c>
      <c r="E324" s="6">
        <v>7117</v>
      </c>
      <c r="F324" s="6">
        <v>3</v>
      </c>
      <c r="G324" s="6">
        <v>156.31067959999999</v>
      </c>
      <c r="H324" s="6">
        <v>4</v>
      </c>
      <c r="I324" s="6">
        <v>161</v>
      </c>
      <c r="J324" s="4">
        <v>52.42718447</v>
      </c>
      <c r="K324" s="3" t="s">
        <v>37</v>
      </c>
    </row>
    <row r="325" spans="1:11" x14ac:dyDescent="0.25">
      <c r="A325" s="22" t="s">
        <v>580</v>
      </c>
      <c r="B325" s="24" t="s">
        <v>431</v>
      </c>
      <c r="C325" s="3" t="s">
        <v>9</v>
      </c>
      <c r="D325" s="6">
        <v>243201</v>
      </c>
      <c r="E325" s="6">
        <v>7117</v>
      </c>
      <c r="F325" s="6">
        <v>3</v>
      </c>
      <c r="G325" s="6">
        <v>184.46601939999999</v>
      </c>
      <c r="H325" s="6">
        <v>5</v>
      </c>
      <c r="I325" s="6">
        <v>190</v>
      </c>
      <c r="J325" s="4">
        <v>43.689320389999999</v>
      </c>
      <c r="K325" s="3" t="s">
        <v>27</v>
      </c>
    </row>
    <row r="326" spans="1:11" x14ac:dyDescent="0.25">
      <c r="A326" s="22" t="s">
        <v>581</v>
      </c>
      <c r="B326" s="24" t="s">
        <v>431</v>
      </c>
      <c r="C326" s="3" t="s">
        <v>52</v>
      </c>
      <c r="D326" s="6">
        <v>802132</v>
      </c>
      <c r="E326" s="6">
        <v>7117</v>
      </c>
      <c r="F326" s="6">
        <v>3</v>
      </c>
      <c r="G326" s="6">
        <v>182.52427180000001</v>
      </c>
      <c r="H326" s="6">
        <v>5</v>
      </c>
      <c r="I326" s="6">
        <v>188</v>
      </c>
      <c r="J326" s="4">
        <v>41.747572820000002</v>
      </c>
      <c r="K326" s="3" t="s">
        <v>10</v>
      </c>
    </row>
    <row r="327" spans="1:11" x14ac:dyDescent="0.25">
      <c r="A327" s="22" t="s">
        <v>582</v>
      </c>
      <c r="B327" s="24" t="s">
        <v>465</v>
      </c>
      <c r="C327" s="3" t="s">
        <v>25</v>
      </c>
      <c r="D327" s="6">
        <v>362266</v>
      </c>
      <c r="E327" s="6">
        <v>7117</v>
      </c>
      <c r="F327" s="6">
        <v>3</v>
      </c>
      <c r="G327" s="6">
        <v>169.90291260000001</v>
      </c>
      <c r="H327" s="6">
        <v>5</v>
      </c>
      <c r="I327" s="6">
        <v>175</v>
      </c>
      <c r="J327" s="4">
        <v>52.42718447</v>
      </c>
      <c r="K327" s="3" t="s">
        <v>10</v>
      </c>
    </row>
    <row r="328" spans="1:11" x14ac:dyDescent="0.25">
      <c r="A328" s="22" t="s">
        <v>583</v>
      </c>
      <c r="B328" s="24" t="s">
        <v>438</v>
      </c>
      <c r="C328" s="3" t="s">
        <v>25</v>
      </c>
      <c r="D328" s="6">
        <v>143001</v>
      </c>
      <c r="E328" s="6">
        <v>7117</v>
      </c>
      <c r="F328" s="6">
        <v>3</v>
      </c>
      <c r="G328" s="6">
        <v>162.1359223</v>
      </c>
      <c r="H328" s="6">
        <v>4</v>
      </c>
      <c r="I328" s="6">
        <v>167</v>
      </c>
      <c r="J328" s="4">
        <v>40.776699030000003</v>
      </c>
      <c r="K328" s="3" t="s">
        <v>44</v>
      </c>
    </row>
    <row r="329" spans="1:11" x14ac:dyDescent="0.25">
      <c r="A329" s="22" t="s">
        <v>584</v>
      </c>
      <c r="B329" s="24" t="s">
        <v>426</v>
      </c>
      <c r="C329" s="3" t="s">
        <v>21</v>
      </c>
      <c r="D329" s="6">
        <v>843313</v>
      </c>
      <c r="E329" s="6">
        <v>7117</v>
      </c>
      <c r="F329" s="6">
        <v>3</v>
      </c>
      <c r="G329" s="6">
        <v>174.7572816</v>
      </c>
      <c r="H329" s="6">
        <v>5</v>
      </c>
      <c r="I329" s="6">
        <v>180</v>
      </c>
      <c r="J329" s="4">
        <v>53.398058249999998</v>
      </c>
      <c r="K329" s="3" t="s">
        <v>26</v>
      </c>
    </row>
    <row r="330" spans="1:11" x14ac:dyDescent="0.25">
      <c r="A330" s="22" t="s">
        <v>585</v>
      </c>
      <c r="B330" s="24" t="s">
        <v>417</v>
      </c>
      <c r="C330" s="3" t="s">
        <v>16</v>
      </c>
      <c r="D330" s="6">
        <v>281004</v>
      </c>
      <c r="E330" s="6">
        <v>7117</v>
      </c>
      <c r="F330" s="6">
        <v>3</v>
      </c>
      <c r="G330" s="6">
        <v>149.5145631</v>
      </c>
      <c r="H330" s="6">
        <v>4</v>
      </c>
      <c r="I330" s="6">
        <v>154</v>
      </c>
      <c r="J330" s="4">
        <v>52.42718447</v>
      </c>
      <c r="K330" s="3" t="s">
        <v>39</v>
      </c>
    </row>
    <row r="331" spans="1:11" x14ac:dyDescent="0.25">
      <c r="A331" s="22" t="s">
        <v>586</v>
      </c>
      <c r="B331" s="24" t="s">
        <v>515</v>
      </c>
      <c r="C331" s="3" t="s">
        <v>16</v>
      </c>
      <c r="D331" s="6">
        <v>400037</v>
      </c>
      <c r="E331" s="6">
        <v>330410</v>
      </c>
      <c r="F331" s="6">
        <v>18</v>
      </c>
      <c r="G331" s="6">
        <v>216.9491525</v>
      </c>
      <c r="H331" s="6">
        <v>39</v>
      </c>
      <c r="I331" s="6">
        <v>256</v>
      </c>
      <c r="J331" s="4">
        <v>32.203389829999999</v>
      </c>
      <c r="K331" s="3" t="s">
        <v>10</v>
      </c>
    </row>
    <row r="332" spans="1:11" x14ac:dyDescent="0.25">
      <c r="A332" s="22" t="s">
        <v>587</v>
      </c>
      <c r="B332" s="24" t="s">
        <v>403</v>
      </c>
      <c r="C332" s="3" t="s">
        <v>16</v>
      </c>
      <c r="D332" s="6">
        <v>560064</v>
      </c>
      <c r="E332" s="6">
        <v>7117</v>
      </c>
      <c r="F332" s="6">
        <v>3</v>
      </c>
      <c r="G332" s="6">
        <v>141.7475728</v>
      </c>
      <c r="H332" s="6">
        <v>4</v>
      </c>
      <c r="I332" s="6">
        <v>146</v>
      </c>
      <c r="J332" s="4">
        <v>37.86407767</v>
      </c>
      <c r="K332" s="3" t="s">
        <v>10</v>
      </c>
    </row>
    <row r="333" spans="1:11" x14ac:dyDescent="0.25">
      <c r="A333" s="22" t="s">
        <v>588</v>
      </c>
      <c r="B333" s="24" t="s">
        <v>417</v>
      </c>
      <c r="C333" s="3" t="s">
        <v>16</v>
      </c>
      <c r="D333" s="6">
        <v>403720</v>
      </c>
      <c r="E333" s="6">
        <v>7117</v>
      </c>
      <c r="F333" s="6">
        <v>3</v>
      </c>
      <c r="G333" s="6">
        <v>149.5145631</v>
      </c>
      <c r="H333" s="6">
        <v>4</v>
      </c>
      <c r="I333" s="6">
        <v>154</v>
      </c>
      <c r="J333" s="4">
        <v>52.42718447</v>
      </c>
      <c r="K333" s="3" t="s">
        <v>39</v>
      </c>
    </row>
    <row r="334" spans="1:11" x14ac:dyDescent="0.25">
      <c r="A334" s="22" t="s">
        <v>589</v>
      </c>
      <c r="B334" s="24" t="s">
        <v>465</v>
      </c>
      <c r="C334" s="3" t="s">
        <v>16</v>
      </c>
      <c r="D334" s="6">
        <v>110029</v>
      </c>
      <c r="E334" s="6">
        <v>7117</v>
      </c>
      <c r="F334" s="6">
        <v>3</v>
      </c>
      <c r="G334" s="6">
        <v>151.45631069999999</v>
      </c>
      <c r="H334" s="6">
        <v>4</v>
      </c>
      <c r="I334" s="6">
        <v>156</v>
      </c>
      <c r="J334" s="4">
        <v>39.805825239999997</v>
      </c>
      <c r="K334" s="3" t="s">
        <v>10</v>
      </c>
    </row>
    <row r="335" spans="1:11" x14ac:dyDescent="0.25">
      <c r="A335" s="22" t="s">
        <v>590</v>
      </c>
      <c r="B335" s="24" t="s">
        <v>465</v>
      </c>
      <c r="C335" s="3" t="s">
        <v>16</v>
      </c>
      <c r="D335" s="6">
        <v>110019</v>
      </c>
      <c r="E335" s="6">
        <v>7117</v>
      </c>
      <c r="F335" s="6">
        <v>3</v>
      </c>
      <c r="G335" s="6">
        <v>163.1067961</v>
      </c>
      <c r="H335" s="6">
        <v>4</v>
      </c>
      <c r="I335" s="6">
        <v>168</v>
      </c>
      <c r="J335" s="4">
        <v>45.631067960000003</v>
      </c>
      <c r="K335" s="3" t="s">
        <v>28</v>
      </c>
    </row>
    <row r="336" spans="1:11" x14ac:dyDescent="0.25">
      <c r="A336" s="22" t="s">
        <v>591</v>
      </c>
      <c r="B336" s="24" t="s">
        <v>417</v>
      </c>
      <c r="C336" s="3" t="s">
        <v>21</v>
      </c>
      <c r="D336" s="6">
        <v>140507</v>
      </c>
      <c r="E336" s="6">
        <v>7117</v>
      </c>
      <c r="F336" s="6">
        <v>3</v>
      </c>
      <c r="G336" s="6">
        <v>157.28155340000001</v>
      </c>
      <c r="H336" s="6">
        <v>4</v>
      </c>
      <c r="I336" s="6">
        <v>162</v>
      </c>
      <c r="J336" s="4">
        <v>39.805825239999997</v>
      </c>
      <c r="K336" s="3" t="s">
        <v>10</v>
      </c>
    </row>
    <row r="337" spans="1:11" x14ac:dyDescent="0.25">
      <c r="A337" s="22" t="s">
        <v>592</v>
      </c>
      <c r="B337" s="24" t="s">
        <v>411</v>
      </c>
      <c r="C337" s="3" t="s">
        <v>16</v>
      </c>
      <c r="D337" s="6">
        <v>110084</v>
      </c>
      <c r="E337" s="6">
        <v>7117</v>
      </c>
      <c r="F337" s="6">
        <v>3</v>
      </c>
      <c r="G337" s="6">
        <v>201.94174760000001</v>
      </c>
      <c r="H337" s="6">
        <v>6</v>
      </c>
      <c r="I337" s="6">
        <v>208</v>
      </c>
      <c r="J337" s="4">
        <v>46.601941750000002</v>
      </c>
      <c r="K337" s="3" t="s">
        <v>46</v>
      </c>
    </row>
    <row r="338" spans="1:11" x14ac:dyDescent="0.25">
      <c r="A338" s="22" t="s">
        <v>593</v>
      </c>
      <c r="B338" s="24" t="s">
        <v>438</v>
      </c>
      <c r="C338" s="3" t="s">
        <v>16</v>
      </c>
      <c r="D338" s="6">
        <v>500034</v>
      </c>
      <c r="E338" s="6">
        <v>7117</v>
      </c>
      <c r="F338" s="6">
        <v>3</v>
      </c>
      <c r="G338" s="6">
        <v>141.7475728</v>
      </c>
      <c r="H338" s="6">
        <v>4</v>
      </c>
      <c r="I338" s="6">
        <v>146</v>
      </c>
      <c r="J338" s="4">
        <v>37.86407767</v>
      </c>
      <c r="K338" s="3" t="s">
        <v>10</v>
      </c>
    </row>
    <row r="339" spans="1:11" x14ac:dyDescent="0.25">
      <c r="A339" s="22" t="s">
        <v>594</v>
      </c>
      <c r="B339" s="24" t="s">
        <v>551</v>
      </c>
      <c r="C339" s="3" t="s">
        <v>9</v>
      </c>
      <c r="D339" s="6">
        <v>497220</v>
      </c>
      <c r="E339" s="6">
        <v>7117</v>
      </c>
      <c r="F339" s="6">
        <v>3</v>
      </c>
      <c r="G339" s="6">
        <v>339.80582520000002</v>
      </c>
      <c r="H339" s="6">
        <v>10</v>
      </c>
      <c r="I339" s="6">
        <v>350</v>
      </c>
      <c r="J339" s="4">
        <v>104.85436893000001</v>
      </c>
      <c r="K339" s="3" t="s">
        <v>12</v>
      </c>
    </row>
    <row r="340" spans="1:11" x14ac:dyDescent="0.25">
      <c r="A340" s="22" t="s">
        <v>595</v>
      </c>
      <c r="B340" s="24" t="s">
        <v>465</v>
      </c>
      <c r="C340" s="3" t="s">
        <v>21</v>
      </c>
      <c r="D340" s="6">
        <v>122001</v>
      </c>
      <c r="E340" s="6">
        <v>7117</v>
      </c>
      <c r="F340" s="6">
        <v>3</v>
      </c>
      <c r="G340" s="6">
        <v>139.80582519999999</v>
      </c>
      <c r="H340" s="6">
        <v>4</v>
      </c>
      <c r="I340" s="6">
        <v>144</v>
      </c>
      <c r="J340" s="4">
        <v>45.631067960000003</v>
      </c>
      <c r="K340" s="3" t="s">
        <v>28</v>
      </c>
    </row>
    <row r="341" spans="1:11" x14ac:dyDescent="0.25">
      <c r="A341" s="22" t="s">
        <v>596</v>
      </c>
      <c r="B341" s="24" t="s">
        <v>422</v>
      </c>
      <c r="C341" s="3" t="s">
        <v>16</v>
      </c>
      <c r="D341" s="6">
        <v>244412</v>
      </c>
      <c r="E341" s="6">
        <v>7117</v>
      </c>
      <c r="F341" s="6">
        <v>3</v>
      </c>
      <c r="G341" s="6">
        <v>158.2524272</v>
      </c>
      <c r="H341" s="6">
        <v>4</v>
      </c>
      <c r="I341" s="6">
        <v>163</v>
      </c>
      <c r="J341" s="4">
        <v>61.165048540000001</v>
      </c>
      <c r="K341" s="3" t="s">
        <v>98</v>
      </c>
    </row>
    <row r="342" spans="1:11" x14ac:dyDescent="0.25">
      <c r="A342" s="22" t="s">
        <v>597</v>
      </c>
      <c r="B342" s="24" t="s">
        <v>452</v>
      </c>
      <c r="C342" s="3" t="s">
        <v>16</v>
      </c>
      <c r="D342" s="6">
        <v>233303</v>
      </c>
      <c r="E342" s="6">
        <v>7117</v>
      </c>
      <c r="F342" s="6">
        <v>3</v>
      </c>
      <c r="G342" s="6">
        <v>156.31067959999999</v>
      </c>
      <c r="H342" s="6">
        <v>4</v>
      </c>
      <c r="I342" s="6">
        <v>161</v>
      </c>
      <c r="J342" s="4">
        <v>38.834951459999999</v>
      </c>
      <c r="K342" s="3" t="s">
        <v>14</v>
      </c>
    </row>
    <row r="343" spans="1:11" x14ac:dyDescent="0.25">
      <c r="A343" s="22" t="s">
        <v>598</v>
      </c>
      <c r="B343" s="24" t="s">
        <v>452</v>
      </c>
      <c r="C343" s="3" t="s">
        <v>25</v>
      </c>
      <c r="D343" s="6">
        <v>232102</v>
      </c>
      <c r="E343" s="6">
        <v>7117</v>
      </c>
      <c r="F343" s="6">
        <v>3</v>
      </c>
      <c r="G343" s="6">
        <v>172.81553400000001</v>
      </c>
      <c r="H343" s="6">
        <v>5</v>
      </c>
      <c r="I343" s="6">
        <v>178</v>
      </c>
      <c r="J343" s="4">
        <v>68.932038829999996</v>
      </c>
      <c r="K343" s="3" t="s">
        <v>22</v>
      </c>
    </row>
    <row r="344" spans="1:11" x14ac:dyDescent="0.25">
      <c r="A344" s="22" t="s">
        <v>599</v>
      </c>
      <c r="B344" s="24" t="s">
        <v>600</v>
      </c>
      <c r="C344" s="3" t="s">
        <v>33</v>
      </c>
      <c r="D344" s="6">
        <v>502110</v>
      </c>
      <c r="E344" s="6">
        <v>7117</v>
      </c>
      <c r="F344" s="6">
        <v>3</v>
      </c>
      <c r="G344" s="6">
        <v>159.22330099999999</v>
      </c>
      <c r="H344" s="6">
        <v>4</v>
      </c>
      <c r="I344" s="6">
        <v>164</v>
      </c>
      <c r="J344" s="4">
        <v>37.86407767</v>
      </c>
      <c r="K344" s="3" t="s">
        <v>23</v>
      </c>
    </row>
    <row r="345" spans="1:11" x14ac:dyDescent="0.25">
      <c r="A345" s="22" t="s">
        <v>601</v>
      </c>
      <c r="B345" s="24" t="s">
        <v>403</v>
      </c>
      <c r="C345" s="3" t="s">
        <v>16</v>
      </c>
      <c r="D345" s="6">
        <v>273402</v>
      </c>
      <c r="E345" s="6">
        <v>7117</v>
      </c>
      <c r="F345" s="6">
        <v>3</v>
      </c>
      <c r="G345" s="6">
        <v>158.2524272</v>
      </c>
      <c r="H345" s="6">
        <v>4</v>
      </c>
      <c r="I345" s="6">
        <v>163</v>
      </c>
      <c r="J345" s="4">
        <v>40.776699030000003</v>
      </c>
      <c r="K345" s="3" t="s">
        <v>22</v>
      </c>
    </row>
    <row r="346" spans="1:11" x14ac:dyDescent="0.25">
      <c r="A346" s="22" t="s">
        <v>602</v>
      </c>
      <c r="B346" s="24" t="s">
        <v>408</v>
      </c>
      <c r="C346" s="3" t="s">
        <v>16</v>
      </c>
      <c r="D346" s="6">
        <v>761009</v>
      </c>
      <c r="E346" s="6">
        <v>7117</v>
      </c>
      <c r="F346" s="6">
        <v>3</v>
      </c>
      <c r="G346" s="6">
        <v>151.45631069999999</v>
      </c>
      <c r="H346" s="6">
        <v>4</v>
      </c>
      <c r="I346" s="6">
        <v>156</v>
      </c>
      <c r="J346" s="4">
        <v>33.980582519999999</v>
      </c>
      <c r="K346" s="3" t="s">
        <v>10</v>
      </c>
    </row>
    <row r="347" spans="1:11" x14ac:dyDescent="0.25">
      <c r="A347" s="22" t="s">
        <v>603</v>
      </c>
      <c r="B347" s="24" t="s">
        <v>406</v>
      </c>
      <c r="C347" s="3" t="s">
        <v>16</v>
      </c>
      <c r="D347" s="6">
        <v>500064</v>
      </c>
      <c r="E347" s="6">
        <v>7117</v>
      </c>
      <c r="F347" s="6">
        <v>3</v>
      </c>
      <c r="G347" s="6">
        <v>156.31067959999999</v>
      </c>
      <c r="H347" s="6">
        <v>4</v>
      </c>
      <c r="I347" s="6">
        <v>161</v>
      </c>
      <c r="J347" s="4">
        <v>38.834951459999999</v>
      </c>
      <c r="K347" s="3" t="s">
        <v>23</v>
      </c>
    </row>
    <row r="348" spans="1:11" x14ac:dyDescent="0.25">
      <c r="A348" s="22" t="s">
        <v>604</v>
      </c>
      <c r="B348" s="24" t="s">
        <v>473</v>
      </c>
      <c r="C348" s="3" t="s">
        <v>16</v>
      </c>
      <c r="D348" s="6">
        <v>222303</v>
      </c>
      <c r="E348" s="6">
        <v>7117</v>
      </c>
      <c r="F348" s="6">
        <v>3</v>
      </c>
      <c r="G348" s="6">
        <v>160.19417480000001</v>
      </c>
      <c r="H348" s="6">
        <v>4</v>
      </c>
      <c r="I348" s="6">
        <v>165</v>
      </c>
      <c r="J348" s="4">
        <v>38.834951459999999</v>
      </c>
      <c r="K348" s="3" t="s">
        <v>26</v>
      </c>
    </row>
    <row r="349" spans="1:11" x14ac:dyDescent="0.25">
      <c r="A349" s="22" t="s">
        <v>605</v>
      </c>
      <c r="B349" s="24" t="s">
        <v>600</v>
      </c>
      <c r="C349" s="3" t="s">
        <v>21</v>
      </c>
      <c r="D349" s="6">
        <v>752111</v>
      </c>
      <c r="E349" s="6">
        <v>7117</v>
      </c>
      <c r="F349" s="6">
        <v>3</v>
      </c>
      <c r="G349" s="6">
        <v>141.7475728</v>
      </c>
      <c r="H349" s="6">
        <v>4</v>
      </c>
      <c r="I349" s="6">
        <v>146</v>
      </c>
      <c r="J349" s="4">
        <v>37.86407767</v>
      </c>
      <c r="K349" s="3" t="s">
        <v>37</v>
      </c>
    </row>
    <row r="350" spans="1:11" x14ac:dyDescent="0.25">
      <c r="A350" s="22" t="s">
        <v>606</v>
      </c>
      <c r="B350" s="24" t="s">
        <v>600</v>
      </c>
      <c r="C350" s="3" t="s">
        <v>16</v>
      </c>
      <c r="D350" s="6">
        <v>854202</v>
      </c>
      <c r="E350" s="6">
        <v>7117</v>
      </c>
      <c r="F350" s="6">
        <v>3</v>
      </c>
      <c r="G350" s="6">
        <v>155.33980579999999</v>
      </c>
      <c r="H350" s="6">
        <v>4</v>
      </c>
      <c r="I350" s="6">
        <v>160</v>
      </c>
      <c r="J350" s="4">
        <v>37.86407767</v>
      </c>
      <c r="K350" s="3" t="s">
        <v>41</v>
      </c>
    </row>
    <row r="351" spans="1:11" x14ac:dyDescent="0.25">
      <c r="A351" s="22" t="s">
        <v>607</v>
      </c>
      <c r="B351" s="24" t="s">
        <v>485</v>
      </c>
      <c r="C351" s="3" t="s">
        <v>25</v>
      </c>
      <c r="D351" s="6">
        <v>829144</v>
      </c>
      <c r="E351" s="6">
        <v>7117</v>
      </c>
      <c r="F351" s="6">
        <v>3</v>
      </c>
      <c r="G351" s="6">
        <v>91.262135900000004</v>
      </c>
      <c r="H351" s="6">
        <v>2</v>
      </c>
      <c r="I351" s="6">
        <v>94</v>
      </c>
      <c r="J351" s="4">
        <v>43.689320389999999</v>
      </c>
      <c r="K351" s="3" t="s">
        <v>39</v>
      </c>
    </row>
    <row r="352" spans="1:11" x14ac:dyDescent="0.25">
      <c r="A352" s="22" t="s">
        <v>608</v>
      </c>
      <c r="B352" s="24" t="s">
        <v>501</v>
      </c>
      <c r="C352" s="3" t="s">
        <v>16</v>
      </c>
      <c r="D352" s="6">
        <v>572101</v>
      </c>
      <c r="E352" s="6">
        <v>7117</v>
      </c>
      <c r="F352" s="6">
        <v>3</v>
      </c>
      <c r="G352" s="6">
        <v>165.04854370000001</v>
      </c>
      <c r="H352" s="6">
        <v>4</v>
      </c>
      <c r="I352" s="6">
        <v>170</v>
      </c>
      <c r="J352" s="4">
        <v>53.398058249999998</v>
      </c>
      <c r="K352" s="3" t="s">
        <v>28</v>
      </c>
    </row>
    <row r="353" spans="1:11" x14ac:dyDescent="0.25">
      <c r="A353" s="22" t="s">
        <v>609</v>
      </c>
      <c r="B353" s="24" t="s">
        <v>600</v>
      </c>
      <c r="C353" s="3" t="s">
        <v>25</v>
      </c>
      <c r="D353" s="6">
        <v>229202</v>
      </c>
      <c r="E353" s="6">
        <v>7117</v>
      </c>
      <c r="F353" s="6">
        <v>3</v>
      </c>
      <c r="G353" s="6">
        <v>145.631068</v>
      </c>
      <c r="H353" s="6">
        <v>4</v>
      </c>
      <c r="I353" s="6">
        <v>150</v>
      </c>
      <c r="J353" s="4">
        <v>51.456310680000001</v>
      </c>
      <c r="K353" s="3" t="s">
        <v>46</v>
      </c>
    </row>
    <row r="354" spans="1:11" x14ac:dyDescent="0.25">
      <c r="A354" s="22" t="s">
        <v>610</v>
      </c>
      <c r="B354" s="24" t="s">
        <v>419</v>
      </c>
      <c r="C354" s="3" t="s">
        <v>52</v>
      </c>
      <c r="D354" s="6">
        <v>581118</v>
      </c>
      <c r="E354" s="6">
        <v>7117</v>
      </c>
      <c r="F354" s="6">
        <v>3</v>
      </c>
      <c r="G354" s="6">
        <v>132.03883500000001</v>
      </c>
      <c r="H354" s="6">
        <v>3</v>
      </c>
      <c r="I354" s="6">
        <v>136</v>
      </c>
      <c r="J354" s="4">
        <v>37.86407767</v>
      </c>
      <c r="K354" s="3" t="s">
        <v>14</v>
      </c>
    </row>
    <row r="355" spans="1:11" x14ac:dyDescent="0.25">
      <c r="A355" s="22" t="s">
        <v>611</v>
      </c>
      <c r="B355" s="24" t="s">
        <v>551</v>
      </c>
      <c r="C355" s="3" t="s">
        <v>25</v>
      </c>
      <c r="D355" s="6">
        <v>413112</v>
      </c>
      <c r="E355" s="6">
        <v>7117</v>
      </c>
      <c r="F355" s="6">
        <v>3</v>
      </c>
      <c r="G355" s="6">
        <v>147.57281549999999</v>
      </c>
      <c r="H355" s="6">
        <v>4</v>
      </c>
      <c r="I355" s="6">
        <v>152</v>
      </c>
      <c r="J355" s="4">
        <v>53.398058249999998</v>
      </c>
      <c r="K355" s="3" t="s">
        <v>53</v>
      </c>
    </row>
    <row r="356" spans="1:11" x14ac:dyDescent="0.25">
      <c r="A356" s="22" t="s">
        <v>612</v>
      </c>
      <c r="B356" s="24" t="s">
        <v>551</v>
      </c>
      <c r="C356" s="3" t="s">
        <v>16</v>
      </c>
      <c r="D356" s="6">
        <v>828130</v>
      </c>
      <c r="E356" s="6">
        <v>7117</v>
      </c>
      <c r="F356" s="6">
        <v>3</v>
      </c>
      <c r="G356" s="6">
        <v>165.04854370000001</v>
      </c>
      <c r="H356" s="6">
        <v>4</v>
      </c>
      <c r="I356" s="6">
        <v>170</v>
      </c>
      <c r="J356" s="4">
        <v>43.689320389999999</v>
      </c>
      <c r="K356" s="3" t="s">
        <v>14</v>
      </c>
    </row>
    <row r="357" spans="1:11" x14ac:dyDescent="0.25">
      <c r="A357" s="22" t="s">
        <v>613</v>
      </c>
      <c r="B357" s="24" t="s">
        <v>403</v>
      </c>
      <c r="C357" s="3" t="s">
        <v>16</v>
      </c>
      <c r="D357" s="6">
        <v>488333</v>
      </c>
      <c r="E357" s="6">
        <v>7117</v>
      </c>
      <c r="F357" s="6">
        <v>3</v>
      </c>
      <c r="G357" s="6">
        <v>136.8932039</v>
      </c>
      <c r="H357" s="6">
        <v>4</v>
      </c>
      <c r="I357" s="6">
        <v>141</v>
      </c>
      <c r="J357" s="4">
        <v>33.980582519999999</v>
      </c>
      <c r="K357" s="3" t="s">
        <v>46</v>
      </c>
    </row>
    <row r="358" spans="1:11" x14ac:dyDescent="0.25">
      <c r="A358" s="22" t="s">
        <v>614</v>
      </c>
      <c r="B358" s="24" t="s">
        <v>422</v>
      </c>
      <c r="C358" s="3" t="s">
        <v>16</v>
      </c>
      <c r="D358" s="6">
        <v>440022</v>
      </c>
      <c r="E358" s="6">
        <v>7117</v>
      </c>
      <c r="F358" s="6">
        <v>3</v>
      </c>
      <c r="G358" s="6">
        <v>256.31067960000001</v>
      </c>
      <c r="H358" s="6">
        <v>7</v>
      </c>
      <c r="I358" s="6">
        <v>264</v>
      </c>
      <c r="J358" s="4">
        <v>67.961165050000005</v>
      </c>
      <c r="K358" s="3" t="s">
        <v>10</v>
      </c>
    </row>
    <row r="359" spans="1:11" x14ac:dyDescent="0.25">
      <c r="A359" s="22" t="s">
        <v>615</v>
      </c>
      <c r="B359" s="24" t="s">
        <v>551</v>
      </c>
      <c r="C359" s="3" t="s">
        <v>21</v>
      </c>
      <c r="D359" s="6">
        <v>805107</v>
      </c>
      <c r="E359" s="6">
        <v>7117</v>
      </c>
      <c r="F359" s="6">
        <v>3</v>
      </c>
      <c r="G359" s="6">
        <v>178.6407767</v>
      </c>
      <c r="H359" s="6">
        <v>5</v>
      </c>
      <c r="I359" s="6">
        <v>184</v>
      </c>
      <c r="J359" s="4">
        <v>57.2815534</v>
      </c>
      <c r="K359" s="3" t="s">
        <v>22</v>
      </c>
    </row>
    <row r="360" spans="1:11" x14ac:dyDescent="0.25">
      <c r="A360" s="22" t="s">
        <v>616</v>
      </c>
      <c r="B360" s="24" t="s">
        <v>422</v>
      </c>
      <c r="C360" s="3" t="s">
        <v>16</v>
      </c>
      <c r="D360" s="6">
        <v>305801</v>
      </c>
      <c r="E360" s="6">
        <v>7117</v>
      </c>
      <c r="F360" s="6">
        <v>3</v>
      </c>
      <c r="G360" s="6">
        <v>162.1359223</v>
      </c>
      <c r="H360" s="6">
        <v>4</v>
      </c>
      <c r="I360" s="6">
        <v>167</v>
      </c>
      <c r="J360" s="4">
        <v>43.689320389999999</v>
      </c>
      <c r="K360" s="3" t="s">
        <v>12</v>
      </c>
    </row>
    <row r="361" spans="1:11" x14ac:dyDescent="0.25">
      <c r="A361" s="22" t="s">
        <v>617</v>
      </c>
      <c r="B361" s="24" t="s">
        <v>551</v>
      </c>
      <c r="C361" s="3" t="s">
        <v>16</v>
      </c>
      <c r="D361" s="6">
        <v>700018</v>
      </c>
      <c r="E361" s="6">
        <v>7117</v>
      </c>
      <c r="F361" s="6">
        <v>3</v>
      </c>
      <c r="G361" s="6">
        <v>132.03883500000001</v>
      </c>
      <c r="H361" s="6">
        <v>3</v>
      </c>
      <c r="I361" s="6">
        <v>136</v>
      </c>
      <c r="J361" s="4">
        <v>52.42718447</v>
      </c>
      <c r="K361" s="3" t="s">
        <v>22</v>
      </c>
    </row>
    <row r="362" spans="1:11" x14ac:dyDescent="0.25">
      <c r="A362" s="22" t="s">
        <v>618</v>
      </c>
      <c r="B362" s="24" t="s">
        <v>406</v>
      </c>
      <c r="C362" s="3" t="s">
        <v>21</v>
      </c>
      <c r="D362" s="6">
        <v>302029</v>
      </c>
      <c r="E362" s="6">
        <v>7117</v>
      </c>
      <c r="F362" s="6">
        <v>3</v>
      </c>
      <c r="G362" s="6">
        <v>167.96116499999999</v>
      </c>
      <c r="H362" s="6">
        <v>5</v>
      </c>
      <c r="I362" s="6">
        <v>173</v>
      </c>
      <c r="J362" s="4">
        <v>46.601941750000002</v>
      </c>
      <c r="K362" s="3" t="s">
        <v>28</v>
      </c>
    </row>
    <row r="363" spans="1:11" x14ac:dyDescent="0.25">
      <c r="A363" s="22" t="s">
        <v>619</v>
      </c>
      <c r="B363" s="24" t="s">
        <v>408</v>
      </c>
      <c r="C363" s="3" t="s">
        <v>16</v>
      </c>
      <c r="D363" s="6">
        <v>563127</v>
      </c>
      <c r="E363" s="6">
        <v>7117</v>
      </c>
      <c r="F363" s="6">
        <v>3</v>
      </c>
      <c r="G363" s="6">
        <v>165.04854370000001</v>
      </c>
      <c r="H363" s="6">
        <v>4</v>
      </c>
      <c r="I363" s="6">
        <v>170</v>
      </c>
      <c r="J363" s="4">
        <v>47.57281553</v>
      </c>
      <c r="K363" s="3" t="s">
        <v>10</v>
      </c>
    </row>
    <row r="364" spans="1:11" x14ac:dyDescent="0.25">
      <c r="A364" s="22" t="s">
        <v>620</v>
      </c>
      <c r="B364" s="24" t="s">
        <v>426</v>
      </c>
      <c r="C364" s="3" t="s">
        <v>16</v>
      </c>
      <c r="D364" s="6">
        <v>444806</v>
      </c>
      <c r="E364" s="6">
        <v>7117</v>
      </c>
      <c r="F364" s="6">
        <v>3</v>
      </c>
      <c r="G364" s="6">
        <v>182.52427180000001</v>
      </c>
      <c r="H364" s="6">
        <v>5</v>
      </c>
      <c r="I364" s="6">
        <v>188</v>
      </c>
      <c r="J364" s="4">
        <v>61.165048540000001</v>
      </c>
      <c r="K364" s="3" t="s">
        <v>41</v>
      </c>
    </row>
    <row r="365" spans="1:11" x14ac:dyDescent="0.25">
      <c r="A365" s="22" t="s">
        <v>621</v>
      </c>
      <c r="B365" s="24" t="s">
        <v>450</v>
      </c>
      <c r="C365" s="3" t="s">
        <v>16</v>
      </c>
      <c r="D365" s="6">
        <v>221304</v>
      </c>
      <c r="E365" s="6">
        <v>7117</v>
      </c>
      <c r="F365" s="6">
        <v>3</v>
      </c>
      <c r="G365" s="6">
        <v>190.29126210000001</v>
      </c>
      <c r="H365" s="6">
        <v>5</v>
      </c>
      <c r="I365" s="6">
        <v>196</v>
      </c>
      <c r="J365" s="4">
        <v>56.310679610000001</v>
      </c>
      <c r="K365" s="3" t="s">
        <v>46</v>
      </c>
    </row>
    <row r="366" spans="1:11" x14ac:dyDescent="0.25">
      <c r="A366" s="22" t="s">
        <v>622</v>
      </c>
      <c r="B366" s="24" t="s">
        <v>441</v>
      </c>
      <c r="C366" s="3" t="s">
        <v>25</v>
      </c>
      <c r="D366" s="6">
        <v>804432</v>
      </c>
      <c r="E366" s="6">
        <v>7117</v>
      </c>
      <c r="F366" s="6">
        <v>3</v>
      </c>
      <c r="G366" s="6">
        <v>151.45631069999999</v>
      </c>
      <c r="H366" s="6">
        <v>4</v>
      </c>
      <c r="I366" s="6">
        <v>156</v>
      </c>
      <c r="J366" s="4">
        <v>33.980582519999999</v>
      </c>
      <c r="K366" s="3" t="s">
        <v>49</v>
      </c>
    </row>
    <row r="367" spans="1:11" x14ac:dyDescent="0.25">
      <c r="A367" s="22" t="s">
        <v>623</v>
      </c>
      <c r="B367" s="24" t="s">
        <v>447</v>
      </c>
      <c r="C367" s="3" t="s">
        <v>71</v>
      </c>
      <c r="D367" s="6">
        <v>824211</v>
      </c>
      <c r="E367" s="6">
        <v>7117</v>
      </c>
      <c r="F367" s="6">
        <v>3</v>
      </c>
      <c r="G367" s="6">
        <v>170.8737864</v>
      </c>
      <c r="H367" s="6">
        <v>5</v>
      </c>
      <c r="I367" s="6">
        <v>176</v>
      </c>
      <c r="J367" s="4">
        <v>49.514563109999997</v>
      </c>
      <c r="K367" s="3" t="s">
        <v>26</v>
      </c>
    </row>
    <row r="368" spans="1:11" x14ac:dyDescent="0.25">
      <c r="A368" s="22" t="s">
        <v>624</v>
      </c>
      <c r="B368" s="24" t="s">
        <v>485</v>
      </c>
      <c r="C368" s="3" t="s">
        <v>21</v>
      </c>
      <c r="D368" s="6">
        <v>474006</v>
      </c>
      <c r="E368" s="6">
        <v>7117</v>
      </c>
      <c r="F368" s="6">
        <v>3</v>
      </c>
      <c r="G368" s="6">
        <v>139.80582519999999</v>
      </c>
      <c r="H368" s="6">
        <v>4</v>
      </c>
      <c r="I368" s="6">
        <v>144</v>
      </c>
      <c r="J368" s="4">
        <v>52.42718447</v>
      </c>
      <c r="K368" s="3" t="s">
        <v>19</v>
      </c>
    </row>
    <row r="369" spans="1:11" x14ac:dyDescent="0.25">
      <c r="A369" s="22" t="s">
        <v>625</v>
      </c>
      <c r="B369" s="24" t="s">
        <v>554</v>
      </c>
      <c r="C369" s="3" t="s">
        <v>25</v>
      </c>
      <c r="D369" s="6">
        <v>524322</v>
      </c>
      <c r="E369" s="6">
        <v>7117</v>
      </c>
      <c r="F369" s="6">
        <v>3</v>
      </c>
      <c r="G369" s="6">
        <v>228.15533980000001</v>
      </c>
      <c r="H369" s="6">
        <v>6</v>
      </c>
      <c r="I369" s="6">
        <v>235</v>
      </c>
      <c r="J369" s="4">
        <v>63.106796119999998</v>
      </c>
      <c r="K369" s="3" t="s">
        <v>22</v>
      </c>
    </row>
    <row r="370" spans="1:11" x14ac:dyDescent="0.25">
      <c r="A370" s="22" t="s">
        <v>626</v>
      </c>
      <c r="B370" s="24" t="s">
        <v>627</v>
      </c>
      <c r="C370" s="3" t="s">
        <v>25</v>
      </c>
      <c r="D370" s="6">
        <v>802218</v>
      </c>
      <c r="E370" s="6">
        <v>7117</v>
      </c>
      <c r="F370" s="6">
        <v>3</v>
      </c>
      <c r="G370" s="6">
        <v>180.58252429999999</v>
      </c>
      <c r="H370" s="6">
        <v>5</v>
      </c>
      <c r="I370" s="6">
        <v>186</v>
      </c>
      <c r="J370" s="4">
        <v>59.223300969999997</v>
      </c>
      <c r="K370" s="3" t="s">
        <v>54</v>
      </c>
    </row>
    <row r="371" spans="1:11" x14ac:dyDescent="0.25">
      <c r="A371" s="22" t="s">
        <v>628</v>
      </c>
      <c r="B371" s="24" t="s">
        <v>554</v>
      </c>
      <c r="C371" s="3" t="s">
        <v>9</v>
      </c>
      <c r="D371" s="6">
        <v>766018</v>
      </c>
      <c r="E371" s="6">
        <v>7117</v>
      </c>
      <c r="F371" s="6">
        <v>3</v>
      </c>
      <c r="G371" s="6">
        <v>150.4854369</v>
      </c>
      <c r="H371" s="6">
        <v>4</v>
      </c>
      <c r="I371" s="6">
        <v>155</v>
      </c>
      <c r="J371" s="4">
        <v>33.009708740000001</v>
      </c>
      <c r="K371" s="3" t="s">
        <v>10</v>
      </c>
    </row>
    <row r="372" spans="1:11" x14ac:dyDescent="0.25">
      <c r="A372" s="22" t="s">
        <v>629</v>
      </c>
      <c r="B372" s="24" t="s">
        <v>450</v>
      </c>
      <c r="C372" s="3" t="s">
        <v>9</v>
      </c>
      <c r="D372" s="6">
        <v>232110</v>
      </c>
      <c r="E372" s="6">
        <v>7117</v>
      </c>
      <c r="F372" s="6">
        <v>3</v>
      </c>
      <c r="G372" s="6">
        <v>151.45631069999999</v>
      </c>
      <c r="H372" s="6">
        <v>4</v>
      </c>
      <c r="I372" s="6">
        <v>156</v>
      </c>
      <c r="J372" s="4">
        <v>52.42718447</v>
      </c>
      <c r="K372" s="3" t="s">
        <v>26</v>
      </c>
    </row>
    <row r="373" spans="1:11" x14ac:dyDescent="0.25">
      <c r="A373" s="22" t="s">
        <v>630</v>
      </c>
      <c r="B373" s="24" t="s">
        <v>554</v>
      </c>
      <c r="C373" s="3" t="s">
        <v>52</v>
      </c>
      <c r="D373" s="6">
        <v>700145</v>
      </c>
      <c r="E373" s="6">
        <v>7117</v>
      </c>
      <c r="F373" s="6">
        <v>3</v>
      </c>
      <c r="G373" s="6">
        <v>184.46601939999999</v>
      </c>
      <c r="H373" s="6">
        <v>5</v>
      </c>
      <c r="I373" s="6">
        <v>190</v>
      </c>
      <c r="J373" s="4">
        <v>63.106796119999998</v>
      </c>
      <c r="K373" s="3" t="s">
        <v>26</v>
      </c>
    </row>
    <row r="374" spans="1:11" x14ac:dyDescent="0.25">
      <c r="A374" s="22" t="s">
        <v>631</v>
      </c>
      <c r="B374" s="24" t="s">
        <v>554</v>
      </c>
      <c r="C374" s="3" t="s">
        <v>25</v>
      </c>
      <c r="D374" s="6">
        <v>825412</v>
      </c>
      <c r="E374" s="6">
        <v>7117</v>
      </c>
      <c r="F374" s="6">
        <v>3</v>
      </c>
      <c r="G374" s="6">
        <v>216.5048544</v>
      </c>
      <c r="H374" s="6">
        <v>6</v>
      </c>
      <c r="I374" s="6">
        <v>223</v>
      </c>
      <c r="J374" s="4">
        <v>51.456310680000001</v>
      </c>
      <c r="K374" s="3" t="s">
        <v>10</v>
      </c>
    </row>
    <row r="375" spans="1:11" x14ac:dyDescent="0.25">
      <c r="A375" s="22" t="s">
        <v>632</v>
      </c>
      <c r="B375" s="24" t="s">
        <v>403</v>
      </c>
      <c r="C375" s="3" t="s">
        <v>16</v>
      </c>
      <c r="D375" s="6">
        <v>847115</v>
      </c>
      <c r="E375" s="6">
        <v>7117</v>
      </c>
      <c r="F375" s="6">
        <v>3</v>
      </c>
      <c r="G375" s="6">
        <v>166.9902913</v>
      </c>
      <c r="H375" s="6">
        <v>5</v>
      </c>
      <c r="I375" s="6">
        <v>172</v>
      </c>
      <c r="J375" s="4">
        <v>49.514563109999997</v>
      </c>
      <c r="K375" s="3" t="s">
        <v>41</v>
      </c>
    </row>
    <row r="376" spans="1:11" x14ac:dyDescent="0.25">
      <c r="A376" s="22" t="s">
        <v>633</v>
      </c>
      <c r="B376" s="24" t="s">
        <v>450</v>
      </c>
      <c r="C376" s="3" t="s">
        <v>9</v>
      </c>
      <c r="D376" s="6">
        <v>560026</v>
      </c>
      <c r="E376" s="6">
        <v>7117</v>
      </c>
      <c r="F376" s="6">
        <v>3</v>
      </c>
      <c r="G376" s="6">
        <v>186.40776700000001</v>
      </c>
      <c r="H376" s="6">
        <v>5</v>
      </c>
      <c r="I376" s="6">
        <v>192</v>
      </c>
      <c r="J376" s="4">
        <v>70.873786409999994</v>
      </c>
      <c r="K376" s="3" t="s">
        <v>35</v>
      </c>
    </row>
    <row r="377" spans="1:11" x14ac:dyDescent="0.25">
      <c r="A377" s="22" t="s">
        <v>634</v>
      </c>
      <c r="B377" s="24" t="s">
        <v>403</v>
      </c>
      <c r="C377" s="3" t="s">
        <v>16</v>
      </c>
      <c r="D377" s="6">
        <v>641654</v>
      </c>
      <c r="E377" s="6">
        <v>7117</v>
      </c>
      <c r="F377" s="6">
        <v>3</v>
      </c>
      <c r="G377" s="6">
        <v>161.16504850000001</v>
      </c>
      <c r="H377" s="6">
        <v>4</v>
      </c>
      <c r="I377" s="6">
        <v>166</v>
      </c>
      <c r="J377" s="4">
        <v>39.805825239999997</v>
      </c>
      <c r="K377" s="3" t="s">
        <v>19</v>
      </c>
    </row>
    <row r="378" spans="1:11" x14ac:dyDescent="0.25">
      <c r="A378" s="22" t="s">
        <v>635</v>
      </c>
      <c r="B378" s="24" t="s">
        <v>406</v>
      </c>
      <c r="C378" s="3" t="s">
        <v>16</v>
      </c>
      <c r="D378" s="6">
        <v>282007</v>
      </c>
      <c r="E378" s="6">
        <v>7117</v>
      </c>
      <c r="F378" s="6">
        <v>3</v>
      </c>
      <c r="G378" s="6">
        <v>203.8834951</v>
      </c>
      <c r="H378" s="6">
        <v>6</v>
      </c>
      <c r="I378" s="6">
        <v>210</v>
      </c>
      <c r="J378" s="4">
        <v>38.834951459999999</v>
      </c>
      <c r="K378" s="3" t="s">
        <v>53</v>
      </c>
    </row>
    <row r="379" spans="1:11" x14ac:dyDescent="0.25">
      <c r="A379" s="22" t="s">
        <v>636</v>
      </c>
      <c r="B379" s="24" t="s">
        <v>441</v>
      </c>
      <c r="C379" s="3" t="s">
        <v>9</v>
      </c>
      <c r="D379" s="6">
        <v>285122</v>
      </c>
      <c r="E379" s="6">
        <v>7117</v>
      </c>
      <c r="F379" s="6">
        <v>3</v>
      </c>
      <c r="G379" s="6">
        <v>165.04854370000001</v>
      </c>
      <c r="H379" s="6">
        <v>4</v>
      </c>
      <c r="I379" s="6">
        <v>170</v>
      </c>
      <c r="J379" s="4">
        <v>47.57281553</v>
      </c>
      <c r="K379" s="3" t="s">
        <v>46</v>
      </c>
    </row>
    <row r="380" spans="1:11" x14ac:dyDescent="0.25">
      <c r="A380" s="22" t="s">
        <v>637</v>
      </c>
      <c r="B380" s="24" t="s">
        <v>419</v>
      </c>
      <c r="C380" s="3" t="s">
        <v>16</v>
      </c>
      <c r="D380" s="6">
        <v>522257</v>
      </c>
      <c r="E380" s="6">
        <v>7117</v>
      </c>
      <c r="F380" s="6">
        <v>3</v>
      </c>
      <c r="G380" s="6">
        <v>166.9902913</v>
      </c>
      <c r="H380" s="6">
        <v>5</v>
      </c>
      <c r="I380" s="6">
        <v>172</v>
      </c>
      <c r="J380" s="4">
        <v>45.631067960000003</v>
      </c>
      <c r="K380" s="3" t="s">
        <v>26</v>
      </c>
    </row>
    <row r="381" spans="1:11" x14ac:dyDescent="0.25">
      <c r="A381" s="22" t="s">
        <v>638</v>
      </c>
      <c r="B381" s="24" t="s">
        <v>411</v>
      </c>
      <c r="C381" s="3" t="s">
        <v>25</v>
      </c>
      <c r="D381" s="6">
        <v>413112</v>
      </c>
      <c r="E381" s="6">
        <v>7117</v>
      </c>
      <c r="F381" s="6">
        <v>3</v>
      </c>
      <c r="G381" s="6">
        <v>163.1067961</v>
      </c>
      <c r="H381" s="6">
        <v>4</v>
      </c>
      <c r="I381" s="6">
        <v>168</v>
      </c>
      <c r="J381" s="4">
        <v>45.631067960000003</v>
      </c>
      <c r="K381" s="3" t="s">
        <v>28</v>
      </c>
    </row>
    <row r="382" spans="1:11" x14ac:dyDescent="0.25">
      <c r="A382" s="22" t="s">
        <v>639</v>
      </c>
      <c r="B382" s="24" t="s">
        <v>406</v>
      </c>
      <c r="C382" s="3" t="s">
        <v>16</v>
      </c>
      <c r="D382" s="6">
        <v>841428</v>
      </c>
      <c r="E382" s="6">
        <v>7117</v>
      </c>
      <c r="F382" s="6">
        <v>3</v>
      </c>
      <c r="G382" s="6">
        <v>152.42718450000001</v>
      </c>
      <c r="H382" s="6">
        <v>4</v>
      </c>
      <c r="I382" s="6">
        <v>157</v>
      </c>
      <c r="J382" s="4">
        <v>34.951456309999998</v>
      </c>
      <c r="K382" s="3" t="s">
        <v>46</v>
      </c>
    </row>
    <row r="383" spans="1:11" x14ac:dyDescent="0.25">
      <c r="A383" s="22" t="s">
        <v>640</v>
      </c>
      <c r="B383" s="24" t="s">
        <v>415</v>
      </c>
      <c r="C383" s="3" t="s">
        <v>16</v>
      </c>
      <c r="D383" s="6">
        <v>273304</v>
      </c>
      <c r="E383" s="6">
        <v>7117</v>
      </c>
      <c r="F383" s="6">
        <v>3</v>
      </c>
      <c r="G383" s="6">
        <v>162.1359223</v>
      </c>
      <c r="H383" s="6">
        <v>4</v>
      </c>
      <c r="I383" s="6">
        <v>167</v>
      </c>
      <c r="J383" s="4">
        <v>44.660194169999997</v>
      </c>
      <c r="K383" s="3" t="s">
        <v>28</v>
      </c>
    </row>
    <row r="384" spans="1:11" x14ac:dyDescent="0.25">
      <c r="A384" s="22" t="s">
        <v>641</v>
      </c>
      <c r="B384" s="24" t="s">
        <v>406</v>
      </c>
      <c r="C384" s="3" t="s">
        <v>16</v>
      </c>
      <c r="D384" s="6">
        <v>805111</v>
      </c>
      <c r="E384" s="6">
        <v>7117</v>
      </c>
      <c r="F384" s="6">
        <v>3</v>
      </c>
      <c r="G384" s="6">
        <v>151.45631069999999</v>
      </c>
      <c r="H384" s="6">
        <v>4</v>
      </c>
      <c r="I384" s="6">
        <v>156</v>
      </c>
      <c r="J384" s="4">
        <v>33.980582519999999</v>
      </c>
      <c r="K384" s="3" t="s">
        <v>10</v>
      </c>
    </row>
    <row r="385" spans="1:11" x14ac:dyDescent="0.25">
      <c r="A385" s="22" t="s">
        <v>642</v>
      </c>
      <c r="B385" s="24" t="s">
        <v>600</v>
      </c>
      <c r="C385" s="3" t="s">
        <v>21</v>
      </c>
      <c r="D385" s="6">
        <v>562138</v>
      </c>
      <c r="E385" s="6">
        <v>7117</v>
      </c>
      <c r="F385" s="6">
        <v>3</v>
      </c>
      <c r="G385" s="6">
        <v>141.7475728</v>
      </c>
      <c r="H385" s="6">
        <v>4</v>
      </c>
      <c r="I385" s="6">
        <v>146</v>
      </c>
      <c r="J385" s="4">
        <v>47.57281553</v>
      </c>
      <c r="K385" s="3" t="s">
        <v>14</v>
      </c>
    </row>
    <row r="386" spans="1:11" x14ac:dyDescent="0.25">
      <c r="A386" s="22" t="s">
        <v>643</v>
      </c>
      <c r="B386" s="24" t="s">
        <v>644</v>
      </c>
      <c r="C386" s="3" t="s">
        <v>9</v>
      </c>
      <c r="D386" s="6">
        <v>843334</v>
      </c>
      <c r="E386" s="6">
        <v>7117</v>
      </c>
      <c r="F386" s="6">
        <v>3</v>
      </c>
      <c r="G386" s="6">
        <v>172.81553400000001</v>
      </c>
      <c r="H386" s="6">
        <v>5</v>
      </c>
      <c r="I386" s="6">
        <v>178</v>
      </c>
      <c r="J386" s="4">
        <v>51.456310680000001</v>
      </c>
      <c r="K386" s="3" t="s">
        <v>26</v>
      </c>
    </row>
    <row r="387" spans="1:11" x14ac:dyDescent="0.25">
      <c r="A387" s="22" t="s">
        <v>645</v>
      </c>
      <c r="B387" s="24" t="s">
        <v>646</v>
      </c>
      <c r="C387" s="3" t="s">
        <v>71</v>
      </c>
      <c r="D387" s="6">
        <v>222136</v>
      </c>
      <c r="E387" s="6">
        <v>7117</v>
      </c>
      <c r="F387" s="6">
        <v>3</v>
      </c>
      <c r="G387" s="6">
        <v>172.81553400000001</v>
      </c>
      <c r="H387" s="6">
        <v>5</v>
      </c>
      <c r="I387" s="6">
        <v>178</v>
      </c>
      <c r="J387" s="4">
        <v>55.339805830000003</v>
      </c>
      <c r="K387" s="3" t="s">
        <v>37</v>
      </c>
    </row>
    <row r="388" spans="1:11" x14ac:dyDescent="0.25">
      <c r="A388" s="22" t="s">
        <v>647</v>
      </c>
      <c r="B388" s="24" t="s">
        <v>648</v>
      </c>
      <c r="C388" s="3" t="s">
        <v>71</v>
      </c>
      <c r="D388" s="6">
        <v>581402</v>
      </c>
      <c r="E388" s="6">
        <v>7117</v>
      </c>
      <c r="F388" s="6">
        <v>3</v>
      </c>
      <c r="G388" s="6">
        <v>137.8640777</v>
      </c>
      <c r="H388" s="6">
        <v>4</v>
      </c>
      <c r="I388" s="6">
        <v>142</v>
      </c>
      <c r="J388" s="4">
        <v>40.776699030000003</v>
      </c>
      <c r="K388" s="3" t="s">
        <v>19</v>
      </c>
    </row>
    <row r="389" spans="1:11" x14ac:dyDescent="0.25">
      <c r="A389" s="22" t="s">
        <v>649</v>
      </c>
      <c r="B389" s="24" t="s">
        <v>650</v>
      </c>
      <c r="C389" s="3" t="s">
        <v>21</v>
      </c>
      <c r="D389" s="6">
        <v>400607</v>
      </c>
      <c r="E389" s="6">
        <v>7117</v>
      </c>
      <c r="F389" s="6">
        <v>3</v>
      </c>
      <c r="G389" s="6">
        <v>169.90291260000001</v>
      </c>
      <c r="H389" s="6">
        <v>5</v>
      </c>
      <c r="I389" s="6">
        <v>175</v>
      </c>
      <c r="J389" s="4">
        <v>48.543689319999999</v>
      </c>
      <c r="K389" s="3" t="s">
        <v>26</v>
      </c>
    </row>
    <row r="390" spans="1:11" x14ac:dyDescent="0.25">
      <c r="A390" s="22" t="s">
        <v>651</v>
      </c>
      <c r="B390" s="24" t="s">
        <v>652</v>
      </c>
      <c r="C390" s="3" t="s">
        <v>16</v>
      </c>
      <c r="D390" s="6">
        <v>522402</v>
      </c>
      <c r="E390" s="6">
        <v>330410</v>
      </c>
      <c r="F390" s="6">
        <v>18</v>
      </c>
      <c r="G390" s="6">
        <v>185.59322030000001</v>
      </c>
      <c r="H390" s="6">
        <v>33</v>
      </c>
      <c r="I390" s="6">
        <v>219</v>
      </c>
      <c r="J390" s="4">
        <v>45.762711860000003</v>
      </c>
      <c r="K390" s="3" t="s">
        <v>10</v>
      </c>
    </row>
    <row r="391" spans="1:11" x14ac:dyDescent="0.25">
      <c r="A391" s="22" t="s">
        <v>653</v>
      </c>
      <c r="B391" s="24" t="s">
        <v>654</v>
      </c>
      <c r="C391" s="3" t="s">
        <v>16</v>
      </c>
      <c r="D391" s="6">
        <v>516454</v>
      </c>
      <c r="E391" s="6">
        <v>7117</v>
      </c>
      <c r="F391" s="6">
        <v>3</v>
      </c>
      <c r="G391" s="6">
        <v>164.07766989999999</v>
      </c>
      <c r="H391" s="6">
        <v>4</v>
      </c>
      <c r="I391" s="6">
        <v>169</v>
      </c>
      <c r="J391" s="4">
        <v>42.7184466</v>
      </c>
      <c r="K391" s="3" t="s">
        <v>10</v>
      </c>
    </row>
    <row r="392" spans="1:11" x14ac:dyDescent="0.25">
      <c r="A392" s="22" t="s">
        <v>655</v>
      </c>
      <c r="B392" s="24" t="s">
        <v>656</v>
      </c>
      <c r="C392" s="3" t="s">
        <v>16</v>
      </c>
      <c r="D392" s="6">
        <v>533105</v>
      </c>
      <c r="E392" s="6">
        <v>7117</v>
      </c>
      <c r="F392" s="6">
        <v>3</v>
      </c>
      <c r="G392" s="6">
        <v>160.19417480000001</v>
      </c>
      <c r="H392" s="6">
        <v>4</v>
      </c>
      <c r="I392" s="6">
        <v>165</v>
      </c>
      <c r="J392" s="4">
        <v>63.106796119999998</v>
      </c>
      <c r="K392" s="3" t="s">
        <v>22</v>
      </c>
    </row>
    <row r="393" spans="1:11" x14ac:dyDescent="0.25">
      <c r="A393" s="22" t="s">
        <v>657</v>
      </c>
      <c r="B393" s="24" t="s">
        <v>658</v>
      </c>
      <c r="C393" s="3" t="s">
        <v>9</v>
      </c>
      <c r="D393" s="6">
        <v>496111</v>
      </c>
      <c r="E393" s="6">
        <v>7117</v>
      </c>
      <c r="F393" s="6">
        <v>3</v>
      </c>
      <c r="G393" s="6">
        <v>198.05825239999999</v>
      </c>
      <c r="H393" s="6">
        <v>5</v>
      </c>
      <c r="I393" s="6">
        <v>204</v>
      </c>
      <c r="J393" s="4">
        <v>76.69902913</v>
      </c>
      <c r="K393" s="3" t="s">
        <v>26</v>
      </c>
    </row>
    <row r="394" spans="1:11" x14ac:dyDescent="0.25">
      <c r="A394" s="22" t="s">
        <v>659</v>
      </c>
      <c r="B394" s="24" t="s">
        <v>660</v>
      </c>
      <c r="C394" s="3" t="s">
        <v>16</v>
      </c>
      <c r="D394" s="6">
        <v>845459</v>
      </c>
      <c r="E394" s="6">
        <v>7117</v>
      </c>
      <c r="F394" s="6">
        <v>3</v>
      </c>
      <c r="G394" s="6">
        <v>179.6116505</v>
      </c>
      <c r="H394" s="6">
        <v>5</v>
      </c>
      <c r="I394" s="6">
        <v>185</v>
      </c>
      <c r="J394" s="4">
        <v>38.834951459999999</v>
      </c>
      <c r="K394" s="3" t="s">
        <v>10</v>
      </c>
    </row>
    <row r="395" spans="1:11" x14ac:dyDescent="0.25">
      <c r="A395" s="22" t="s">
        <v>661</v>
      </c>
      <c r="B395" s="24" t="s">
        <v>662</v>
      </c>
      <c r="C395" s="3" t="s">
        <v>16</v>
      </c>
      <c r="D395" s="6">
        <v>852214</v>
      </c>
      <c r="E395" s="6">
        <v>7117</v>
      </c>
      <c r="F395" s="6">
        <v>3</v>
      </c>
      <c r="G395" s="6">
        <v>112.6213592</v>
      </c>
      <c r="H395" s="6">
        <v>3</v>
      </c>
      <c r="I395" s="6">
        <v>116</v>
      </c>
      <c r="J395" s="4">
        <v>33.009708740000001</v>
      </c>
      <c r="K395" s="3" t="s">
        <v>10</v>
      </c>
    </row>
    <row r="396" spans="1:11" x14ac:dyDescent="0.25">
      <c r="A396" s="22" t="s">
        <v>663</v>
      </c>
      <c r="B396" s="24" t="s">
        <v>658</v>
      </c>
      <c r="C396" s="3" t="s">
        <v>9</v>
      </c>
      <c r="D396" s="6">
        <v>600039</v>
      </c>
      <c r="E396" s="6">
        <v>7117</v>
      </c>
      <c r="F396" s="6">
        <v>3</v>
      </c>
      <c r="G396" s="6">
        <v>177.66990290000001</v>
      </c>
      <c r="H396" s="6">
        <v>5</v>
      </c>
      <c r="I396" s="6">
        <v>183</v>
      </c>
      <c r="J396" s="4">
        <v>56.310679610000001</v>
      </c>
      <c r="K396" s="3" t="s">
        <v>22</v>
      </c>
    </row>
    <row r="397" spans="1:11" x14ac:dyDescent="0.25">
      <c r="A397" s="22" t="s">
        <v>664</v>
      </c>
      <c r="B397" s="24" t="s">
        <v>665</v>
      </c>
      <c r="C397" s="3" t="s">
        <v>25</v>
      </c>
      <c r="D397" s="6">
        <v>841428</v>
      </c>
      <c r="E397" s="6">
        <v>7117</v>
      </c>
      <c r="F397" s="6">
        <v>3</v>
      </c>
      <c r="G397" s="6">
        <v>152.42718450000001</v>
      </c>
      <c r="H397" s="6">
        <v>4</v>
      </c>
      <c r="I397" s="6">
        <v>157</v>
      </c>
      <c r="J397" s="4">
        <v>33.980582519999999</v>
      </c>
      <c r="K397" s="3" t="s">
        <v>39</v>
      </c>
    </row>
    <row r="398" spans="1:11" x14ac:dyDescent="0.25">
      <c r="A398" s="22" t="s">
        <v>666</v>
      </c>
      <c r="B398" s="24" t="s">
        <v>656</v>
      </c>
      <c r="C398" s="3" t="s">
        <v>16</v>
      </c>
      <c r="D398" s="6">
        <v>502307</v>
      </c>
      <c r="E398" s="6">
        <v>7117</v>
      </c>
      <c r="F398" s="6">
        <v>3</v>
      </c>
      <c r="G398" s="6">
        <v>157.28155340000001</v>
      </c>
      <c r="H398" s="6">
        <v>4</v>
      </c>
      <c r="I398" s="6">
        <v>162</v>
      </c>
      <c r="J398" s="4">
        <v>43.689320389999999</v>
      </c>
      <c r="K398" s="3" t="s">
        <v>41</v>
      </c>
    </row>
    <row r="399" spans="1:11" x14ac:dyDescent="0.25">
      <c r="A399" s="22" t="s">
        <v>667</v>
      </c>
      <c r="B399" s="24" t="s">
        <v>668</v>
      </c>
      <c r="C399" s="3" t="s">
        <v>9</v>
      </c>
      <c r="D399" s="6">
        <v>700150</v>
      </c>
      <c r="E399" s="6">
        <v>7117</v>
      </c>
      <c r="F399" s="6">
        <v>3</v>
      </c>
      <c r="G399" s="6">
        <v>160.19417480000001</v>
      </c>
      <c r="H399" s="6">
        <v>4</v>
      </c>
      <c r="I399" s="6">
        <v>165</v>
      </c>
      <c r="J399" s="4">
        <v>38.834951459999999</v>
      </c>
      <c r="K399" s="3" t="s">
        <v>22</v>
      </c>
    </row>
    <row r="400" spans="1:11" x14ac:dyDescent="0.25">
      <c r="A400" s="22" t="s">
        <v>669</v>
      </c>
      <c r="B400" s="24" t="s">
        <v>670</v>
      </c>
      <c r="C400" s="3" t="s">
        <v>16</v>
      </c>
      <c r="D400" s="6">
        <v>229127</v>
      </c>
      <c r="E400" s="6">
        <v>7117</v>
      </c>
      <c r="F400" s="6">
        <v>3</v>
      </c>
      <c r="G400" s="6">
        <v>148.54368930000001</v>
      </c>
      <c r="H400" s="6">
        <v>4</v>
      </c>
      <c r="I400" s="6">
        <v>153</v>
      </c>
      <c r="J400" s="4">
        <v>40.776699030000003</v>
      </c>
      <c r="K400" s="3" t="s">
        <v>23</v>
      </c>
    </row>
    <row r="401" spans="1:11" x14ac:dyDescent="0.25">
      <c r="A401" s="22" t="s">
        <v>671</v>
      </c>
      <c r="B401" s="24" t="s">
        <v>672</v>
      </c>
      <c r="C401" s="3" t="s">
        <v>16</v>
      </c>
      <c r="D401" s="6">
        <v>276201</v>
      </c>
      <c r="E401" s="6">
        <v>7117</v>
      </c>
      <c r="F401" s="6">
        <v>3</v>
      </c>
      <c r="G401" s="6">
        <v>157.28155340000001</v>
      </c>
      <c r="H401" s="6">
        <v>4</v>
      </c>
      <c r="I401" s="6">
        <v>162</v>
      </c>
      <c r="J401" s="4">
        <v>39.805825239999997</v>
      </c>
      <c r="K401" s="3" t="s">
        <v>19</v>
      </c>
    </row>
    <row r="402" spans="1:11" x14ac:dyDescent="0.25">
      <c r="A402" s="22" t="s">
        <v>673</v>
      </c>
      <c r="B402" s="24" t="s">
        <v>652</v>
      </c>
      <c r="C402" s="3" t="s">
        <v>9</v>
      </c>
      <c r="D402" s="6">
        <v>721305</v>
      </c>
      <c r="E402" s="6">
        <v>7117</v>
      </c>
      <c r="F402" s="6">
        <v>3</v>
      </c>
      <c r="G402" s="6">
        <v>194.17475730000001</v>
      </c>
      <c r="H402" s="6">
        <v>5</v>
      </c>
      <c r="I402" s="6">
        <v>200</v>
      </c>
      <c r="J402" s="4">
        <v>53.398058249999998</v>
      </c>
      <c r="K402" s="3" t="s">
        <v>54</v>
      </c>
    </row>
    <row r="403" spans="1:11" x14ac:dyDescent="0.25">
      <c r="A403" s="22" t="s">
        <v>674</v>
      </c>
      <c r="B403" s="24" t="s">
        <v>652</v>
      </c>
      <c r="C403" s="3" t="s">
        <v>9</v>
      </c>
      <c r="D403" s="6">
        <v>560076</v>
      </c>
      <c r="E403" s="6">
        <v>7117</v>
      </c>
      <c r="F403" s="6">
        <v>3</v>
      </c>
      <c r="G403" s="6">
        <v>172.81553400000001</v>
      </c>
      <c r="H403" s="6">
        <v>5</v>
      </c>
      <c r="I403" s="6">
        <v>178</v>
      </c>
      <c r="J403" s="4">
        <v>55.339805830000003</v>
      </c>
      <c r="K403" s="3" t="s">
        <v>27</v>
      </c>
    </row>
    <row r="404" spans="1:11" x14ac:dyDescent="0.25">
      <c r="A404" s="22" t="s">
        <v>675</v>
      </c>
      <c r="B404" s="24" t="s">
        <v>676</v>
      </c>
      <c r="C404" s="3" t="s">
        <v>16</v>
      </c>
      <c r="D404" s="6">
        <v>400011</v>
      </c>
      <c r="E404" s="6">
        <v>7117</v>
      </c>
      <c r="F404" s="6">
        <v>3</v>
      </c>
      <c r="G404" s="6">
        <v>171.84466019999999</v>
      </c>
      <c r="H404" s="6">
        <v>5</v>
      </c>
      <c r="I404" s="6">
        <v>177</v>
      </c>
      <c r="J404" s="4">
        <v>50.485436890000003</v>
      </c>
      <c r="K404" s="3" t="s">
        <v>46</v>
      </c>
    </row>
    <row r="405" spans="1:11" x14ac:dyDescent="0.25">
      <c r="A405" s="22" t="s">
        <v>677</v>
      </c>
      <c r="B405" s="24" t="s">
        <v>652</v>
      </c>
      <c r="C405" s="3" t="s">
        <v>21</v>
      </c>
      <c r="D405" s="6">
        <v>842002</v>
      </c>
      <c r="E405" s="6">
        <v>7117</v>
      </c>
      <c r="F405" s="6">
        <v>3</v>
      </c>
      <c r="G405" s="6">
        <v>166.0194175</v>
      </c>
      <c r="H405" s="6">
        <v>4</v>
      </c>
      <c r="I405" s="6">
        <v>171</v>
      </c>
      <c r="J405" s="4">
        <v>47.57281553</v>
      </c>
      <c r="K405" s="3" t="s">
        <v>22</v>
      </c>
    </row>
    <row r="406" spans="1:11" x14ac:dyDescent="0.25">
      <c r="A406" s="22" t="s">
        <v>678</v>
      </c>
      <c r="B406" s="24" t="s">
        <v>648</v>
      </c>
      <c r="C406" s="3" t="s">
        <v>25</v>
      </c>
      <c r="D406" s="6">
        <v>413211</v>
      </c>
      <c r="E406" s="6">
        <v>7117</v>
      </c>
      <c r="F406" s="6">
        <v>3</v>
      </c>
      <c r="G406" s="6">
        <v>174.7572816</v>
      </c>
      <c r="H406" s="6">
        <v>5</v>
      </c>
      <c r="I406" s="6">
        <v>180</v>
      </c>
      <c r="J406" s="4">
        <v>53.398058249999998</v>
      </c>
      <c r="K406" s="3" t="s">
        <v>54</v>
      </c>
    </row>
    <row r="407" spans="1:11" x14ac:dyDescent="0.25">
      <c r="A407" s="22" t="s">
        <v>679</v>
      </c>
      <c r="B407" s="24" t="s">
        <v>680</v>
      </c>
      <c r="C407" s="3" t="s">
        <v>21</v>
      </c>
      <c r="D407" s="6">
        <v>136026</v>
      </c>
      <c r="E407" s="6">
        <v>7117</v>
      </c>
      <c r="F407" s="6">
        <v>3</v>
      </c>
      <c r="G407" s="6">
        <v>159.22330099999999</v>
      </c>
      <c r="H407" s="6">
        <v>4</v>
      </c>
      <c r="I407" s="6">
        <v>164</v>
      </c>
      <c r="J407" s="4">
        <v>47.57281553</v>
      </c>
      <c r="K407" s="3" t="s">
        <v>10</v>
      </c>
    </row>
    <row r="408" spans="1:11" x14ac:dyDescent="0.25">
      <c r="A408" s="22" t="s">
        <v>681</v>
      </c>
      <c r="B408" s="24" t="s">
        <v>658</v>
      </c>
      <c r="C408" s="3" t="s">
        <v>16</v>
      </c>
      <c r="D408" s="6">
        <v>210126</v>
      </c>
      <c r="E408" s="6">
        <v>7117</v>
      </c>
      <c r="F408" s="6">
        <v>3</v>
      </c>
      <c r="G408" s="6">
        <v>158.2524272</v>
      </c>
      <c r="H408" s="6">
        <v>4</v>
      </c>
      <c r="I408" s="6">
        <v>163</v>
      </c>
      <c r="J408" s="4">
        <v>40.776699030000003</v>
      </c>
      <c r="K408" s="3" t="s">
        <v>22</v>
      </c>
    </row>
    <row r="409" spans="1:11" x14ac:dyDescent="0.25">
      <c r="A409" s="22" t="s">
        <v>682</v>
      </c>
      <c r="B409" s="24" t="s">
        <v>650</v>
      </c>
      <c r="C409" s="3" t="s">
        <v>25</v>
      </c>
      <c r="D409" s="6">
        <v>535593</v>
      </c>
      <c r="E409" s="6">
        <v>7117</v>
      </c>
      <c r="F409" s="6">
        <v>3</v>
      </c>
      <c r="G409" s="6">
        <v>180.58252429999999</v>
      </c>
      <c r="H409" s="6">
        <v>5</v>
      </c>
      <c r="I409" s="6">
        <v>186</v>
      </c>
      <c r="J409" s="4">
        <v>39.805825239999997</v>
      </c>
      <c r="K409" s="3" t="s">
        <v>27</v>
      </c>
    </row>
    <row r="410" spans="1:11" x14ac:dyDescent="0.25">
      <c r="A410" s="22" t="s">
        <v>683</v>
      </c>
      <c r="B410" s="24" t="s">
        <v>648</v>
      </c>
      <c r="C410" s="3" t="s">
        <v>25</v>
      </c>
      <c r="D410" s="6">
        <v>203396</v>
      </c>
      <c r="E410" s="6">
        <v>7117</v>
      </c>
      <c r="F410" s="6">
        <v>3</v>
      </c>
      <c r="G410" s="6">
        <v>212.6213592</v>
      </c>
      <c r="H410" s="6">
        <v>6</v>
      </c>
      <c r="I410" s="6">
        <v>219</v>
      </c>
      <c r="J410" s="4">
        <v>47.57281553</v>
      </c>
      <c r="K410" s="3" t="s">
        <v>10</v>
      </c>
    </row>
    <row r="411" spans="1:11" x14ac:dyDescent="0.25">
      <c r="A411" s="22" t="s">
        <v>684</v>
      </c>
      <c r="B411" s="24" t="s">
        <v>670</v>
      </c>
      <c r="C411" s="3" t="s">
        <v>25</v>
      </c>
      <c r="D411" s="6">
        <v>855108</v>
      </c>
      <c r="E411" s="6">
        <v>7117</v>
      </c>
      <c r="F411" s="6">
        <v>3</v>
      </c>
      <c r="G411" s="6">
        <v>277.66990290000001</v>
      </c>
      <c r="H411" s="6">
        <v>8</v>
      </c>
      <c r="I411" s="6">
        <v>286</v>
      </c>
      <c r="J411" s="4">
        <v>54.368932039999997</v>
      </c>
      <c r="K411" s="3" t="s">
        <v>22</v>
      </c>
    </row>
    <row r="412" spans="1:11" x14ac:dyDescent="0.25">
      <c r="A412" s="22" t="s">
        <v>685</v>
      </c>
      <c r="B412" s="24" t="s">
        <v>646</v>
      </c>
      <c r="C412" s="3" t="s">
        <v>21</v>
      </c>
      <c r="D412" s="6">
        <v>271801</v>
      </c>
      <c r="E412" s="6">
        <v>7117</v>
      </c>
      <c r="F412" s="6">
        <v>3</v>
      </c>
      <c r="G412" s="6">
        <v>137.8640777</v>
      </c>
      <c r="H412" s="6">
        <v>4</v>
      </c>
      <c r="I412" s="6">
        <v>142</v>
      </c>
      <c r="J412" s="4">
        <v>33.980582519999999</v>
      </c>
      <c r="K412" s="3" t="s">
        <v>19</v>
      </c>
    </row>
    <row r="413" spans="1:11" x14ac:dyDescent="0.25">
      <c r="A413" s="22" t="s">
        <v>686</v>
      </c>
      <c r="B413" s="24" t="s">
        <v>676</v>
      </c>
      <c r="C413" s="3" t="s">
        <v>9</v>
      </c>
      <c r="D413" s="6">
        <v>122508</v>
      </c>
      <c r="E413" s="6">
        <v>7117</v>
      </c>
      <c r="F413" s="6">
        <v>3</v>
      </c>
      <c r="G413" s="6">
        <v>285.43689319999999</v>
      </c>
      <c r="H413" s="6">
        <v>8</v>
      </c>
      <c r="I413" s="6">
        <v>294</v>
      </c>
      <c r="J413" s="4">
        <v>97.087378639999997</v>
      </c>
      <c r="K413" s="3" t="s">
        <v>46</v>
      </c>
    </row>
    <row r="414" spans="1:11" x14ac:dyDescent="0.25">
      <c r="A414" s="22" t="s">
        <v>687</v>
      </c>
      <c r="B414" s="24" t="s">
        <v>688</v>
      </c>
      <c r="C414" s="3" t="s">
        <v>25</v>
      </c>
      <c r="D414" s="6">
        <v>444806</v>
      </c>
      <c r="E414" s="6">
        <v>7117</v>
      </c>
      <c r="F414" s="6">
        <v>3</v>
      </c>
      <c r="G414" s="6">
        <v>163.1067961</v>
      </c>
      <c r="H414" s="6">
        <v>4</v>
      </c>
      <c r="I414" s="6">
        <v>168</v>
      </c>
      <c r="J414" s="4">
        <v>45.631067960000003</v>
      </c>
      <c r="K414" s="3" t="s">
        <v>10</v>
      </c>
    </row>
    <row r="415" spans="1:11" x14ac:dyDescent="0.25">
      <c r="A415" s="22" t="s">
        <v>689</v>
      </c>
      <c r="B415" s="24" t="s">
        <v>690</v>
      </c>
      <c r="C415" s="3" t="s">
        <v>9</v>
      </c>
      <c r="D415" s="6">
        <v>361315</v>
      </c>
      <c r="E415" s="6">
        <v>7117</v>
      </c>
      <c r="F415" s="6">
        <v>3</v>
      </c>
      <c r="G415" s="6">
        <v>267.96116499999999</v>
      </c>
      <c r="H415" s="6">
        <v>8</v>
      </c>
      <c r="I415" s="6">
        <v>276</v>
      </c>
      <c r="J415" s="4">
        <v>54.368932039999997</v>
      </c>
      <c r="K415" s="3" t="s">
        <v>22</v>
      </c>
    </row>
    <row r="416" spans="1:11" x14ac:dyDescent="0.25">
      <c r="A416" s="22" t="s">
        <v>691</v>
      </c>
      <c r="B416" s="24" t="s">
        <v>652</v>
      </c>
      <c r="C416" s="3" t="s">
        <v>16</v>
      </c>
      <c r="D416" s="6">
        <v>324001</v>
      </c>
      <c r="E416" s="6">
        <v>7117</v>
      </c>
      <c r="F416" s="6">
        <v>3</v>
      </c>
      <c r="G416" s="6">
        <v>153.3980583</v>
      </c>
      <c r="H416" s="6">
        <v>4</v>
      </c>
      <c r="I416" s="6">
        <v>158</v>
      </c>
      <c r="J416" s="4">
        <v>49.514563109999997</v>
      </c>
      <c r="K416" s="3" t="s">
        <v>22</v>
      </c>
    </row>
    <row r="417" spans="1:11" x14ac:dyDescent="0.25">
      <c r="A417" s="22" t="s">
        <v>692</v>
      </c>
      <c r="B417" s="24" t="s">
        <v>670</v>
      </c>
      <c r="C417" s="3" t="s">
        <v>16</v>
      </c>
      <c r="D417" s="6">
        <v>516127</v>
      </c>
      <c r="E417" s="6">
        <v>7117</v>
      </c>
      <c r="F417" s="6">
        <v>3</v>
      </c>
      <c r="G417" s="6">
        <v>166.9902913</v>
      </c>
      <c r="H417" s="6">
        <v>5</v>
      </c>
      <c r="I417" s="6">
        <v>172</v>
      </c>
      <c r="J417" s="4">
        <v>45.631067960000003</v>
      </c>
      <c r="K417" s="3" t="s">
        <v>10</v>
      </c>
    </row>
    <row r="418" spans="1:11" x14ac:dyDescent="0.25">
      <c r="A418" s="22" t="s">
        <v>693</v>
      </c>
      <c r="B418" s="24" t="s">
        <v>694</v>
      </c>
      <c r="C418" s="3" t="s">
        <v>25</v>
      </c>
      <c r="D418" s="6">
        <v>532001</v>
      </c>
      <c r="E418" s="6">
        <v>7117</v>
      </c>
      <c r="F418" s="6">
        <v>3</v>
      </c>
      <c r="G418" s="6">
        <v>169.90291260000001</v>
      </c>
      <c r="H418" s="6">
        <v>5</v>
      </c>
      <c r="I418" s="6">
        <v>175</v>
      </c>
      <c r="J418" s="4">
        <v>48.543689319999999</v>
      </c>
      <c r="K418" s="3" t="s">
        <v>39</v>
      </c>
    </row>
    <row r="419" spans="1:11" x14ac:dyDescent="0.25">
      <c r="A419" s="22" t="s">
        <v>695</v>
      </c>
      <c r="B419" s="24" t="s">
        <v>668</v>
      </c>
      <c r="C419" s="3" t="s">
        <v>16</v>
      </c>
      <c r="D419" s="6">
        <v>209729</v>
      </c>
      <c r="E419" s="6">
        <v>7117</v>
      </c>
      <c r="F419" s="6">
        <v>3</v>
      </c>
      <c r="G419" s="6">
        <v>164.07766989999999</v>
      </c>
      <c r="H419" s="6">
        <v>4</v>
      </c>
      <c r="I419" s="6">
        <v>169</v>
      </c>
      <c r="J419" s="4">
        <v>46.601941750000002</v>
      </c>
      <c r="K419" s="3" t="s">
        <v>10</v>
      </c>
    </row>
    <row r="420" spans="1:11" x14ac:dyDescent="0.25">
      <c r="A420" s="22" t="s">
        <v>696</v>
      </c>
      <c r="B420" s="24" t="s">
        <v>646</v>
      </c>
      <c r="C420" s="3" t="s">
        <v>16</v>
      </c>
      <c r="D420" s="6">
        <v>400103</v>
      </c>
      <c r="E420" s="6">
        <v>7117</v>
      </c>
      <c r="F420" s="6">
        <v>3</v>
      </c>
      <c r="G420" s="6">
        <v>157.28155340000001</v>
      </c>
      <c r="H420" s="6">
        <v>4</v>
      </c>
      <c r="I420" s="6">
        <v>162</v>
      </c>
      <c r="J420" s="4">
        <v>38.834951459999999</v>
      </c>
      <c r="K420" s="3" t="s">
        <v>39</v>
      </c>
    </row>
    <row r="421" spans="1:11" x14ac:dyDescent="0.25">
      <c r="A421" s="22" t="s">
        <v>697</v>
      </c>
      <c r="B421" s="24" t="s">
        <v>660</v>
      </c>
      <c r="C421" s="3" t="s">
        <v>21</v>
      </c>
      <c r="D421" s="6">
        <v>852210</v>
      </c>
      <c r="E421" s="6">
        <v>7117</v>
      </c>
      <c r="F421" s="6">
        <v>3</v>
      </c>
      <c r="G421" s="6">
        <v>146.6019417</v>
      </c>
      <c r="H421" s="6">
        <v>4</v>
      </c>
      <c r="I421" s="6">
        <v>151</v>
      </c>
      <c r="J421" s="4">
        <v>42.7184466</v>
      </c>
      <c r="K421" s="3" t="s">
        <v>10</v>
      </c>
    </row>
    <row r="422" spans="1:11" x14ac:dyDescent="0.25">
      <c r="A422" s="22" t="s">
        <v>698</v>
      </c>
      <c r="B422" s="24" t="s">
        <v>660</v>
      </c>
      <c r="C422" s="3" t="s">
        <v>16</v>
      </c>
      <c r="D422" s="6">
        <v>284002</v>
      </c>
      <c r="E422" s="6">
        <v>7117</v>
      </c>
      <c r="F422" s="6">
        <v>3</v>
      </c>
      <c r="G422" s="6">
        <v>177.66990290000001</v>
      </c>
      <c r="H422" s="6">
        <v>5</v>
      </c>
      <c r="I422" s="6">
        <v>183</v>
      </c>
      <c r="J422" s="4">
        <v>56.310679610000001</v>
      </c>
      <c r="K422" s="3" t="s">
        <v>54</v>
      </c>
    </row>
    <row r="423" spans="1:11" x14ac:dyDescent="0.25">
      <c r="A423" s="22" t="s">
        <v>699</v>
      </c>
      <c r="B423" s="24" t="s">
        <v>670</v>
      </c>
      <c r="C423" s="3" t="s">
        <v>16</v>
      </c>
      <c r="D423" s="6">
        <v>261001</v>
      </c>
      <c r="E423" s="6">
        <v>7117</v>
      </c>
      <c r="F423" s="6">
        <v>3</v>
      </c>
      <c r="G423" s="6">
        <v>146.6019417</v>
      </c>
      <c r="H423" s="6">
        <v>4</v>
      </c>
      <c r="I423" s="6">
        <v>151</v>
      </c>
      <c r="J423" s="4">
        <v>42.7184466</v>
      </c>
      <c r="K423" s="3" t="s">
        <v>10</v>
      </c>
    </row>
    <row r="424" spans="1:11" x14ac:dyDescent="0.25">
      <c r="A424" s="22" t="s">
        <v>700</v>
      </c>
      <c r="B424" s="24" t="s">
        <v>701</v>
      </c>
      <c r="C424" s="3" t="s">
        <v>52</v>
      </c>
      <c r="D424" s="6">
        <v>228001</v>
      </c>
      <c r="E424" s="6">
        <v>7117</v>
      </c>
      <c r="F424" s="6">
        <v>3</v>
      </c>
      <c r="G424" s="6">
        <v>155.33980579999999</v>
      </c>
      <c r="H424" s="6">
        <v>4</v>
      </c>
      <c r="I424" s="6">
        <v>160</v>
      </c>
      <c r="J424" s="4">
        <v>51.456310680000001</v>
      </c>
      <c r="K424" s="3" t="s">
        <v>39</v>
      </c>
    </row>
    <row r="425" spans="1:11" x14ac:dyDescent="0.25">
      <c r="A425" s="22" t="s">
        <v>702</v>
      </c>
      <c r="B425" s="24" t="s">
        <v>703</v>
      </c>
      <c r="C425" s="3" t="s">
        <v>33</v>
      </c>
      <c r="D425" s="6">
        <v>560066</v>
      </c>
      <c r="E425" s="6">
        <v>7117</v>
      </c>
      <c r="F425" s="6">
        <v>3</v>
      </c>
      <c r="G425" s="6">
        <v>152.42718450000001</v>
      </c>
      <c r="H425" s="6">
        <v>4</v>
      </c>
      <c r="I425" s="6">
        <v>157</v>
      </c>
      <c r="J425" s="4">
        <v>55.339805830000003</v>
      </c>
      <c r="K425" s="3" t="s">
        <v>14</v>
      </c>
    </row>
    <row r="426" spans="1:11" x14ac:dyDescent="0.25">
      <c r="A426" s="22" t="s">
        <v>704</v>
      </c>
      <c r="B426" s="24" t="s">
        <v>656</v>
      </c>
      <c r="C426" s="3" t="s">
        <v>16</v>
      </c>
      <c r="D426" s="6">
        <v>276403</v>
      </c>
      <c r="E426" s="6">
        <v>7117</v>
      </c>
      <c r="F426" s="6">
        <v>3</v>
      </c>
      <c r="G426" s="6">
        <v>166.9902913</v>
      </c>
      <c r="H426" s="6">
        <v>5</v>
      </c>
      <c r="I426" s="6">
        <v>172</v>
      </c>
      <c r="J426" s="4">
        <v>53.398058249999998</v>
      </c>
      <c r="K426" s="3" t="s">
        <v>17</v>
      </c>
    </row>
    <row r="427" spans="1:11" x14ac:dyDescent="0.25">
      <c r="A427" s="22" t="s">
        <v>705</v>
      </c>
      <c r="B427" s="24" t="s">
        <v>654</v>
      </c>
      <c r="C427" s="3" t="s">
        <v>9</v>
      </c>
      <c r="D427" s="6">
        <v>845426</v>
      </c>
      <c r="E427" s="6">
        <v>7117</v>
      </c>
      <c r="F427" s="6">
        <v>3</v>
      </c>
      <c r="G427" s="6">
        <v>169.90291260000001</v>
      </c>
      <c r="H427" s="6">
        <v>5</v>
      </c>
      <c r="I427" s="6">
        <v>175</v>
      </c>
      <c r="J427" s="4">
        <v>48.543689319999999</v>
      </c>
      <c r="K427" s="3" t="s">
        <v>22</v>
      </c>
    </row>
    <row r="428" spans="1:11" x14ac:dyDescent="0.25">
      <c r="A428" s="22" t="s">
        <v>706</v>
      </c>
      <c r="B428" s="24" t="s">
        <v>658</v>
      </c>
      <c r="C428" s="3" t="s">
        <v>9</v>
      </c>
      <c r="D428" s="6">
        <v>560058</v>
      </c>
      <c r="E428" s="6">
        <v>7117</v>
      </c>
      <c r="F428" s="6">
        <v>3</v>
      </c>
      <c r="G428" s="6">
        <v>174.7572816</v>
      </c>
      <c r="H428" s="6">
        <v>5</v>
      </c>
      <c r="I428" s="6">
        <v>180</v>
      </c>
      <c r="J428" s="4">
        <v>53.398058249999998</v>
      </c>
      <c r="K428" s="3" t="s">
        <v>23</v>
      </c>
    </row>
    <row r="429" spans="1:11" x14ac:dyDescent="0.25">
      <c r="A429" s="22" t="s">
        <v>707</v>
      </c>
      <c r="B429" s="24" t="s">
        <v>658</v>
      </c>
      <c r="C429" s="3" t="s">
        <v>21</v>
      </c>
      <c r="D429" s="6">
        <v>144004</v>
      </c>
      <c r="E429" s="6">
        <v>7117</v>
      </c>
      <c r="F429" s="6">
        <v>3</v>
      </c>
      <c r="G429" s="6">
        <v>157.28155340000001</v>
      </c>
      <c r="H429" s="6">
        <v>4</v>
      </c>
      <c r="I429" s="6">
        <v>162</v>
      </c>
      <c r="J429" s="4">
        <v>53.398058249999998</v>
      </c>
      <c r="K429" s="3" t="s">
        <v>14</v>
      </c>
    </row>
    <row r="430" spans="1:11" x14ac:dyDescent="0.25">
      <c r="A430" s="22" t="s">
        <v>708</v>
      </c>
      <c r="B430" s="24" t="s">
        <v>654</v>
      </c>
      <c r="C430" s="3" t="s">
        <v>16</v>
      </c>
      <c r="D430" s="6">
        <v>284202</v>
      </c>
      <c r="E430" s="6">
        <v>7117</v>
      </c>
      <c r="F430" s="6">
        <v>3</v>
      </c>
      <c r="G430" s="6">
        <v>164.07766989999999</v>
      </c>
      <c r="H430" s="6">
        <v>4</v>
      </c>
      <c r="I430" s="6">
        <v>169</v>
      </c>
      <c r="J430" s="4">
        <v>46.601941750000002</v>
      </c>
      <c r="K430" s="3" t="s">
        <v>28</v>
      </c>
    </row>
    <row r="431" spans="1:11" x14ac:dyDescent="0.25">
      <c r="A431" s="22" t="s">
        <v>709</v>
      </c>
      <c r="B431" s="24" t="s">
        <v>660</v>
      </c>
      <c r="C431" s="3" t="s">
        <v>16</v>
      </c>
      <c r="D431" s="6">
        <v>222137</v>
      </c>
      <c r="E431" s="6">
        <v>7117</v>
      </c>
      <c r="F431" s="6">
        <v>3</v>
      </c>
      <c r="G431" s="6">
        <v>164.07766989999999</v>
      </c>
      <c r="H431" s="6">
        <v>4</v>
      </c>
      <c r="I431" s="6">
        <v>169</v>
      </c>
      <c r="J431" s="4">
        <v>42.7184466</v>
      </c>
      <c r="K431" s="3" t="s">
        <v>41</v>
      </c>
    </row>
    <row r="432" spans="1:11" x14ac:dyDescent="0.25">
      <c r="A432" s="22" t="s">
        <v>710</v>
      </c>
      <c r="B432" s="24" t="s">
        <v>668</v>
      </c>
      <c r="C432" s="3" t="s">
        <v>16</v>
      </c>
      <c r="D432" s="6">
        <v>143001</v>
      </c>
      <c r="E432" s="6">
        <v>7117</v>
      </c>
      <c r="F432" s="6">
        <v>3</v>
      </c>
      <c r="G432" s="6">
        <v>208.7378641</v>
      </c>
      <c r="H432" s="6">
        <v>6</v>
      </c>
      <c r="I432" s="6">
        <v>215</v>
      </c>
      <c r="J432" s="4">
        <v>53.398058249999998</v>
      </c>
      <c r="K432" s="3" t="s">
        <v>22</v>
      </c>
    </row>
    <row r="433" spans="1:11" x14ac:dyDescent="0.25">
      <c r="A433" s="22" t="s">
        <v>711</v>
      </c>
      <c r="B433" s="24" t="s">
        <v>712</v>
      </c>
      <c r="C433" s="3" t="s">
        <v>16</v>
      </c>
      <c r="D433" s="6">
        <v>455336</v>
      </c>
      <c r="E433" s="6">
        <v>7117</v>
      </c>
      <c r="F433" s="6">
        <v>3</v>
      </c>
      <c r="G433" s="6">
        <v>167.96116499999999</v>
      </c>
      <c r="H433" s="6">
        <v>5</v>
      </c>
      <c r="I433" s="6">
        <v>173</v>
      </c>
      <c r="J433" s="4">
        <v>46.601941750000002</v>
      </c>
      <c r="K433" s="3" t="s">
        <v>10</v>
      </c>
    </row>
    <row r="434" spans="1:11" x14ac:dyDescent="0.25">
      <c r="A434" s="22" t="s">
        <v>713</v>
      </c>
      <c r="B434" s="24" t="s">
        <v>670</v>
      </c>
      <c r="C434" s="3" t="s">
        <v>16</v>
      </c>
      <c r="D434" s="6">
        <v>276404</v>
      </c>
      <c r="E434" s="6">
        <v>7117</v>
      </c>
      <c r="F434" s="6">
        <v>3</v>
      </c>
      <c r="G434" s="6">
        <v>193.20388349999999</v>
      </c>
      <c r="H434" s="6">
        <v>5</v>
      </c>
      <c r="I434" s="6">
        <v>199</v>
      </c>
      <c r="J434" s="4">
        <v>71.844660189999999</v>
      </c>
      <c r="K434" s="3" t="s">
        <v>165</v>
      </c>
    </row>
    <row r="435" spans="1:11" x14ac:dyDescent="0.25">
      <c r="A435" s="22" t="s">
        <v>714</v>
      </c>
      <c r="B435" s="24" t="s">
        <v>654</v>
      </c>
      <c r="C435" s="3" t="s">
        <v>16</v>
      </c>
      <c r="D435" s="6">
        <v>485666</v>
      </c>
      <c r="E435" s="6">
        <v>7117</v>
      </c>
      <c r="F435" s="6">
        <v>3</v>
      </c>
      <c r="G435" s="6">
        <v>153.3980583</v>
      </c>
      <c r="H435" s="6">
        <v>4</v>
      </c>
      <c r="I435" s="6">
        <v>158</v>
      </c>
      <c r="J435" s="4">
        <v>49.514563109999997</v>
      </c>
      <c r="K435" s="3" t="s">
        <v>19</v>
      </c>
    </row>
    <row r="436" spans="1:11" x14ac:dyDescent="0.25">
      <c r="A436" s="22" t="s">
        <v>715</v>
      </c>
      <c r="B436" s="24" t="s">
        <v>652</v>
      </c>
      <c r="C436" s="3" t="s">
        <v>9</v>
      </c>
      <c r="D436" s="6">
        <v>221005</v>
      </c>
      <c r="E436" s="6">
        <v>7117</v>
      </c>
      <c r="F436" s="6">
        <v>3</v>
      </c>
      <c r="G436" s="6">
        <v>156.31067959999999</v>
      </c>
      <c r="H436" s="6">
        <v>4</v>
      </c>
      <c r="I436" s="6">
        <v>161</v>
      </c>
      <c r="J436" s="4">
        <v>38.834951459999999</v>
      </c>
      <c r="K436" s="3" t="s">
        <v>26</v>
      </c>
    </row>
    <row r="437" spans="1:11" x14ac:dyDescent="0.25">
      <c r="A437" s="22" t="s">
        <v>716</v>
      </c>
      <c r="B437" s="24" t="s">
        <v>717</v>
      </c>
      <c r="C437" s="3" t="s">
        <v>52</v>
      </c>
      <c r="D437" s="6">
        <v>743126</v>
      </c>
      <c r="E437" s="6">
        <v>7117</v>
      </c>
      <c r="F437" s="6">
        <v>3</v>
      </c>
      <c r="G437" s="6">
        <v>174.7572816</v>
      </c>
      <c r="H437" s="6">
        <v>5</v>
      </c>
      <c r="I437" s="6">
        <v>180</v>
      </c>
      <c r="J437" s="4">
        <v>53.398058249999998</v>
      </c>
      <c r="K437" s="3" t="s">
        <v>10</v>
      </c>
    </row>
    <row r="438" spans="1:11" x14ac:dyDescent="0.25">
      <c r="A438" s="22" t="s">
        <v>718</v>
      </c>
      <c r="B438" s="24" t="s">
        <v>660</v>
      </c>
      <c r="C438" s="3" t="s">
        <v>16</v>
      </c>
      <c r="D438" s="6">
        <v>246149</v>
      </c>
      <c r="E438" s="6">
        <v>7117</v>
      </c>
      <c r="F438" s="6">
        <v>3</v>
      </c>
      <c r="G438" s="6">
        <v>168.93203879999999</v>
      </c>
      <c r="H438" s="6">
        <v>5</v>
      </c>
      <c r="I438" s="6">
        <v>174</v>
      </c>
      <c r="J438" s="4">
        <v>47.57281553</v>
      </c>
      <c r="K438" s="3" t="s">
        <v>27</v>
      </c>
    </row>
    <row r="439" spans="1:11" x14ac:dyDescent="0.25">
      <c r="A439" s="22" t="s">
        <v>719</v>
      </c>
      <c r="B439" s="24" t="s">
        <v>662</v>
      </c>
      <c r="C439" s="3" t="s">
        <v>9</v>
      </c>
      <c r="D439" s="6">
        <v>743234</v>
      </c>
      <c r="E439" s="6">
        <v>7117</v>
      </c>
      <c r="F439" s="6">
        <v>3</v>
      </c>
      <c r="G439" s="6">
        <v>150.4854369</v>
      </c>
      <c r="H439" s="6">
        <v>4</v>
      </c>
      <c r="I439" s="6">
        <v>155</v>
      </c>
      <c r="J439" s="4">
        <v>53.398058249999998</v>
      </c>
      <c r="K439" s="3" t="s">
        <v>39</v>
      </c>
    </row>
    <row r="440" spans="1:11" x14ac:dyDescent="0.25">
      <c r="A440" s="22" t="s">
        <v>720</v>
      </c>
      <c r="B440" s="24" t="s">
        <v>646</v>
      </c>
      <c r="C440" s="3" t="s">
        <v>9</v>
      </c>
      <c r="D440" s="6">
        <v>276207</v>
      </c>
      <c r="E440" s="6">
        <v>7117</v>
      </c>
      <c r="F440" s="6">
        <v>3</v>
      </c>
      <c r="G440" s="6">
        <v>166.9902913</v>
      </c>
      <c r="H440" s="6">
        <v>5</v>
      </c>
      <c r="I440" s="6">
        <v>172</v>
      </c>
      <c r="J440" s="4">
        <v>49.514563109999997</v>
      </c>
      <c r="K440" s="3" t="s">
        <v>26</v>
      </c>
    </row>
    <row r="441" spans="1:11" x14ac:dyDescent="0.25">
      <c r="A441" s="22" t="s">
        <v>721</v>
      </c>
      <c r="B441" s="24" t="s">
        <v>722</v>
      </c>
      <c r="C441" s="3" t="s">
        <v>16</v>
      </c>
      <c r="D441" s="6">
        <v>743312</v>
      </c>
      <c r="E441" s="6">
        <v>7117</v>
      </c>
      <c r="F441" s="6">
        <v>18</v>
      </c>
      <c r="G441" s="6">
        <v>121.18644070000001</v>
      </c>
      <c r="H441" s="6">
        <v>21</v>
      </c>
      <c r="I441" s="6">
        <v>143</v>
      </c>
      <c r="J441" s="4">
        <v>43.220338980000001</v>
      </c>
      <c r="K441" s="3" t="s">
        <v>967</v>
      </c>
    </row>
    <row r="442" spans="1:11" x14ac:dyDescent="0.25">
      <c r="A442" s="22" t="s">
        <v>723</v>
      </c>
      <c r="B442" s="24" t="s">
        <v>676</v>
      </c>
      <c r="C442" s="3" t="s">
        <v>52</v>
      </c>
      <c r="D442" s="6">
        <v>121005</v>
      </c>
      <c r="E442" s="6">
        <v>7117</v>
      </c>
      <c r="F442" s="6">
        <v>3</v>
      </c>
      <c r="G442" s="6">
        <v>160.19417480000001</v>
      </c>
      <c r="H442" s="6">
        <v>4</v>
      </c>
      <c r="I442" s="6">
        <v>165</v>
      </c>
      <c r="J442" s="4">
        <v>38.834951459999999</v>
      </c>
      <c r="K442" s="3" t="s">
        <v>53</v>
      </c>
    </row>
    <row r="443" spans="1:11" x14ac:dyDescent="0.25">
      <c r="A443" s="22" t="s">
        <v>724</v>
      </c>
      <c r="B443" s="24" t="s">
        <v>670</v>
      </c>
      <c r="C443" s="3" t="s">
        <v>21</v>
      </c>
      <c r="D443" s="6">
        <v>801503</v>
      </c>
      <c r="E443" s="6">
        <v>7117</v>
      </c>
      <c r="F443" s="6">
        <v>3</v>
      </c>
      <c r="G443" s="6">
        <v>163.1067961</v>
      </c>
      <c r="H443" s="6">
        <v>4</v>
      </c>
      <c r="I443" s="6">
        <v>168</v>
      </c>
      <c r="J443" s="4">
        <v>45.631067960000003</v>
      </c>
      <c r="K443" s="3" t="s">
        <v>10</v>
      </c>
    </row>
    <row r="444" spans="1:11" x14ac:dyDescent="0.25">
      <c r="A444" s="22" t="s">
        <v>725</v>
      </c>
      <c r="B444" s="24" t="s">
        <v>660</v>
      </c>
      <c r="C444" s="3" t="s">
        <v>9</v>
      </c>
      <c r="D444" s="6">
        <v>392001</v>
      </c>
      <c r="E444" s="6">
        <v>330410</v>
      </c>
      <c r="F444" s="6">
        <v>18</v>
      </c>
      <c r="G444" s="6">
        <v>202.5423729</v>
      </c>
      <c r="H444" s="6">
        <v>36</v>
      </c>
      <c r="I444" s="6">
        <v>239</v>
      </c>
      <c r="J444" s="4">
        <v>45.762711860000003</v>
      </c>
      <c r="K444" s="3" t="s">
        <v>17</v>
      </c>
    </row>
    <row r="445" spans="1:11" x14ac:dyDescent="0.25">
      <c r="A445" s="22" t="s">
        <v>726</v>
      </c>
      <c r="B445" s="24" t="s">
        <v>712</v>
      </c>
      <c r="C445" s="3" t="s">
        <v>9</v>
      </c>
      <c r="D445" s="6">
        <v>123001</v>
      </c>
      <c r="E445" s="6">
        <v>7117</v>
      </c>
      <c r="F445" s="6">
        <v>18</v>
      </c>
      <c r="G445" s="6">
        <v>127.1186441</v>
      </c>
      <c r="H445" s="6">
        <v>22</v>
      </c>
      <c r="I445" s="6">
        <v>150</v>
      </c>
      <c r="J445" s="4">
        <v>36.440677970000003</v>
      </c>
      <c r="K445" s="3" t="s">
        <v>104</v>
      </c>
    </row>
    <row r="446" spans="1:11" x14ac:dyDescent="0.25">
      <c r="A446" s="22" t="s">
        <v>727</v>
      </c>
      <c r="B446" s="24" t="s">
        <v>660</v>
      </c>
      <c r="C446" s="3" t="s">
        <v>16</v>
      </c>
      <c r="D446" s="6">
        <v>180010</v>
      </c>
      <c r="E446" s="6">
        <v>7117</v>
      </c>
      <c r="F446" s="6">
        <v>3</v>
      </c>
      <c r="G446" s="6">
        <v>174.7572816</v>
      </c>
      <c r="H446" s="6">
        <v>5</v>
      </c>
      <c r="I446" s="6">
        <v>180</v>
      </c>
      <c r="J446" s="4">
        <v>53.398058249999998</v>
      </c>
      <c r="K446" s="3" t="s">
        <v>19</v>
      </c>
    </row>
    <row r="447" spans="1:11" x14ac:dyDescent="0.25">
      <c r="A447" s="22" t="s">
        <v>728</v>
      </c>
      <c r="B447" s="24" t="s">
        <v>656</v>
      </c>
      <c r="C447" s="3" t="s">
        <v>25</v>
      </c>
      <c r="D447" s="6">
        <v>560027</v>
      </c>
      <c r="E447" s="6">
        <v>7117</v>
      </c>
      <c r="F447" s="6">
        <v>3</v>
      </c>
      <c r="G447" s="6">
        <v>168.93203879999999</v>
      </c>
      <c r="H447" s="6">
        <v>5</v>
      </c>
      <c r="I447" s="6">
        <v>174</v>
      </c>
      <c r="J447" s="4">
        <v>37.86407767</v>
      </c>
      <c r="K447" s="3" t="s">
        <v>104</v>
      </c>
    </row>
    <row r="448" spans="1:11" x14ac:dyDescent="0.25">
      <c r="A448" s="22" t="s">
        <v>729</v>
      </c>
      <c r="B448" s="24" t="s">
        <v>648</v>
      </c>
      <c r="C448" s="3" t="s">
        <v>21</v>
      </c>
      <c r="D448" s="6">
        <v>228001</v>
      </c>
      <c r="E448" s="6">
        <v>7117</v>
      </c>
      <c r="F448" s="6">
        <v>3</v>
      </c>
      <c r="G448" s="6">
        <v>235.92233010000001</v>
      </c>
      <c r="H448" s="6">
        <v>7</v>
      </c>
      <c r="I448" s="6">
        <v>243</v>
      </c>
      <c r="J448" s="4">
        <v>39.805825239999997</v>
      </c>
      <c r="K448" s="3" t="s">
        <v>26</v>
      </c>
    </row>
    <row r="449" spans="1:11" x14ac:dyDescent="0.25">
      <c r="A449" s="22" t="s">
        <v>730</v>
      </c>
      <c r="B449" s="24" t="s">
        <v>658</v>
      </c>
      <c r="C449" s="3" t="s">
        <v>9</v>
      </c>
      <c r="D449" s="6">
        <v>423203</v>
      </c>
      <c r="E449" s="6">
        <v>7117</v>
      </c>
      <c r="F449" s="6">
        <v>3</v>
      </c>
      <c r="G449" s="6">
        <v>174.7572816</v>
      </c>
      <c r="H449" s="6">
        <v>5</v>
      </c>
      <c r="I449" s="6">
        <v>180</v>
      </c>
      <c r="J449" s="4">
        <v>53.398058249999998</v>
      </c>
      <c r="K449" s="3" t="s">
        <v>53</v>
      </c>
    </row>
    <row r="450" spans="1:11" x14ac:dyDescent="0.25">
      <c r="A450" s="22" t="s">
        <v>731</v>
      </c>
      <c r="B450" s="24" t="s">
        <v>644</v>
      </c>
      <c r="C450" s="3" t="s">
        <v>25</v>
      </c>
      <c r="D450" s="6">
        <v>416122</v>
      </c>
      <c r="E450" s="6">
        <v>7117</v>
      </c>
      <c r="F450" s="6">
        <v>3</v>
      </c>
      <c r="G450" s="6">
        <v>172.81553400000001</v>
      </c>
      <c r="H450" s="6">
        <v>5</v>
      </c>
      <c r="I450" s="6">
        <v>178</v>
      </c>
      <c r="J450" s="4">
        <v>51.456310680000001</v>
      </c>
      <c r="K450" s="3" t="s">
        <v>26</v>
      </c>
    </row>
    <row r="451" spans="1:11" x14ac:dyDescent="0.25">
      <c r="A451" s="22" t="s">
        <v>732</v>
      </c>
      <c r="B451" s="24" t="s">
        <v>660</v>
      </c>
      <c r="C451" s="3" t="s">
        <v>16</v>
      </c>
      <c r="D451" s="6">
        <v>788101</v>
      </c>
      <c r="E451" s="6">
        <v>7117</v>
      </c>
      <c r="F451" s="6">
        <v>3</v>
      </c>
      <c r="G451" s="6">
        <v>165.04854370000001</v>
      </c>
      <c r="H451" s="6">
        <v>4</v>
      </c>
      <c r="I451" s="6">
        <v>170</v>
      </c>
      <c r="J451" s="4">
        <v>43.689320389999999</v>
      </c>
      <c r="K451" s="3" t="s">
        <v>27</v>
      </c>
    </row>
    <row r="452" spans="1:11" x14ac:dyDescent="0.25">
      <c r="A452" s="22" t="s">
        <v>733</v>
      </c>
      <c r="B452" s="24" t="s">
        <v>717</v>
      </c>
      <c r="C452" s="3" t="s">
        <v>16</v>
      </c>
      <c r="D452" s="6">
        <v>600077</v>
      </c>
      <c r="E452" s="6">
        <v>7117</v>
      </c>
      <c r="F452" s="6">
        <v>3</v>
      </c>
      <c r="G452" s="6">
        <v>370.87378639999997</v>
      </c>
      <c r="H452" s="6">
        <v>11</v>
      </c>
      <c r="I452" s="6">
        <v>382</v>
      </c>
      <c r="J452" s="4">
        <v>79.611650490000002</v>
      </c>
      <c r="K452" s="3" t="s">
        <v>10</v>
      </c>
    </row>
    <row r="453" spans="1:11" x14ac:dyDescent="0.25">
      <c r="A453" s="22" t="s">
        <v>734</v>
      </c>
      <c r="B453" s="24" t="s">
        <v>735</v>
      </c>
      <c r="C453" s="3" t="s">
        <v>16</v>
      </c>
      <c r="D453" s="6">
        <v>176092</v>
      </c>
      <c r="E453" s="6">
        <v>7117</v>
      </c>
      <c r="F453" s="6">
        <v>3</v>
      </c>
      <c r="G453" s="6">
        <v>157.28155340000001</v>
      </c>
      <c r="H453" s="6">
        <v>4</v>
      </c>
      <c r="I453" s="6">
        <v>162</v>
      </c>
      <c r="J453" s="4">
        <v>53.398058249999998</v>
      </c>
      <c r="K453" s="3" t="s">
        <v>39</v>
      </c>
    </row>
    <row r="454" spans="1:11" x14ac:dyDescent="0.25">
      <c r="A454" s="22" t="s">
        <v>736</v>
      </c>
      <c r="B454" s="24" t="s">
        <v>717</v>
      </c>
      <c r="C454" s="3" t="s">
        <v>25</v>
      </c>
      <c r="D454" s="6">
        <v>562138</v>
      </c>
      <c r="E454" s="6">
        <v>7117</v>
      </c>
      <c r="F454" s="6">
        <v>3</v>
      </c>
      <c r="G454" s="6">
        <v>143.68932040000001</v>
      </c>
      <c r="H454" s="6">
        <v>4</v>
      </c>
      <c r="I454" s="6">
        <v>148</v>
      </c>
      <c r="J454" s="4">
        <v>39.805825239999997</v>
      </c>
      <c r="K454" s="3" t="s">
        <v>39</v>
      </c>
    </row>
    <row r="455" spans="1:11" x14ac:dyDescent="0.25">
      <c r="A455" s="22" t="s">
        <v>737</v>
      </c>
      <c r="B455" s="24" t="s">
        <v>690</v>
      </c>
      <c r="C455" s="3" t="s">
        <v>25</v>
      </c>
      <c r="D455" s="6">
        <v>284202</v>
      </c>
      <c r="E455" s="6">
        <v>7117</v>
      </c>
      <c r="F455" s="6">
        <v>3</v>
      </c>
      <c r="G455" s="6">
        <v>165.04854370000001</v>
      </c>
      <c r="H455" s="6">
        <v>4</v>
      </c>
      <c r="I455" s="6">
        <v>170</v>
      </c>
      <c r="J455" s="4">
        <v>61.165048540000001</v>
      </c>
      <c r="K455" s="3" t="s">
        <v>27</v>
      </c>
    </row>
    <row r="456" spans="1:11" x14ac:dyDescent="0.25">
      <c r="A456" s="22" t="s">
        <v>738</v>
      </c>
      <c r="B456" s="24" t="s">
        <v>670</v>
      </c>
      <c r="C456" s="3" t="s">
        <v>25</v>
      </c>
      <c r="D456" s="6">
        <v>412306</v>
      </c>
      <c r="E456" s="6">
        <v>7117</v>
      </c>
      <c r="F456" s="6">
        <v>3</v>
      </c>
      <c r="G456" s="6">
        <v>224.2718447</v>
      </c>
      <c r="H456" s="6">
        <v>6</v>
      </c>
      <c r="I456" s="6">
        <v>231</v>
      </c>
      <c r="J456" s="4">
        <v>59.223300969999997</v>
      </c>
      <c r="K456" s="3" t="s">
        <v>19</v>
      </c>
    </row>
    <row r="457" spans="1:11" x14ac:dyDescent="0.25">
      <c r="A457" s="22" t="s">
        <v>739</v>
      </c>
      <c r="B457" s="24" t="s">
        <v>740</v>
      </c>
      <c r="C457" s="3" t="s">
        <v>25</v>
      </c>
      <c r="D457" s="6">
        <v>516127</v>
      </c>
      <c r="E457" s="6">
        <v>7117</v>
      </c>
      <c r="F457" s="6">
        <v>3</v>
      </c>
      <c r="G457" s="6">
        <v>214.56310680000001</v>
      </c>
      <c r="H457" s="6">
        <v>6</v>
      </c>
      <c r="I457" s="6">
        <v>221</v>
      </c>
      <c r="J457" s="4">
        <v>60.194174760000003</v>
      </c>
      <c r="K457" s="3" t="s">
        <v>41</v>
      </c>
    </row>
    <row r="458" spans="1:11" x14ac:dyDescent="0.25">
      <c r="A458" s="22" t="s">
        <v>741</v>
      </c>
      <c r="B458" s="24" t="s">
        <v>694</v>
      </c>
      <c r="C458" s="3" t="s">
        <v>25</v>
      </c>
      <c r="D458" s="6">
        <v>441210</v>
      </c>
      <c r="E458" s="6">
        <v>330410</v>
      </c>
      <c r="F458" s="6">
        <v>18</v>
      </c>
      <c r="G458" s="6">
        <v>202.5423729</v>
      </c>
      <c r="H458" s="6">
        <v>36</v>
      </c>
      <c r="I458" s="6">
        <v>239</v>
      </c>
      <c r="J458" s="4">
        <v>45.762711860000003</v>
      </c>
      <c r="K458" s="3" t="s">
        <v>10</v>
      </c>
    </row>
    <row r="459" spans="1:11" x14ac:dyDescent="0.25">
      <c r="A459" s="22" t="s">
        <v>742</v>
      </c>
      <c r="B459" s="24" t="s">
        <v>676</v>
      </c>
      <c r="C459" s="3" t="s">
        <v>52</v>
      </c>
      <c r="D459" s="6">
        <v>206001</v>
      </c>
      <c r="E459" s="6">
        <v>7117</v>
      </c>
      <c r="F459" s="6">
        <v>3</v>
      </c>
      <c r="G459" s="6">
        <v>129.1262136</v>
      </c>
      <c r="H459" s="6">
        <v>3</v>
      </c>
      <c r="I459" s="6">
        <v>133</v>
      </c>
      <c r="J459" s="4">
        <v>34.951456309999998</v>
      </c>
      <c r="K459" s="3" t="s">
        <v>46</v>
      </c>
    </row>
    <row r="460" spans="1:11" x14ac:dyDescent="0.25">
      <c r="A460" s="22" t="s">
        <v>743</v>
      </c>
      <c r="B460" s="24" t="s">
        <v>722</v>
      </c>
      <c r="C460" s="3" t="s">
        <v>16</v>
      </c>
      <c r="D460" s="6">
        <v>131102</v>
      </c>
      <c r="E460" s="6">
        <v>7117</v>
      </c>
      <c r="F460" s="6">
        <v>3</v>
      </c>
      <c r="G460" s="6">
        <v>174.7572816</v>
      </c>
      <c r="H460" s="6">
        <v>5</v>
      </c>
      <c r="I460" s="6">
        <v>180</v>
      </c>
      <c r="J460" s="4">
        <v>53.398058249999998</v>
      </c>
      <c r="K460" s="3" t="s">
        <v>12</v>
      </c>
    </row>
    <row r="461" spans="1:11" x14ac:dyDescent="0.25">
      <c r="A461" s="22" t="s">
        <v>744</v>
      </c>
      <c r="B461" s="24" t="s">
        <v>665</v>
      </c>
      <c r="C461" s="3" t="s">
        <v>16</v>
      </c>
      <c r="D461" s="6">
        <v>835207</v>
      </c>
      <c r="E461" s="6">
        <v>7117</v>
      </c>
      <c r="F461" s="6">
        <v>3</v>
      </c>
      <c r="G461" s="6">
        <v>174.7572816</v>
      </c>
      <c r="H461" s="6">
        <v>5</v>
      </c>
      <c r="I461" s="6">
        <v>180</v>
      </c>
      <c r="J461" s="4">
        <v>53.398058249999998</v>
      </c>
      <c r="K461" s="3" t="s">
        <v>39</v>
      </c>
    </row>
    <row r="462" spans="1:11" x14ac:dyDescent="0.25">
      <c r="A462" s="22" t="s">
        <v>745</v>
      </c>
      <c r="B462" s="24" t="s">
        <v>648</v>
      </c>
      <c r="C462" s="3" t="s">
        <v>16</v>
      </c>
      <c r="D462" s="6">
        <v>361325</v>
      </c>
      <c r="E462" s="6">
        <v>7117</v>
      </c>
      <c r="F462" s="6">
        <v>3</v>
      </c>
      <c r="G462" s="6">
        <v>133.0097087</v>
      </c>
      <c r="H462" s="6">
        <v>3</v>
      </c>
      <c r="I462" s="6">
        <v>137</v>
      </c>
      <c r="J462" s="4">
        <v>53.398058249999998</v>
      </c>
      <c r="K462" s="3" t="s">
        <v>63</v>
      </c>
    </row>
    <row r="463" spans="1:11" x14ac:dyDescent="0.25">
      <c r="A463" s="22" t="s">
        <v>746</v>
      </c>
      <c r="B463" s="24" t="s">
        <v>680</v>
      </c>
      <c r="C463" s="3" t="s">
        <v>25</v>
      </c>
      <c r="D463" s="6">
        <v>462041</v>
      </c>
      <c r="E463" s="6">
        <v>7117</v>
      </c>
      <c r="F463" s="6">
        <v>3</v>
      </c>
      <c r="G463" s="6">
        <v>142.71844659999999</v>
      </c>
      <c r="H463" s="6">
        <v>4</v>
      </c>
      <c r="I463" s="6">
        <v>147</v>
      </c>
      <c r="J463" s="4">
        <v>38.834951459999999</v>
      </c>
      <c r="K463" s="3" t="s">
        <v>22</v>
      </c>
    </row>
    <row r="464" spans="1:11" x14ac:dyDescent="0.25">
      <c r="A464" s="22" t="s">
        <v>747</v>
      </c>
      <c r="B464" s="24" t="s">
        <v>735</v>
      </c>
      <c r="C464" s="3" t="s">
        <v>25</v>
      </c>
      <c r="D464" s="6">
        <v>614303</v>
      </c>
      <c r="E464" s="6">
        <v>7117</v>
      </c>
      <c r="F464" s="6">
        <v>3</v>
      </c>
      <c r="G464" s="6">
        <v>224.2718447</v>
      </c>
      <c r="H464" s="6">
        <v>6</v>
      </c>
      <c r="I464" s="6">
        <v>231</v>
      </c>
      <c r="J464" s="4">
        <v>59.223300969999997</v>
      </c>
      <c r="K464" s="3" t="s">
        <v>19</v>
      </c>
    </row>
    <row r="465" spans="1:11" x14ac:dyDescent="0.25">
      <c r="A465" s="22" t="s">
        <v>748</v>
      </c>
      <c r="B465" s="24" t="s">
        <v>749</v>
      </c>
      <c r="C465" s="3" t="s">
        <v>16</v>
      </c>
      <c r="D465" s="6">
        <v>841424</v>
      </c>
      <c r="E465" s="6">
        <v>7117</v>
      </c>
      <c r="F465" s="6">
        <v>3</v>
      </c>
      <c r="G465" s="6">
        <v>166.0194175</v>
      </c>
      <c r="H465" s="6">
        <v>4</v>
      </c>
      <c r="I465" s="6">
        <v>171</v>
      </c>
      <c r="J465" s="4">
        <v>71.844660189999999</v>
      </c>
      <c r="K465" s="3" t="s">
        <v>966</v>
      </c>
    </row>
    <row r="466" spans="1:11" x14ac:dyDescent="0.25">
      <c r="A466" s="22" t="s">
        <v>750</v>
      </c>
      <c r="B466" s="24" t="s">
        <v>751</v>
      </c>
      <c r="C466" s="3" t="s">
        <v>16</v>
      </c>
      <c r="D466" s="6">
        <v>752094</v>
      </c>
      <c r="E466" s="6">
        <v>7117</v>
      </c>
      <c r="F466" s="6">
        <v>3</v>
      </c>
      <c r="G466" s="6">
        <v>166.0194175</v>
      </c>
      <c r="H466" s="6">
        <v>4</v>
      </c>
      <c r="I466" s="6">
        <v>171</v>
      </c>
      <c r="J466" s="4">
        <v>44.660194169999997</v>
      </c>
      <c r="K466" s="3" t="s">
        <v>10</v>
      </c>
    </row>
    <row r="467" spans="1:11" x14ac:dyDescent="0.25">
      <c r="A467" s="22" t="s">
        <v>752</v>
      </c>
      <c r="B467" s="24" t="s">
        <v>658</v>
      </c>
      <c r="C467" s="3" t="s">
        <v>25</v>
      </c>
      <c r="D467" s="6">
        <v>440001</v>
      </c>
      <c r="E467" s="6">
        <v>7117</v>
      </c>
      <c r="F467" s="6">
        <v>3</v>
      </c>
      <c r="G467" s="6">
        <v>212.6213592</v>
      </c>
      <c r="H467" s="6">
        <v>6</v>
      </c>
      <c r="I467" s="6">
        <v>219</v>
      </c>
      <c r="J467" s="4">
        <v>47.57281553</v>
      </c>
      <c r="K467" s="3" t="s">
        <v>27</v>
      </c>
    </row>
    <row r="468" spans="1:11" x14ac:dyDescent="0.25">
      <c r="A468" s="22" t="s">
        <v>753</v>
      </c>
      <c r="B468" s="24" t="s">
        <v>680</v>
      </c>
      <c r="C468" s="3" t="s">
        <v>33</v>
      </c>
      <c r="D468" s="6">
        <v>533468</v>
      </c>
      <c r="E468" s="6">
        <v>7117</v>
      </c>
      <c r="F468" s="6">
        <v>3</v>
      </c>
      <c r="G468" s="6">
        <v>157.28155340000001</v>
      </c>
      <c r="H468" s="6">
        <v>4</v>
      </c>
      <c r="I468" s="6">
        <v>162</v>
      </c>
      <c r="J468" s="4">
        <v>53.398058249999998</v>
      </c>
      <c r="K468" s="3" t="s">
        <v>12</v>
      </c>
    </row>
    <row r="469" spans="1:11" x14ac:dyDescent="0.25">
      <c r="A469" s="22" t="s">
        <v>754</v>
      </c>
      <c r="B469" s="24" t="s">
        <v>690</v>
      </c>
      <c r="C469" s="3" t="s">
        <v>16</v>
      </c>
      <c r="D469" s="6">
        <v>522101</v>
      </c>
      <c r="E469" s="6">
        <v>7117</v>
      </c>
      <c r="F469" s="6">
        <v>3</v>
      </c>
      <c r="G469" s="6">
        <v>140.77669900000001</v>
      </c>
      <c r="H469" s="6">
        <v>4</v>
      </c>
      <c r="I469" s="6">
        <v>145</v>
      </c>
      <c r="J469" s="4">
        <v>53.398058249999998</v>
      </c>
      <c r="K469" s="3" t="s">
        <v>54</v>
      </c>
    </row>
    <row r="470" spans="1:11" x14ac:dyDescent="0.25">
      <c r="A470" s="22" t="s">
        <v>755</v>
      </c>
      <c r="B470" s="24" t="s">
        <v>668</v>
      </c>
      <c r="C470" s="3" t="s">
        <v>71</v>
      </c>
      <c r="D470" s="6">
        <v>535593</v>
      </c>
      <c r="E470" s="6">
        <v>7117</v>
      </c>
      <c r="F470" s="6">
        <v>3</v>
      </c>
      <c r="G470" s="6">
        <v>186.40776700000001</v>
      </c>
      <c r="H470" s="6">
        <v>5</v>
      </c>
      <c r="I470" s="6">
        <v>192</v>
      </c>
      <c r="J470" s="4">
        <v>45.631067960000003</v>
      </c>
      <c r="K470" s="3" t="s">
        <v>10</v>
      </c>
    </row>
    <row r="471" spans="1:11" x14ac:dyDescent="0.25">
      <c r="A471" s="22" t="s">
        <v>756</v>
      </c>
      <c r="B471" s="24" t="s">
        <v>665</v>
      </c>
      <c r="C471" s="3" t="s">
        <v>16</v>
      </c>
      <c r="D471" s="6">
        <v>201201</v>
      </c>
      <c r="E471" s="6">
        <v>7117</v>
      </c>
      <c r="F471" s="6">
        <v>3</v>
      </c>
      <c r="G471" s="6">
        <v>213.59223299999999</v>
      </c>
      <c r="H471" s="6">
        <v>6</v>
      </c>
      <c r="I471" s="6">
        <v>220</v>
      </c>
      <c r="J471" s="4">
        <v>72.815533979999998</v>
      </c>
      <c r="K471" s="3" t="s">
        <v>35</v>
      </c>
    </row>
    <row r="472" spans="1:11" x14ac:dyDescent="0.25">
      <c r="A472" s="22" t="s">
        <v>757</v>
      </c>
      <c r="B472" s="24" t="s">
        <v>646</v>
      </c>
      <c r="C472" s="3" t="s">
        <v>16</v>
      </c>
      <c r="D472" s="6">
        <v>151001</v>
      </c>
      <c r="E472" s="6">
        <v>7117</v>
      </c>
      <c r="F472" s="6">
        <v>3</v>
      </c>
      <c r="G472" s="6">
        <v>174.7572816</v>
      </c>
      <c r="H472" s="6">
        <v>5</v>
      </c>
      <c r="I472" s="6">
        <v>180</v>
      </c>
      <c r="J472" s="4">
        <v>53.398058249999998</v>
      </c>
      <c r="K472" s="3" t="s">
        <v>54</v>
      </c>
    </row>
    <row r="473" spans="1:11" x14ac:dyDescent="0.25">
      <c r="A473" s="22" t="s">
        <v>758</v>
      </c>
      <c r="B473" s="24" t="s">
        <v>652</v>
      </c>
      <c r="C473" s="3" t="s">
        <v>21</v>
      </c>
      <c r="D473" s="6">
        <v>852214</v>
      </c>
      <c r="E473" s="6">
        <v>7117</v>
      </c>
      <c r="F473" s="6">
        <v>3</v>
      </c>
      <c r="G473" s="6">
        <v>193.20388349999999</v>
      </c>
      <c r="H473" s="6">
        <v>5</v>
      </c>
      <c r="I473" s="6">
        <v>199</v>
      </c>
      <c r="J473" s="4">
        <v>71.844660189999999</v>
      </c>
      <c r="K473" s="3" t="s">
        <v>35</v>
      </c>
    </row>
    <row r="474" spans="1:11" x14ac:dyDescent="0.25">
      <c r="A474" s="22" t="s">
        <v>759</v>
      </c>
      <c r="B474" s="24" t="s">
        <v>652</v>
      </c>
      <c r="C474" s="3" t="s">
        <v>16</v>
      </c>
      <c r="D474" s="6">
        <v>126115</v>
      </c>
      <c r="E474" s="6">
        <v>7117</v>
      </c>
      <c r="F474" s="6">
        <v>3</v>
      </c>
      <c r="G474" s="6">
        <v>163.1067961</v>
      </c>
      <c r="H474" s="6">
        <v>4</v>
      </c>
      <c r="I474" s="6">
        <v>168</v>
      </c>
      <c r="J474" s="4">
        <v>45.631067960000003</v>
      </c>
      <c r="K474" s="3" t="s">
        <v>10</v>
      </c>
    </row>
    <row r="475" spans="1:11" x14ac:dyDescent="0.25">
      <c r="A475" s="22" t="s">
        <v>760</v>
      </c>
      <c r="B475" s="24" t="s">
        <v>751</v>
      </c>
      <c r="C475" s="3" t="s">
        <v>25</v>
      </c>
      <c r="D475" s="6">
        <v>841426</v>
      </c>
      <c r="E475" s="6">
        <v>7117</v>
      </c>
      <c r="F475" s="6">
        <v>3</v>
      </c>
      <c r="G475" s="6">
        <v>166.0194175</v>
      </c>
      <c r="H475" s="6">
        <v>4</v>
      </c>
      <c r="I475" s="6">
        <v>171</v>
      </c>
      <c r="J475" s="4">
        <v>44.660194169999997</v>
      </c>
      <c r="K475" s="3" t="s">
        <v>10</v>
      </c>
    </row>
    <row r="476" spans="1:11" x14ac:dyDescent="0.25">
      <c r="A476" s="22" t="s">
        <v>761</v>
      </c>
      <c r="B476" s="24" t="s">
        <v>751</v>
      </c>
      <c r="C476" s="3" t="s">
        <v>21</v>
      </c>
      <c r="D476" s="6">
        <v>184143</v>
      </c>
      <c r="E476" s="6">
        <v>7117</v>
      </c>
      <c r="F476" s="6">
        <v>3</v>
      </c>
      <c r="G476" s="6">
        <v>182.52427180000001</v>
      </c>
      <c r="H476" s="6">
        <v>5</v>
      </c>
      <c r="I476" s="6">
        <v>188</v>
      </c>
      <c r="J476" s="4">
        <v>61.165048540000001</v>
      </c>
      <c r="K476" s="3" t="s">
        <v>165</v>
      </c>
    </row>
    <row r="477" spans="1:11" x14ac:dyDescent="0.25">
      <c r="A477" s="22" t="s">
        <v>762</v>
      </c>
      <c r="B477" s="24" t="s">
        <v>650</v>
      </c>
      <c r="C477" s="3" t="s">
        <v>33</v>
      </c>
      <c r="D477" s="6">
        <v>532430</v>
      </c>
      <c r="E477" s="6">
        <v>7117</v>
      </c>
      <c r="F477" s="6">
        <v>3</v>
      </c>
      <c r="G477" s="6">
        <v>160.19417480000001</v>
      </c>
      <c r="H477" s="6">
        <v>4</v>
      </c>
      <c r="I477" s="6">
        <v>165</v>
      </c>
      <c r="J477" s="4">
        <v>38.834951459999999</v>
      </c>
      <c r="K477" s="3" t="s">
        <v>10</v>
      </c>
    </row>
    <row r="478" spans="1:11" x14ac:dyDescent="0.25">
      <c r="A478" s="22" t="s">
        <v>763</v>
      </c>
      <c r="B478" s="24" t="s">
        <v>701</v>
      </c>
      <c r="C478" s="3" t="s">
        <v>25</v>
      </c>
      <c r="D478" s="6">
        <v>829119</v>
      </c>
      <c r="E478" s="6">
        <v>7117</v>
      </c>
      <c r="F478" s="6">
        <v>3</v>
      </c>
      <c r="G478" s="6">
        <v>169.90291260000001</v>
      </c>
      <c r="H478" s="6">
        <v>5</v>
      </c>
      <c r="I478" s="6">
        <v>175</v>
      </c>
      <c r="J478" s="4">
        <v>48.543689319999999</v>
      </c>
      <c r="K478" s="3" t="s">
        <v>14</v>
      </c>
    </row>
    <row r="479" spans="1:11" x14ac:dyDescent="0.25">
      <c r="A479" s="22" t="s">
        <v>764</v>
      </c>
      <c r="B479" s="24" t="s">
        <v>712</v>
      </c>
      <c r="C479" s="3" t="s">
        <v>16</v>
      </c>
      <c r="D479" s="6">
        <v>143001</v>
      </c>
      <c r="E479" s="6">
        <v>7117</v>
      </c>
      <c r="F479" s="6">
        <v>3</v>
      </c>
      <c r="G479" s="6">
        <v>154.368932</v>
      </c>
      <c r="H479" s="6">
        <v>4</v>
      </c>
      <c r="I479" s="6">
        <v>159</v>
      </c>
      <c r="J479" s="4">
        <v>46.601941750000002</v>
      </c>
      <c r="K479" s="3" t="s">
        <v>10</v>
      </c>
    </row>
    <row r="480" spans="1:11" x14ac:dyDescent="0.25">
      <c r="A480" s="22" t="s">
        <v>765</v>
      </c>
      <c r="B480" s="24" t="s">
        <v>703</v>
      </c>
      <c r="C480" s="3" t="s">
        <v>9</v>
      </c>
      <c r="D480" s="6">
        <v>803201</v>
      </c>
      <c r="E480" s="6">
        <v>7117</v>
      </c>
      <c r="F480" s="6">
        <v>3</v>
      </c>
      <c r="G480" s="6">
        <v>193.20388349999999</v>
      </c>
      <c r="H480" s="6">
        <v>5</v>
      </c>
      <c r="I480" s="6">
        <v>199</v>
      </c>
      <c r="J480" s="4">
        <v>71.844660189999999</v>
      </c>
      <c r="K480" s="3" t="s">
        <v>165</v>
      </c>
    </row>
    <row r="481" spans="1:11" x14ac:dyDescent="0.25">
      <c r="A481" s="22" t="s">
        <v>766</v>
      </c>
      <c r="B481" s="24" t="s">
        <v>767</v>
      </c>
      <c r="C481" s="3" t="s">
        <v>25</v>
      </c>
      <c r="D481" s="6">
        <v>533435</v>
      </c>
      <c r="E481" s="6">
        <v>7117</v>
      </c>
      <c r="F481" s="6">
        <v>3</v>
      </c>
      <c r="G481" s="6">
        <v>170.8737864</v>
      </c>
      <c r="H481" s="6">
        <v>5</v>
      </c>
      <c r="I481" s="6">
        <v>176</v>
      </c>
      <c r="J481" s="4">
        <v>52.42718447</v>
      </c>
      <c r="K481" s="3" t="s">
        <v>54</v>
      </c>
    </row>
    <row r="482" spans="1:11" x14ac:dyDescent="0.25">
      <c r="A482" s="22" t="s">
        <v>768</v>
      </c>
      <c r="B482" s="24" t="s">
        <v>769</v>
      </c>
      <c r="C482" s="3" t="s">
        <v>16</v>
      </c>
      <c r="D482" s="6">
        <v>132103</v>
      </c>
      <c r="E482" s="6">
        <v>7117</v>
      </c>
      <c r="F482" s="6">
        <v>3</v>
      </c>
      <c r="G482" s="6">
        <v>205.82524269999999</v>
      </c>
      <c r="H482" s="6">
        <v>6</v>
      </c>
      <c r="I482" s="6">
        <v>212</v>
      </c>
      <c r="J482" s="4">
        <v>69.902912619999995</v>
      </c>
      <c r="K482" s="3" t="s">
        <v>969</v>
      </c>
    </row>
    <row r="483" spans="1:11" x14ac:dyDescent="0.25">
      <c r="A483" s="22" t="s">
        <v>770</v>
      </c>
      <c r="B483" s="24" t="s">
        <v>771</v>
      </c>
      <c r="C483" s="3" t="s">
        <v>71</v>
      </c>
      <c r="D483" s="6">
        <v>711106</v>
      </c>
      <c r="E483" s="6">
        <v>7117</v>
      </c>
      <c r="F483" s="6">
        <v>3</v>
      </c>
      <c r="G483" s="6">
        <v>168.93203879999999</v>
      </c>
      <c r="H483" s="6">
        <v>5</v>
      </c>
      <c r="I483" s="6">
        <v>174</v>
      </c>
      <c r="J483" s="4">
        <v>47.57281553</v>
      </c>
      <c r="K483" s="3" t="s">
        <v>22</v>
      </c>
    </row>
    <row r="484" spans="1:11" x14ac:dyDescent="0.25">
      <c r="A484" s="22" t="s">
        <v>772</v>
      </c>
      <c r="B484" s="24" t="s">
        <v>773</v>
      </c>
      <c r="C484" s="3" t="s">
        <v>16</v>
      </c>
      <c r="D484" s="6">
        <v>560067</v>
      </c>
      <c r="E484" s="6">
        <v>7117</v>
      </c>
      <c r="F484" s="6">
        <v>3</v>
      </c>
      <c r="G484" s="6">
        <v>154.368932</v>
      </c>
      <c r="H484" s="6">
        <v>4</v>
      </c>
      <c r="I484" s="6">
        <v>159</v>
      </c>
      <c r="J484" s="4">
        <v>36.893203880000002</v>
      </c>
      <c r="K484" s="3" t="s">
        <v>19</v>
      </c>
    </row>
    <row r="485" spans="1:11" x14ac:dyDescent="0.25">
      <c r="A485" s="22" t="s">
        <v>774</v>
      </c>
      <c r="B485" s="24" t="s">
        <v>775</v>
      </c>
      <c r="C485" s="3" t="s">
        <v>9</v>
      </c>
      <c r="D485" s="6">
        <v>390001</v>
      </c>
      <c r="E485" s="6">
        <v>7117</v>
      </c>
      <c r="F485" s="6">
        <v>3</v>
      </c>
      <c r="G485" s="6">
        <v>165.04854370000001</v>
      </c>
      <c r="H485" s="6">
        <v>4</v>
      </c>
      <c r="I485" s="6">
        <v>170</v>
      </c>
      <c r="J485" s="4">
        <v>47.57281553</v>
      </c>
      <c r="K485" s="3" t="s">
        <v>49</v>
      </c>
    </row>
    <row r="486" spans="1:11" x14ac:dyDescent="0.25">
      <c r="A486" s="22" t="s">
        <v>776</v>
      </c>
      <c r="B486" s="24" t="s">
        <v>777</v>
      </c>
      <c r="C486" s="3" t="s">
        <v>25</v>
      </c>
      <c r="D486" s="6">
        <v>413112</v>
      </c>
      <c r="E486" s="6">
        <v>7117</v>
      </c>
      <c r="F486" s="6">
        <v>3</v>
      </c>
      <c r="G486" s="6">
        <v>157.28155340000001</v>
      </c>
      <c r="H486" s="6">
        <v>4</v>
      </c>
      <c r="I486" s="6">
        <v>162</v>
      </c>
      <c r="J486" s="4">
        <v>39.805825239999997</v>
      </c>
      <c r="K486" s="3" t="s">
        <v>10</v>
      </c>
    </row>
    <row r="487" spans="1:11" x14ac:dyDescent="0.25">
      <c r="A487" s="22" t="s">
        <v>778</v>
      </c>
      <c r="B487" s="24" t="s">
        <v>779</v>
      </c>
      <c r="C487" s="3" t="s">
        <v>16</v>
      </c>
      <c r="D487" s="6">
        <v>413112</v>
      </c>
      <c r="E487" s="6">
        <v>7117</v>
      </c>
      <c r="F487" s="6">
        <v>3</v>
      </c>
      <c r="G487" s="6">
        <v>133.9805825</v>
      </c>
      <c r="H487" s="6">
        <v>4</v>
      </c>
      <c r="I487" s="6">
        <v>138</v>
      </c>
      <c r="J487" s="4">
        <v>39.805825239999997</v>
      </c>
      <c r="K487" s="3" t="s">
        <v>54</v>
      </c>
    </row>
    <row r="488" spans="1:11" x14ac:dyDescent="0.25">
      <c r="A488" s="22" t="s">
        <v>780</v>
      </c>
      <c r="B488" s="24" t="s">
        <v>779</v>
      </c>
      <c r="C488" s="3" t="s">
        <v>25</v>
      </c>
      <c r="D488" s="6">
        <v>813106</v>
      </c>
      <c r="E488" s="6">
        <v>7117</v>
      </c>
      <c r="F488" s="6">
        <v>3</v>
      </c>
      <c r="G488" s="6">
        <v>165.04854370000001</v>
      </c>
      <c r="H488" s="6">
        <v>4</v>
      </c>
      <c r="I488" s="6">
        <v>170</v>
      </c>
      <c r="J488" s="4">
        <v>35.922330100000003</v>
      </c>
      <c r="K488" s="3" t="s">
        <v>22</v>
      </c>
    </row>
    <row r="489" spans="1:11" x14ac:dyDescent="0.25">
      <c r="A489" s="22" t="s">
        <v>781</v>
      </c>
      <c r="B489" s="24" t="s">
        <v>782</v>
      </c>
      <c r="C489" s="3" t="s">
        <v>16</v>
      </c>
      <c r="D489" s="6">
        <v>500008</v>
      </c>
      <c r="E489" s="6">
        <v>7117</v>
      </c>
      <c r="F489" s="6">
        <v>3</v>
      </c>
      <c r="G489" s="6">
        <v>149.5145631</v>
      </c>
      <c r="H489" s="6">
        <v>4</v>
      </c>
      <c r="I489" s="6">
        <v>154</v>
      </c>
      <c r="J489" s="4">
        <v>32.038834950000002</v>
      </c>
      <c r="K489" s="3" t="s">
        <v>10</v>
      </c>
    </row>
    <row r="490" spans="1:11" x14ac:dyDescent="0.25">
      <c r="A490" s="22" t="s">
        <v>783</v>
      </c>
      <c r="B490" s="24" t="s">
        <v>784</v>
      </c>
      <c r="C490" s="3" t="s">
        <v>16</v>
      </c>
      <c r="D490" s="6">
        <v>670611</v>
      </c>
      <c r="E490" s="6">
        <v>7117</v>
      </c>
      <c r="F490" s="6">
        <v>3</v>
      </c>
      <c r="G490" s="6">
        <v>159.22330099999999</v>
      </c>
      <c r="H490" s="6">
        <v>4</v>
      </c>
      <c r="I490" s="6">
        <v>164</v>
      </c>
      <c r="J490" s="4">
        <v>37.86407767</v>
      </c>
      <c r="K490" s="3" t="s">
        <v>22</v>
      </c>
    </row>
    <row r="491" spans="1:11" x14ac:dyDescent="0.25">
      <c r="A491" s="22" t="s">
        <v>785</v>
      </c>
      <c r="B491" s="24" t="s">
        <v>786</v>
      </c>
      <c r="C491" s="3" t="s">
        <v>16</v>
      </c>
      <c r="D491" s="6">
        <v>152021</v>
      </c>
      <c r="E491" s="6">
        <v>7117</v>
      </c>
      <c r="F491" s="6">
        <v>3</v>
      </c>
      <c r="G491" s="6">
        <v>161.16504850000001</v>
      </c>
      <c r="H491" s="6">
        <v>4</v>
      </c>
      <c r="I491" s="6">
        <v>166</v>
      </c>
      <c r="J491" s="4">
        <v>43.689320389999999</v>
      </c>
      <c r="K491" s="3" t="s">
        <v>26</v>
      </c>
    </row>
    <row r="492" spans="1:11" x14ac:dyDescent="0.25">
      <c r="A492" s="22" t="s">
        <v>787</v>
      </c>
      <c r="B492" s="24" t="s">
        <v>779</v>
      </c>
      <c r="C492" s="3" t="s">
        <v>16</v>
      </c>
      <c r="D492" s="6">
        <v>813106</v>
      </c>
      <c r="E492" s="6">
        <v>7117</v>
      </c>
      <c r="F492" s="6">
        <v>3</v>
      </c>
      <c r="G492" s="6">
        <v>133.9805825</v>
      </c>
      <c r="H492" s="6">
        <v>4</v>
      </c>
      <c r="I492" s="6">
        <v>138</v>
      </c>
      <c r="J492" s="4">
        <v>39.805825239999997</v>
      </c>
      <c r="K492" s="3" t="s">
        <v>41</v>
      </c>
    </row>
    <row r="493" spans="1:11" x14ac:dyDescent="0.25">
      <c r="A493" s="22" t="s">
        <v>788</v>
      </c>
      <c r="B493" s="24" t="s">
        <v>786</v>
      </c>
      <c r="C493" s="3" t="s">
        <v>21</v>
      </c>
      <c r="D493" s="6">
        <v>284002</v>
      </c>
      <c r="E493" s="6">
        <v>7117</v>
      </c>
      <c r="F493" s="6">
        <v>3</v>
      </c>
      <c r="G493" s="6">
        <v>149.5145631</v>
      </c>
      <c r="H493" s="6">
        <v>4</v>
      </c>
      <c r="I493" s="6">
        <v>154</v>
      </c>
      <c r="J493" s="4">
        <v>32.038834950000002</v>
      </c>
      <c r="K493" s="3" t="s">
        <v>12</v>
      </c>
    </row>
    <row r="494" spans="1:11" x14ac:dyDescent="0.25">
      <c r="A494" s="22" t="s">
        <v>789</v>
      </c>
      <c r="B494" s="24" t="s">
        <v>790</v>
      </c>
      <c r="C494" s="3" t="s">
        <v>16</v>
      </c>
      <c r="D494" s="6">
        <v>509210</v>
      </c>
      <c r="E494" s="6">
        <v>7117</v>
      </c>
      <c r="F494" s="6">
        <v>3</v>
      </c>
      <c r="G494" s="6">
        <v>171.84466019999999</v>
      </c>
      <c r="H494" s="6">
        <v>5</v>
      </c>
      <c r="I494" s="6">
        <v>177</v>
      </c>
      <c r="J494" s="4">
        <v>54.368932039999997</v>
      </c>
      <c r="K494" s="3" t="s">
        <v>54</v>
      </c>
    </row>
    <row r="495" spans="1:11" x14ac:dyDescent="0.25">
      <c r="A495" s="22" t="s">
        <v>791</v>
      </c>
      <c r="B495" s="24" t="s">
        <v>767</v>
      </c>
      <c r="C495" s="3" t="s">
        <v>25</v>
      </c>
      <c r="D495" s="6">
        <v>751024</v>
      </c>
      <c r="E495" s="6">
        <v>7117</v>
      </c>
      <c r="F495" s="6">
        <v>3</v>
      </c>
      <c r="G495" s="6">
        <v>191.2621359</v>
      </c>
      <c r="H495" s="6">
        <v>5</v>
      </c>
      <c r="I495" s="6">
        <v>197</v>
      </c>
      <c r="J495" s="4">
        <v>69.902912619999995</v>
      </c>
      <c r="K495" s="3" t="s">
        <v>165</v>
      </c>
    </row>
    <row r="496" spans="1:11" x14ac:dyDescent="0.25">
      <c r="A496" s="22" t="s">
        <v>792</v>
      </c>
      <c r="B496" s="24" t="s">
        <v>793</v>
      </c>
      <c r="C496" s="3" t="s">
        <v>33</v>
      </c>
      <c r="D496" s="6">
        <v>845451</v>
      </c>
      <c r="E496" s="6">
        <v>7117</v>
      </c>
      <c r="F496" s="6">
        <v>3</v>
      </c>
      <c r="G496" s="6">
        <v>460.19417479999998</v>
      </c>
      <c r="H496" s="6">
        <v>13</v>
      </c>
      <c r="I496" s="6">
        <v>474</v>
      </c>
      <c r="J496" s="4">
        <v>107.76699029</v>
      </c>
      <c r="K496" s="3" t="s">
        <v>22</v>
      </c>
    </row>
    <row r="497" spans="1:11" x14ac:dyDescent="0.25">
      <c r="A497" s="22" t="s">
        <v>794</v>
      </c>
      <c r="B497" s="24" t="s">
        <v>795</v>
      </c>
      <c r="C497" s="3" t="s">
        <v>21</v>
      </c>
      <c r="D497" s="6">
        <v>600055</v>
      </c>
      <c r="E497" s="6">
        <v>7117</v>
      </c>
      <c r="F497" s="6">
        <v>3</v>
      </c>
      <c r="G497" s="6">
        <v>172.81553400000001</v>
      </c>
      <c r="H497" s="6">
        <v>5</v>
      </c>
      <c r="I497" s="6">
        <v>178</v>
      </c>
      <c r="J497" s="4">
        <v>55.339805830000003</v>
      </c>
      <c r="K497" s="3" t="s">
        <v>19</v>
      </c>
    </row>
    <row r="498" spans="1:11" x14ac:dyDescent="0.25">
      <c r="A498" s="22" t="s">
        <v>796</v>
      </c>
      <c r="B498" s="24" t="s">
        <v>797</v>
      </c>
      <c r="C498" s="3" t="s">
        <v>21</v>
      </c>
      <c r="D498" s="6">
        <v>825336</v>
      </c>
      <c r="E498" s="6">
        <v>7117</v>
      </c>
      <c r="F498" s="6">
        <v>3</v>
      </c>
      <c r="G498" s="6">
        <v>175.7281553</v>
      </c>
      <c r="H498" s="6">
        <v>5</v>
      </c>
      <c r="I498" s="6">
        <v>181</v>
      </c>
      <c r="J498" s="4">
        <v>58.252427179999998</v>
      </c>
      <c r="K498" s="3" t="s">
        <v>19</v>
      </c>
    </row>
    <row r="499" spans="1:11" x14ac:dyDescent="0.25">
      <c r="A499" s="22" t="s">
        <v>798</v>
      </c>
      <c r="B499" s="24" t="s">
        <v>769</v>
      </c>
      <c r="C499" s="3" t="s">
        <v>25</v>
      </c>
      <c r="D499" s="6">
        <v>813106</v>
      </c>
      <c r="E499" s="6">
        <v>7117</v>
      </c>
      <c r="F499" s="6">
        <v>3</v>
      </c>
      <c r="G499" s="6">
        <v>224.2718447</v>
      </c>
      <c r="H499" s="6">
        <v>6</v>
      </c>
      <c r="I499" s="6">
        <v>231</v>
      </c>
      <c r="J499" s="4">
        <v>69.902912619999995</v>
      </c>
      <c r="K499" s="3" t="s">
        <v>35</v>
      </c>
    </row>
    <row r="500" spans="1:11" x14ac:dyDescent="0.25">
      <c r="A500" s="22" t="s">
        <v>799</v>
      </c>
      <c r="B500" s="24" t="s">
        <v>795</v>
      </c>
      <c r="C500" s="3" t="s">
        <v>9</v>
      </c>
      <c r="D500" s="6">
        <v>301020</v>
      </c>
      <c r="E500" s="6">
        <v>7117</v>
      </c>
      <c r="F500" s="6">
        <v>3</v>
      </c>
      <c r="G500" s="6">
        <v>162.1359223</v>
      </c>
      <c r="H500" s="6">
        <v>4</v>
      </c>
      <c r="I500" s="6">
        <v>167</v>
      </c>
      <c r="J500" s="4">
        <v>44.660194169999997</v>
      </c>
      <c r="K500" s="3" t="s">
        <v>10</v>
      </c>
    </row>
    <row r="501" spans="1:11" x14ac:dyDescent="0.25">
      <c r="A501" s="22" t="s">
        <v>800</v>
      </c>
      <c r="B501" s="24" t="s">
        <v>795</v>
      </c>
      <c r="C501" s="3" t="s">
        <v>16</v>
      </c>
      <c r="D501" s="6">
        <v>534112</v>
      </c>
      <c r="E501" s="6">
        <v>7117</v>
      </c>
      <c r="F501" s="6">
        <v>3</v>
      </c>
      <c r="G501" s="6">
        <v>131.06796120000001</v>
      </c>
      <c r="H501" s="6">
        <v>3</v>
      </c>
      <c r="I501" s="6">
        <v>135</v>
      </c>
      <c r="J501" s="4">
        <v>36.893203880000002</v>
      </c>
      <c r="K501" s="3" t="s">
        <v>19</v>
      </c>
    </row>
    <row r="502" spans="1:11" x14ac:dyDescent="0.25">
      <c r="A502" s="22" t="s">
        <v>801</v>
      </c>
      <c r="B502" s="24" t="s">
        <v>802</v>
      </c>
      <c r="C502" s="3" t="s">
        <v>16</v>
      </c>
      <c r="D502" s="6">
        <v>110059</v>
      </c>
      <c r="E502" s="6">
        <v>7117</v>
      </c>
      <c r="F502" s="6">
        <v>3</v>
      </c>
      <c r="G502" s="6">
        <v>155.33980579999999</v>
      </c>
      <c r="H502" s="6">
        <v>4</v>
      </c>
      <c r="I502" s="6">
        <v>160</v>
      </c>
      <c r="J502" s="4">
        <v>37.86407767</v>
      </c>
      <c r="K502" s="3" t="s">
        <v>54</v>
      </c>
    </row>
    <row r="503" spans="1:11" x14ac:dyDescent="0.25">
      <c r="A503" s="22" t="s">
        <v>803</v>
      </c>
      <c r="B503" s="24" t="s">
        <v>771</v>
      </c>
      <c r="C503" s="3" t="s">
        <v>16</v>
      </c>
      <c r="D503" s="6">
        <v>828112</v>
      </c>
      <c r="E503" s="6">
        <v>7117</v>
      </c>
      <c r="F503" s="6">
        <v>3</v>
      </c>
      <c r="G503" s="6">
        <v>151.45631069999999</v>
      </c>
      <c r="H503" s="6">
        <v>4</v>
      </c>
      <c r="I503" s="6">
        <v>156</v>
      </c>
      <c r="J503" s="4">
        <v>47.57281553</v>
      </c>
      <c r="K503" s="3" t="s">
        <v>22</v>
      </c>
    </row>
    <row r="504" spans="1:11" x14ac:dyDescent="0.25">
      <c r="A504" s="22" t="s">
        <v>804</v>
      </c>
      <c r="B504" s="24" t="s">
        <v>793</v>
      </c>
      <c r="C504" s="3" t="s">
        <v>16</v>
      </c>
      <c r="D504" s="6">
        <v>500030</v>
      </c>
      <c r="E504" s="6">
        <v>7117</v>
      </c>
      <c r="F504" s="6">
        <v>3</v>
      </c>
      <c r="G504" s="6">
        <v>169.90291260000001</v>
      </c>
      <c r="H504" s="6">
        <v>5</v>
      </c>
      <c r="I504" s="6">
        <v>175</v>
      </c>
      <c r="J504" s="4">
        <v>48.543689319999999</v>
      </c>
      <c r="K504" s="3" t="s">
        <v>46</v>
      </c>
    </row>
    <row r="505" spans="1:11" x14ac:dyDescent="0.25">
      <c r="A505" s="22" t="s">
        <v>805</v>
      </c>
      <c r="B505" s="24" t="s">
        <v>790</v>
      </c>
      <c r="C505" s="3" t="s">
        <v>25</v>
      </c>
      <c r="D505" s="6">
        <v>486331</v>
      </c>
      <c r="E505" s="6">
        <v>7117</v>
      </c>
      <c r="F505" s="6">
        <v>3</v>
      </c>
      <c r="G505" s="6">
        <v>162.1359223</v>
      </c>
      <c r="H505" s="6">
        <v>4</v>
      </c>
      <c r="I505" s="6">
        <v>167</v>
      </c>
      <c r="J505" s="4">
        <v>48.543689319999999</v>
      </c>
      <c r="K505" s="3" t="s">
        <v>10</v>
      </c>
    </row>
    <row r="506" spans="1:11" x14ac:dyDescent="0.25">
      <c r="A506" s="22" t="s">
        <v>806</v>
      </c>
      <c r="B506" s="24" t="s">
        <v>767</v>
      </c>
      <c r="C506" s="3" t="s">
        <v>16</v>
      </c>
      <c r="D506" s="6">
        <v>841226</v>
      </c>
      <c r="E506" s="6">
        <v>7117</v>
      </c>
      <c r="F506" s="6">
        <v>3</v>
      </c>
      <c r="G506" s="6">
        <v>164.07766989999999</v>
      </c>
      <c r="H506" s="6">
        <v>4</v>
      </c>
      <c r="I506" s="6">
        <v>169</v>
      </c>
      <c r="J506" s="4">
        <v>46.601941750000002</v>
      </c>
      <c r="K506" s="3" t="s">
        <v>19</v>
      </c>
    </row>
    <row r="507" spans="1:11" x14ac:dyDescent="0.25">
      <c r="A507" s="22" t="s">
        <v>807</v>
      </c>
      <c r="B507" s="24" t="s">
        <v>779</v>
      </c>
      <c r="C507" s="3" t="s">
        <v>16</v>
      </c>
      <c r="D507" s="6">
        <v>421002</v>
      </c>
      <c r="E507" s="6">
        <v>7117</v>
      </c>
      <c r="F507" s="6">
        <v>3</v>
      </c>
      <c r="G507" s="6">
        <v>153.3980583</v>
      </c>
      <c r="H507" s="6">
        <v>4</v>
      </c>
      <c r="I507" s="6">
        <v>158</v>
      </c>
      <c r="J507" s="4">
        <v>35.922330100000003</v>
      </c>
      <c r="K507" s="3" t="s">
        <v>63</v>
      </c>
    </row>
    <row r="508" spans="1:11" x14ac:dyDescent="0.25">
      <c r="A508" s="22" t="s">
        <v>808</v>
      </c>
      <c r="B508" s="24" t="s">
        <v>779</v>
      </c>
      <c r="C508" s="3" t="s">
        <v>16</v>
      </c>
      <c r="D508" s="6">
        <v>852109</v>
      </c>
      <c r="E508" s="6">
        <v>330410</v>
      </c>
      <c r="F508" s="6">
        <v>18</v>
      </c>
      <c r="G508" s="6">
        <v>202.5423729</v>
      </c>
      <c r="H508" s="6">
        <v>36</v>
      </c>
      <c r="I508" s="6">
        <v>239</v>
      </c>
      <c r="J508" s="4">
        <v>45.762711860000003</v>
      </c>
      <c r="K508" s="3" t="s">
        <v>17</v>
      </c>
    </row>
    <row r="509" spans="1:11" x14ac:dyDescent="0.25">
      <c r="A509" s="22" t="s">
        <v>809</v>
      </c>
      <c r="B509" s="24" t="s">
        <v>779</v>
      </c>
      <c r="C509" s="3" t="s">
        <v>25</v>
      </c>
      <c r="D509" s="6">
        <v>403521</v>
      </c>
      <c r="E509" s="6">
        <v>7117</v>
      </c>
      <c r="F509" s="6">
        <v>3</v>
      </c>
      <c r="G509" s="6">
        <v>147.57281549999999</v>
      </c>
      <c r="H509" s="6">
        <v>4</v>
      </c>
      <c r="I509" s="6">
        <v>152</v>
      </c>
      <c r="J509" s="4">
        <v>53.398058249999998</v>
      </c>
      <c r="K509" s="3" t="s">
        <v>27</v>
      </c>
    </row>
    <row r="510" spans="1:11" x14ac:dyDescent="0.25">
      <c r="A510" s="22" t="s">
        <v>810</v>
      </c>
      <c r="B510" s="24" t="s">
        <v>775</v>
      </c>
      <c r="C510" s="3" t="s">
        <v>16</v>
      </c>
      <c r="D510" s="6">
        <v>804432</v>
      </c>
      <c r="E510" s="6">
        <v>7117</v>
      </c>
      <c r="F510" s="6">
        <v>3</v>
      </c>
      <c r="G510" s="6">
        <v>188.34951459999999</v>
      </c>
      <c r="H510" s="6">
        <v>5</v>
      </c>
      <c r="I510" s="6">
        <v>194</v>
      </c>
      <c r="J510" s="4">
        <v>70.873786409999994</v>
      </c>
      <c r="K510" s="3" t="s">
        <v>54</v>
      </c>
    </row>
    <row r="511" spans="1:11" x14ac:dyDescent="0.25">
      <c r="A511" s="22" t="s">
        <v>811</v>
      </c>
      <c r="B511" s="24" t="s">
        <v>790</v>
      </c>
      <c r="C511" s="3" t="s">
        <v>52</v>
      </c>
      <c r="D511" s="6">
        <v>495004</v>
      </c>
      <c r="E511" s="6">
        <v>7117</v>
      </c>
      <c r="F511" s="6">
        <v>3</v>
      </c>
      <c r="G511" s="6">
        <v>162.1359223</v>
      </c>
      <c r="H511" s="6">
        <v>4</v>
      </c>
      <c r="I511" s="6">
        <v>167</v>
      </c>
      <c r="J511" s="4">
        <v>48.543689319999999</v>
      </c>
      <c r="K511" s="3" t="s">
        <v>10</v>
      </c>
    </row>
    <row r="512" spans="1:11" x14ac:dyDescent="0.25">
      <c r="A512" s="22" t="s">
        <v>812</v>
      </c>
      <c r="B512" s="24" t="s">
        <v>813</v>
      </c>
      <c r="C512" s="3" t="s">
        <v>16</v>
      </c>
      <c r="D512" s="6">
        <v>335501</v>
      </c>
      <c r="E512" s="6">
        <v>7117</v>
      </c>
      <c r="F512" s="6">
        <v>3</v>
      </c>
      <c r="G512" s="6">
        <v>147.57281549999999</v>
      </c>
      <c r="H512" s="6">
        <v>4</v>
      </c>
      <c r="I512" s="6">
        <v>152</v>
      </c>
      <c r="J512" s="4">
        <v>53.398058249999998</v>
      </c>
      <c r="K512" s="3" t="s">
        <v>12</v>
      </c>
    </row>
    <row r="513" spans="1:11" x14ac:dyDescent="0.25">
      <c r="A513" s="22" t="s">
        <v>814</v>
      </c>
      <c r="B513" s="24" t="s">
        <v>815</v>
      </c>
      <c r="C513" s="3" t="s">
        <v>9</v>
      </c>
      <c r="D513" s="6">
        <v>829301</v>
      </c>
      <c r="E513" s="6">
        <v>7117</v>
      </c>
      <c r="F513" s="6">
        <v>3</v>
      </c>
      <c r="G513" s="6">
        <v>111.65048539999999</v>
      </c>
      <c r="H513" s="6">
        <v>3</v>
      </c>
      <c r="I513" s="6">
        <v>115</v>
      </c>
      <c r="J513" s="4">
        <v>44.660194169999997</v>
      </c>
      <c r="K513" s="3" t="s">
        <v>10</v>
      </c>
    </row>
    <row r="514" spans="1:11" x14ac:dyDescent="0.25">
      <c r="A514" s="22" t="s">
        <v>816</v>
      </c>
      <c r="B514" s="24" t="s">
        <v>817</v>
      </c>
      <c r="C514" s="3" t="s">
        <v>16</v>
      </c>
      <c r="D514" s="6">
        <v>534437</v>
      </c>
      <c r="E514" s="6">
        <v>7117</v>
      </c>
      <c r="F514" s="6">
        <v>3</v>
      </c>
      <c r="G514" s="6">
        <v>146.6019417</v>
      </c>
      <c r="H514" s="6">
        <v>4</v>
      </c>
      <c r="I514" s="6">
        <v>151</v>
      </c>
      <c r="J514" s="4">
        <v>66.990291260000006</v>
      </c>
      <c r="K514" s="3" t="s">
        <v>19</v>
      </c>
    </row>
    <row r="515" spans="1:11" x14ac:dyDescent="0.25">
      <c r="A515" s="22" t="s">
        <v>818</v>
      </c>
      <c r="B515" s="24" t="s">
        <v>779</v>
      </c>
      <c r="C515" s="3" t="s">
        <v>16</v>
      </c>
      <c r="D515" s="6">
        <v>811315</v>
      </c>
      <c r="E515" s="6">
        <v>7117</v>
      </c>
      <c r="F515" s="6">
        <v>3</v>
      </c>
      <c r="G515" s="6">
        <v>214.56310680000001</v>
      </c>
      <c r="H515" s="6">
        <v>6</v>
      </c>
      <c r="I515" s="6">
        <v>221</v>
      </c>
      <c r="J515" s="4">
        <v>60.194174760000003</v>
      </c>
      <c r="K515" s="3" t="s">
        <v>41</v>
      </c>
    </row>
    <row r="516" spans="1:11" x14ac:dyDescent="0.25">
      <c r="A516" s="22" t="s">
        <v>819</v>
      </c>
      <c r="B516" s="24" t="s">
        <v>793</v>
      </c>
      <c r="C516" s="3" t="s">
        <v>9</v>
      </c>
      <c r="D516" s="6">
        <v>281501</v>
      </c>
      <c r="E516" s="6">
        <v>7117</v>
      </c>
      <c r="F516" s="6">
        <v>3</v>
      </c>
      <c r="G516" s="6">
        <v>161.16504850000001</v>
      </c>
      <c r="H516" s="6">
        <v>4</v>
      </c>
      <c r="I516" s="6">
        <v>166</v>
      </c>
      <c r="J516" s="4">
        <v>43.689320389999999</v>
      </c>
      <c r="K516" s="3" t="s">
        <v>53</v>
      </c>
    </row>
    <row r="517" spans="1:11" x14ac:dyDescent="0.25">
      <c r="A517" s="22" t="s">
        <v>820</v>
      </c>
      <c r="B517" s="24" t="s">
        <v>769</v>
      </c>
      <c r="C517" s="3" t="s">
        <v>9</v>
      </c>
      <c r="D517" s="6">
        <v>814152</v>
      </c>
      <c r="E517" s="6">
        <v>7117</v>
      </c>
      <c r="F517" s="6">
        <v>3</v>
      </c>
      <c r="G517" s="6">
        <v>170.8737864</v>
      </c>
      <c r="H517" s="6">
        <v>5</v>
      </c>
      <c r="I517" s="6">
        <v>176</v>
      </c>
      <c r="J517" s="4">
        <v>53.398058249999998</v>
      </c>
      <c r="K517" s="3" t="s">
        <v>12</v>
      </c>
    </row>
    <row r="518" spans="1:11" x14ac:dyDescent="0.25">
      <c r="A518" s="22" t="s">
        <v>821</v>
      </c>
      <c r="B518" s="24" t="s">
        <v>802</v>
      </c>
      <c r="C518" s="3" t="s">
        <v>9</v>
      </c>
      <c r="D518" s="6">
        <v>531024</v>
      </c>
      <c r="E518" s="6">
        <v>7117</v>
      </c>
      <c r="F518" s="6">
        <v>3</v>
      </c>
      <c r="G518" s="6">
        <v>193.20388349999999</v>
      </c>
      <c r="H518" s="6">
        <v>5</v>
      </c>
      <c r="I518" s="6">
        <v>199</v>
      </c>
      <c r="J518" s="4">
        <v>52.42718447</v>
      </c>
      <c r="K518" s="3" t="s">
        <v>27</v>
      </c>
    </row>
    <row r="519" spans="1:11" x14ac:dyDescent="0.25">
      <c r="A519" s="22" t="s">
        <v>822</v>
      </c>
      <c r="B519" s="24" t="s">
        <v>823</v>
      </c>
      <c r="C519" s="3" t="s">
        <v>16</v>
      </c>
      <c r="D519" s="6">
        <v>431501</v>
      </c>
      <c r="E519" s="6">
        <v>7117</v>
      </c>
      <c r="F519" s="6">
        <v>3</v>
      </c>
      <c r="G519" s="6">
        <v>122.3300971</v>
      </c>
      <c r="H519" s="6">
        <v>3</v>
      </c>
      <c r="I519" s="6">
        <v>126</v>
      </c>
      <c r="J519" s="4">
        <v>28.155339810000001</v>
      </c>
      <c r="K519" s="3" t="s">
        <v>46</v>
      </c>
    </row>
    <row r="520" spans="1:11" x14ac:dyDescent="0.25">
      <c r="A520" s="22" t="s">
        <v>824</v>
      </c>
      <c r="B520" s="24" t="s">
        <v>767</v>
      </c>
      <c r="C520" s="3" t="s">
        <v>16</v>
      </c>
      <c r="D520" s="6">
        <v>140402</v>
      </c>
      <c r="E520" s="6">
        <v>7117</v>
      </c>
      <c r="F520" s="6">
        <v>3</v>
      </c>
      <c r="G520" s="6">
        <v>152.42718450000001</v>
      </c>
      <c r="H520" s="6">
        <v>4</v>
      </c>
      <c r="I520" s="6">
        <v>157</v>
      </c>
      <c r="J520" s="4">
        <v>48.543689319999999</v>
      </c>
      <c r="K520" s="3" t="s">
        <v>22</v>
      </c>
    </row>
    <row r="521" spans="1:11" x14ac:dyDescent="0.25">
      <c r="A521" s="22" t="s">
        <v>825</v>
      </c>
      <c r="B521" s="24" t="s">
        <v>771</v>
      </c>
      <c r="C521" s="3" t="s">
        <v>16</v>
      </c>
      <c r="D521" s="6">
        <v>501218</v>
      </c>
      <c r="E521" s="6">
        <v>7117</v>
      </c>
      <c r="F521" s="6">
        <v>3</v>
      </c>
      <c r="G521" s="6">
        <v>166.0194175</v>
      </c>
      <c r="H521" s="6">
        <v>4</v>
      </c>
      <c r="I521" s="6">
        <v>171</v>
      </c>
      <c r="J521" s="4">
        <v>44.660194169999997</v>
      </c>
      <c r="K521" s="3" t="s">
        <v>10</v>
      </c>
    </row>
    <row r="522" spans="1:11" x14ac:dyDescent="0.25">
      <c r="A522" s="22" t="s">
        <v>826</v>
      </c>
      <c r="B522" s="24" t="s">
        <v>786</v>
      </c>
      <c r="C522" s="3" t="s">
        <v>25</v>
      </c>
      <c r="D522" s="6">
        <v>273006</v>
      </c>
      <c r="E522" s="6">
        <v>7117</v>
      </c>
      <c r="F522" s="6">
        <v>3</v>
      </c>
      <c r="G522" s="6">
        <v>160.19417480000001</v>
      </c>
      <c r="H522" s="6">
        <v>4</v>
      </c>
      <c r="I522" s="6">
        <v>165</v>
      </c>
      <c r="J522" s="4">
        <v>42.7184466</v>
      </c>
      <c r="K522" s="3" t="s">
        <v>10</v>
      </c>
    </row>
    <row r="523" spans="1:11" x14ac:dyDescent="0.25">
      <c r="A523" s="22" t="s">
        <v>827</v>
      </c>
      <c r="B523" s="24" t="s">
        <v>784</v>
      </c>
      <c r="C523" s="3" t="s">
        <v>16</v>
      </c>
      <c r="D523" s="6">
        <v>440034</v>
      </c>
      <c r="E523" s="6">
        <v>7117</v>
      </c>
      <c r="F523" s="6">
        <v>3</v>
      </c>
      <c r="G523" s="6">
        <v>174.7572816</v>
      </c>
      <c r="H523" s="6">
        <v>5</v>
      </c>
      <c r="I523" s="6">
        <v>180</v>
      </c>
      <c r="J523" s="4">
        <v>33.009708740000001</v>
      </c>
      <c r="K523" s="3" t="s">
        <v>28</v>
      </c>
    </row>
    <row r="524" spans="1:11" x14ac:dyDescent="0.25">
      <c r="A524" s="22" t="s">
        <v>828</v>
      </c>
      <c r="B524" s="24" t="s">
        <v>779</v>
      </c>
      <c r="C524" s="3" t="s">
        <v>16</v>
      </c>
      <c r="D524" s="6">
        <v>276205</v>
      </c>
      <c r="E524" s="6">
        <v>7117</v>
      </c>
      <c r="F524" s="6">
        <v>3</v>
      </c>
      <c r="G524" s="6">
        <v>165.04854370000001</v>
      </c>
      <c r="H524" s="6">
        <v>4</v>
      </c>
      <c r="I524" s="6">
        <v>170</v>
      </c>
      <c r="J524" s="4">
        <v>47.57281553</v>
      </c>
      <c r="K524" s="3" t="s">
        <v>28</v>
      </c>
    </row>
    <row r="525" spans="1:11" x14ac:dyDescent="0.25">
      <c r="A525" s="22" t="s">
        <v>829</v>
      </c>
      <c r="B525" s="24" t="s">
        <v>790</v>
      </c>
      <c r="C525" s="3" t="s">
        <v>16</v>
      </c>
      <c r="D525" s="6">
        <v>303712</v>
      </c>
      <c r="E525" s="6">
        <v>330410</v>
      </c>
      <c r="F525" s="6">
        <v>18</v>
      </c>
      <c r="G525" s="6">
        <v>176.2711864</v>
      </c>
      <c r="H525" s="6">
        <v>31</v>
      </c>
      <c r="I525" s="6">
        <v>208</v>
      </c>
      <c r="J525" s="4">
        <v>45.762711860000003</v>
      </c>
      <c r="K525" s="3" t="s">
        <v>10</v>
      </c>
    </row>
    <row r="526" spans="1:11" x14ac:dyDescent="0.25">
      <c r="A526" s="22" t="s">
        <v>830</v>
      </c>
      <c r="B526" s="24" t="s">
        <v>782</v>
      </c>
      <c r="C526" s="3" t="s">
        <v>16</v>
      </c>
      <c r="D526" s="6">
        <v>493118</v>
      </c>
      <c r="E526" s="6">
        <v>7117</v>
      </c>
      <c r="F526" s="6">
        <v>3</v>
      </c>
      <c r="G526" s="6">
        <v>128.15533980000001</v>
      </c>
      <c r="H526" s="6">
        <v>3</v>
      </c>
      <c r="I526" s="6">
        <v>132</v>
      </c>
      <c r="J526" s="4">
        <v>33.980582519999999</v>
      </c>
      <c r="K526" s="3" t="s">
        <v>46</v>
      </c>
    </row>
    <row r="527" spans="1:11" x14ac:dyDescent="0.25">
      <c r="A527" s="22" t="s">
        <v>831</v>
      </c>
      <c r="B527" s="24" t="s">
        <v>771</v>
      </c>
      <c r="C527" s="3" t="s">
        <v>21</v>
      </c>
      <c r="D527" s="6">
        <v>145025</v>
      </c>
      <c r="E527" s="6">
        <v>7117</v>
      </c>
      <c r="F527" s="6">
        <v>3</v>
      </c>
      <c r="G527" s="6">
        <v>151.45631069999999</v>
      </c>
      <c r="H527" s="6">
        <v>4</v>
      </c>
      <c r="I527" s="6">
        <v>156</v>
      </c>
      <c r="J527" s="4">
        <v>47.57281553</v>
      </c>
      <c r="K527" s="3" t="s">
        <v>22</v>
      </c>
    </row>
    <row r="528" spans="1:11" x14ac:dyDescent="0.25">
      <c r="A528" s="22" t="s">
        <v>832</v>
      </c>
      <c r="B528" s="24" t="s">
        <v>795</v>
      </c>
      <c r="C528" s="3" t="s">
        <v>25</v>
      </c>
      <c r="D528" s="6">
        <v>121003</v>
      </c>
      <c r="E528" s="6">
        <v>7117</v>
      </c>
      <c r="F528" s="6">
        <v>3</v>
      </c>
      <c r="G528" s="6">
        <v>207.7669903</v>
      </c>
      <c r="H528" s="6">
        <v>6</v>
      </c>
      <c r="I528" s="6">
        <v>214</v>
      </c>
      <c r="J528" s="4">
        <v>53.398058249999998</v>
      </c>
      <c r="K528" s="3" t="s">
        <v>14</v>
      </c>
    </row>
    <row r="529" spans="1:11" x14ac:dyDescent="0.25">
      <c r="A529" s="22" t="s">
        <v>833</v>
      </c>
      <c r="B529" s="24" t="s">
        <v>775</v>
      </c>
      <c r="C529" s="3" t="s">
        <v>16</v>
      </c>
      <c r="D529" s="6">
        <v>207242</v>
      </c>
      <c r="E529" s="6">
        <v>7117</v>
      </c>
      <c r="F529" s="6">
        <v>3</v>
      </c>
      <c r="G529" s="6">
        <v>169.90291260000001</v>
      </c>
      <c r="H529" s="6">
        <v>5</v>
      </c>
      <c r="I529" s="6">
        <v>175</v>
      </c>
      <c r="J529" s="4">
        <v>52.42718447</v>
      </c>
      <c r="K529" s="3" t="s">
        <v>98</v>
      </c>
    </row>
    <row r="530" spans="1:11" x14ac:dyDescent="0.25">
      <c r="A530" s="22" t="s">
        <v>834</v>
      </c>
      <c r="B530" s="24" t="s">
        <v>784</v>
      </c>
      <c r="C530" s="3" t="s">
        <v>16</v>
      </c>
      <c r="D530" s="6">
        <v>788001</v>
      </c>
      <c r="E530" s="6">
        <v>7117</v>
      </c>
      <c r="F530" s="6">
        <v>3</v>
      </c>
      <c r="G530" s="6">
        <v>171.84466019999999</v>
      </c>
      <c r="H530" s="6">
        <v>5</v>
      </c>
      <c r="I530" s="6">
        <v>177</v>
      </c>
      <c r="J530" s="4">
        <v>54.368932039999997</v>
      </c>
      <c r="K530" s="3" t="s">
        <v>41</v>
      </c>
    </row>
    <row r="531" spans="1:11" x14ac:dyDescent="0.25">
      <c r="A531" s="22" t="s">
        <v>835</v>
      </c>
      <c r="B531" s="24" t="s">
        <v>795</v>
      </c>
      <c r="C531" s="3" t="s">
        <v>16</v>
      </c>
      <c r="D531" s="6">
        <v>501501</v>
      </c>
      <c r="E531" s="6">
        <v>7117</v>
      </c>
      <c r="F531" s="6">
        <v>3</v>
      </c>
      <c r="G531" s="6">
        <v>263.1067961</v>
      </c>
      <c r="H531" s="6">
        <v>7</v>
      </c>
      <c r="I531" s="6">
        <v>271</v>
      </c>
      <c r="J531" s="4">
        <v>66.990291260000006</v>
      </c>
      <c r="K531" s="3" t="s">
        <v>39</v>
      </c>
    </row>
    <row r="532" spans="1:11" x14ac:dyDescent="0.25">
      <c r="A532" s="22" t="s">
        <v>836</v>
      </c>
      <c r="B532" s="24" t="s">
        <v>837</v>
      </c>
      <c r="C532" s="3" t="s">
        <v>25</v>
      </c>
      <c r="D532" s="6">
        <v>847240</v>
      </c>
      <c r="E532" s="6">
        <v>7117</v>
      </c>
      <c r="F532" s="6">
        <v>3</v>
      </c>
      <c r="G532" s="6">
        <v>114.5631068</v>
      </c>
      <c r="H532" s="6">
        <v>3</v>
      </c>
      <c r="I532" s="6">
        <v>118</v>
      </c>
      <c r="J532" s="4">
        <v>47.57281553</v>
      </c>
      <c r="K532" s="3" t="s">
        <v>17</v>
      </c>
    </row>
    <row r="533" spans="1:11" x14ac:dyDescent="0.25">
      <c r="A533" s="22" t="s">
        <v>838</v>
      </c>
      <c r="B533" s="24" t="s">
        <v>839</v>
      </c>
      <c r="C533" s="3" t="s">
        <v>16</v>
      </c>
      <c r="D533" s="6">
        <v>844115</v>
      </c>
      <c r="E533" s="6">
        <v>7117</v>
      </c>
      <c r="F533" s="6">
        <v>3</v>
      </c>
      <c r="G533" s="6">
        <v>146.6019417</v>
      </c>
      <c r="H533" s="6">
        <v>4</v>
      </c>
      <c r="I533" s="6">
        <v>151</v>
      </c>
      <c r="J533" s="4">
        <v>29.126213589999999</v>
      </c>
      <c r="K533" s="3" t="s">
        <v>10</v>
      </c>
    </row>
    <row r="534" spans="1:11" x14ac:dyDescent="0.25">
      <c r="A534" s="22" t="s">
        <v>840</v>
      </c>
      <c r="B534" s="24" t="s">
        <v>797</v>
      </c>
      <c r="C534" s="3" t="s">
        <v>16</v>
      </c>
      <c r="D534" s="6">
        <v>276123</v>
      </c>
      <c r="E534" s="6">
        <v>330410</v>
      </c>
      <c r="F534" s="6">
        <v>18</v>
      </c>
      <c r="G534" s="6">
        <v>205.93220339999999</v>
      </c>
      <c r="H534" s="6">
        <v>37</v>
      </c>
      <c r="I534" s="6">
        <v>243</v>
      </c>
      <c r="J534" s="4">
        <v>49.152542369999999</v>
      </c>
      <c r="K534" s="3" t="s">
        <v>63</v>
      </c>
    </row>
    <row r="535" spans="1:11" x14ac:dyDescent="0.25">
      <c r="A535" s="22" t="s">
        <v>841</v>
      </c>
      <c r="B535" s="24" t="s">
        <v>782</v>
      </c>
      <c r="C535" s="3" t="s">
        <v>25</v>
      </c>
      <c r="D535" s="6">
        <v>761105</v>
      </c>
      <c r="E535" s="6">
        <v>7117</v>
      </c>
      <c r="F535" s="6">
        <v>3</v>
      </c>
      <c r="G535" s="6">
        <v>147.57281549999999</v>
      </c>
      <c r="H535" s="6">
        <v>4</v>
      </c>
      <c r="I535" s="6">
        <v>152</v>
      </c>
      <c r="J535" s="4">
        <v>53.398058249999998</v>
      </c>
      <c r="K535" s="3" t="s">
        <v>26</v>
      </c>
    </row>
    <row r="536" spans="1:11" x14ac:dyDescent="0.25">
      <c r="A536" s="22" t="s">
        <v>842</v>
      </c>
      <c r="B536" s="24" t="s">
        <v>823</v>
      </c>
      <c r="C536" s="3" t="s">
        <v>9</v>
      </c>
      <c r="D536" s="6">
        <v>400053</v>
      </c>
      <c r="E536" s="6">
        <v>7117</v>
      </c>
      <c r="F536" s="6">
        <v>3</v>
      </c>
      <c r="G536" s="6">
        <v>166.9902913</v>
      </c>
      <c r="H536" s="6">
        <v>5</v>
      </c>
      <c r="I536" s="6">
        <v>172</v>
      </c>
      <c r="J536" s="4">
        <v>45.631067960000003</v>
      </c>
      <c r="K536" s="3" t="s">
        <v>10</v>
      </c>
    </row>
    <row r="537" spans="1:11" x14ac:dyDescent="0.25">
      <c r="A537" s="22" t="s">
        <v>843</v>
      </c>
      <c r="B537" s="24" t="s">
        <v>771</v>
      </c>
      <c r="C537" s="3" t="s">
        <v>21</v>
      </c>
      <c r="D537" s="6">
        <v>845451</v>
      </c>
      <c r="E537" s="6">
        <v>7117</v>
      </c>
      <c r="F537" s="6">
        <v>3</v>
      </c>
      <c r="G537" s="6">
        <v>159.22330099999999</v>
      </c>
      <c r="H537" s="6">
        <v>4</v>
      </c>
      <c r="I537" s="6">
        <v>164</v>
      </c>
      <c r="J537" s="4">
        <v>37.86407767</v>
      </c>
      <c r="K537" s="3" t="s">
        <v>27</v>
      </c>
    </row>
    <row r="538" spans="1:11" x14ac:dyDescent="0.25">
      <c r="A538" s="22" t="s">
        <v>844</v>
      </c>
      <c r="B538" s="24" t="s">
        <v>839</v>
      </c>
      <c r="C538" s="3" t="s">
        <v>16</v>
      </c>
      <c r="D538" s="6">
        <v>332719</v>
      </c>
      <c r="E538" s="6">
        <v>7117</v>
      </c>
      <c r="F538" s="6">
        <v>3</v>
      </c>
      <c r="G538" s="6">
        <v>150.4854369</v>
      </c>
      <c r="H538" s="6">
        <v>4</v>
      </c>
      <c r="I538" s="6">
        <v>155</v>
      </c>
      <c r="J538" s="4">
        <v>33.009708740000001</v>
      </c>
      <c r="K538" s="3" t="s">
        <v>44</v>
      </c>
    </row>
    <row r="539" spans="1:11" x14ac:dyDescent="0.25">
      <c r="A539" s="22" t="s">
        <v>845</v>
      </c>
      <c r="B539" s="24" t="s">
        <v>777</v>
      </c>
      <c r="C539" s="3" t="s">
        <v>21</v>
      </c>
      <c r="D539" s="6">
        <v>281501</v>
      </c>
      <c r="E539" s="6">
        <v>7117</v>
      </c>
      <c r="F539" s="6">
        <v>3</v>
      </c>
      <c r="G539" s="6">
        <v>204.8543689</v>
      </c>
      <c r="H539" s="6">
        <v>6</v>
      </c>
      <c r="I539" s="6">
        <v>211</v>
      </c>
      <c r="J539" s="4">
        <v>49.514563109999997</v>
      </c>
      <c r="K539" s="3" t="s">
        <v>63</v>
      </c>
    </row>
    <row r="540" spans="1:11" x14ac:dyDescent="0.25">
      <c r="A540" s="22" t="s">
        <v>846</v>
      </c>
      <c r="B540" s="24" t="s">
        <v>847</v>
      </c>
      <c r="C540" s="3" t="s">
        <v>9</v>
      </c>
      <c r="D540" s="6">
        <v>263126</v>
      </c>
      <c r="E540" s="6">
        <v>7117</v>
      </c>
      <c r="F540" s="6">
        <v>3</v>
      </c>
      <c r="G540" s="6">
        <v>112.6213592</v>
      </c>
      <c r="H540" s="6">
        <v>3</v>
      </c>
      <c r="I540" s="6">
        <v>116</v>
      </c>
      <c r="J540" s="4">
        <v>45.631067960000003</v>
      </c>
      <c r="K540" s="3" t="s">
        <v>10</v>
      </c>
    </row>
    <row r="541" spans="1:11" x14ac:dyDescent="0.25">
      <c r="A541" s="22" t="s">
        <v>848</v>
      </c>
      <c r="B541" s="24" t="s">
        <v>837</v>
      </c>
      <c r="C541" s="3" t="s">
        <v>16</v>
      </c>
      <c r="D541" s="6">
        <v>312601</v>
      </c>
      <c r="E541" s="6">
        <v>7117</v>
      </c>
      <c r="F541" s="6">
        <v>3</v>
      </c>
      <c r="G541" s="6">
        <v>176.69902909999999</v>
      </c>
      <c r="H541" s="6">
        <v>5</v>
      </c>
      <c r="I541" s="6">
        <v>182</v>
      </c>
      <c r="J541" s="4">
        <v>55.339805830000003</v>
      </c>
      <c r="K541" s="3" t="s">
        <v>12</v>
      </c>
    </row>
    <row r="542" spans="1:11" x14ac:dyDescent="0.25">
      <c r="A542" s="22" t="s">
        <v>849</v>
      </c>
      <c r="B542" s="24" t="s">
        <v>850</v>
      </c>
      <c r="C542" s="3" t="s">
        <v>16</v>
      </c>
      <c r="D542" s="6">
        <v>110053</v>
      </c>
      <c r="E542" s="6">
        <v>7117</v>
      </c>
      <c r="F542" s="6">
        <v>3</v>
      </c>
      <c r="G542" s="6">
        <v>167.96116499999999</v>
      </c>
      <c r="H542" s="6">
        <v>5</v>
      </c>
      <c r="I542" s="6">
        <v>173</v>
      </c>
      <c r="J542" s="4">
        <v>36.893203880000002</v>
      </c>
      <c r="K542" s="3" t="s">
        <v>14</v>
      </c>
    </row>
    <row r="543" spans="1:11" x14ac:dyDescent="0.25">
      <c r="A543" s="22" t="s">
        <v>851</v>
      </c>
      <c r="B543" s="24" t="s">
        <v>837</v>
      </c>
      <c r="C543" s="3" t="s">
        <v>25</v>
      </c>
      <c r="D543" s="6">
        <v>277123</v>
      </c>
      <c r="E543" s="6">
        <v>7117</v>
      </c>
      <c r="F543" s="6">
        <v>3</v>
      </c>
      <c r="G543" s="6">
        <v>163.1067961</v>
      </c>
      <c r="H543" s="6">
        <v>4</v>
      </c>
      <c r="I543" s="6">
        <v>168</v>
      </c>
      <c r="J543" s="4">
        <v>45.631067960000003</v>
      </c>
      <c r="K543" s="3" t="s">
        <v>17</v>
      </c>
    </row>
    <row r="544" spans="1:11" x14ac:dyDescent="0.25">
      <c r="A544" s="22" t="s">
        <v>852</v>
      </c>
      <c r="B544" s="24" t="s">
        <v>817</v>
      </c>
      <c r="C544" s="3" t="s">
        <v>16</v>
      </c>
      <c r="D544" s="6">
        <v>700119</v>
      </c>
      <c r="E544" s="6">
        <v>7117</v>
      </c>
      <c r="F544" s="6">
        <v>3</v>
      </c>
      <c r="G544" s="6">
        <v>208.7378641</v>
      </c>
      <c r="H544" s="6">
        <v>6</v>
      </c>
      <c r="I544" s="6">
        <v>215</v>
      </c>
      <c r="J544" s="4">
        <v>54.368932039999997</v>
      </c>
      <c r="K544" s="3" t="s">
        <v>41</v>
      </c>
    </row>
    <row r="545" spans="1:11" x14ac:dyDescent="0.25">
      <c r="A545" s="22" t="s">
        <v>853</v>
      </c>
      <c r="B545" s="24" t="s">
        <v>817</v>
      </c>
      <c r="C545" s="3" t="s">
        <v>16</v>
      </c>
      <c r="D545" s="6">
        <v>440017</v>
      </c>
      <c r="E545" s="6">
        <v>7117</v>
      </c>
      <c r="F545" s="6">
        <v>3</v>
      </c>
      <c r="G545" s="6">
        <v>141.7475728</v>
      </c>
      <c r="H545" s="6">
        <v>4</v>
      </c>
      <c r="I545" s="6">
        <v>146</v>
      </c>
      <c r="J545" s="4">
        <v>47.57281553</v>
      </c>
      <c r="K545" s="3" t="s">
        <v>28</v>
      </c>
    </row>
    <row r="546" spans="1:11" x14ac:dyDescent="0.25">
      <c r="A546" s="22" t="s">
        <v>854</v>
      </c>
      <c r="B546" s="24" t="s">
        <v>837</v>
      </c>
      <c r="C546" s="3" t="s">
        <v>25</v>
      </c>
      <c r="D546" s="6">
        <v>232327</v>
      </c>
      <c r="E546" s="6">
        <v>7117</v>
      </c>
      <c r="F546" s="6">
        <v>3</v>
      </c>
      <c r="G546" s="6">
        <v>191.2621359</v>
      </c>
      <c r="H546" s="6">
        <v>5</v>
      </c>
      <c r="I546" s="6">
        <v>197</v>
      </c>
      <c r="J546" s="4">
        <v>69.902912619999995</v>
      </c>
      <c r="K546" s="3" t="s">
        <v>967</v>
      </c>
    </row>
    <row r="547" spans="1:11" x14ac:dyDescent="0.25">
      <c r="A547" s="22" t="s">
        <v>855</v>
      </c>
      <c r="B547" s="24" t="s">
        <v>775</v>
      </c>
      <c r="C547" s="3" t="s">
        <v>25</v>
      </c>
      <c r="D547" s="6">
        <v>144001</v>
      </c>
      <c r="E547" s="6">
        <v>7117</v>
      </c>
      <c r="F547" s="6">
        <v>3</v>
      </c>
      <c r="G547" s="6">
        <v>147.57281549999999</v>
      </c>
      <c r="H547" s="6">
        <v>4</v>
      </c>
      <c r="I547" s="6">
        <v>152</v>
      </c>
      <c r="J547" s="4">
        <v>53.398058249999998</v>
      </c>
      <c r="K547" s="3" t="s">
        <v>37</v>
      </c>
    </row>
    <row r="548" spans="1:11" x14ac:dyDescent="0.25">
      <c r="A548" s="22" t="s">
        <v>856</v>
      </c>
      <c r="B548" s="24" t="s">
        <v>782</v>
      </c>
      <c r="C548" s="3" t="s">
        <v>9</v>
      </c>
      <c r="D548" s="6">
        <v>766100</v>
      </c>
      <c r="E548" s="6">
        <v>7117</v>
      </c>
      <c r="F548" s="6">
        <v>3</v>
      </c>
      <c r="G548" s="6">
        <v>186.40776700000001</v>
      </c>
      <c r="H548" s="6">
        <v>5</v>
      </c>
      <c r="I548" s="6">
        <v>192</v>
      </c>
      <c r="J548" s="4">
        <v>32.038834950000002</v>
      </c>
      <c r="K548" s="3" t="s">
        <v>10</v>
      </c>
    </row>
    <row r="549" spans="1:11" x14ac:dyDescent="0.25">
      <c r="A549" s="22" t="s">
        <v>857</v>
      </c>
      <c r="B549" s="24" t="s">
        <v>797</v>
      </c>
      <c r="C549" s="3" t="s">
        <v>25</v>
      </c>
      <c r="D549" s="6">
        <v>276123</v>
      </c>
      <c r="E549" s="6">
        <v>7117</v>
      </c>
      <c r="F549" s="6">
        <v>3</v>
      </c>
      <c r="G549" s="6">
        <v>153.3980583</v>
      </c>
      <c r="H549" s="6">
        <v>4</v>
      </c>
      <c r="I549" s="6">
        <v>158</v>
      </c>
      <c r="J549" s="4">
        <v>35.922330100000003</v>
      </c>
      <c r="K549" s="3" t="s">
        <v>46</v>
      </c>
    </row>
    <row r="550" spans="1:11" x14ac:dyDescent="0.25">
      <c r="A550" s="22" t="s">
        <v>858</v>
      </c>
      <c r="B550" s="24" t="s">
        <v>859</v>
      </c>
      <c r="C550" s="3" t="s">
        <v>25</v>
      </c>
      <c r="D550" s="6">
        <v>591234</v>
      </c>
      <c r="E550" s="6">
        <v>7117</v>
      </c>
      <c r="F550" s="6">
        <v>3</v>
      </c>
      <c r="G550" s="6">
        <v>166.9902913</v>
      </c>
      <c r="H550" s="6">
        <v>5</v>
      </c>
      <c r="I550" s="6">
        <v>172</v>
      </c>
      <c r="J550" s="4">
        <v>45.631067960000003</v>
      </c>
      <c r="K550" s="3" t="s">
        <v>10</v>
      </c>
    </row>
    <row r="551" spans="1:11" x14ac:dyDescent="0.25">
      <c r="A551" s="22" t="s">
        <v>860</v>
      </c>
      <c r="B551" s="24" t="s">
        <v>861</v>
      </c>
      <c r="C551" s="3" t="s">
        <v>52</v>
      </c>
      <c r="D551" s="6">
        <v>844102</v>
      </c>
      <c r="E551" s="6">
        <v>330410</v>
      </c>
      <c r="F551" s="6">
        <v>18</v>
      </c>
      <c r="G551" s="6">
        <v>413.55932200000001</v>
      </c>
      <c r="H551" s="6">
        <v>74</v>
      </c>
      <c r="I551" s="6">
        <v>488</v>
      </c>
      <c r="J551" s="4">
        <v>133.89830508</v>
      </c>
      <c r="K551" s="3" t="s">
        <v>967</v>
      </c>
    </row>
    <row r="552" spans="1:11" x14ac:dyDescent="0.25">
      <c r="A552" s="22" t="s">
        <v>862</v>
      </c>
      <c r="B552" s="24" t="s">
        <v>863</v>
      </c>
      <c r="C552" s="3" t="s">
        <v>25</v>
      </c>
      <c r="D552" s="6">
        <v>274702</v>
      </c>
      <c r="E552" s="6">
        <v>7117</v>
      </c>
      <c r="F552" s="6">
        <v>3</v>
      </c>
      <c r="G552" s="6">
        <v>174.7572816</v>
      </c>
      <c r="H552" s="6">
        <v>5</v>
      </c>
      <c r="I552" s="6">
        <v>180</v>
      </c>
      <c r="J552" s="4">
        <v>53.398058249999998</v>
      </c>
      <c r="K552" s="3" t="s">
        <v>23</v>
      </c>
    </row>
    <row r="553" spans="1:11" x14ac:dyDescent="0.25">
      <c r="A553" s="22" t="s">
        <v>864</v>
      </c>
      <c r="B553" s="24" t="s">
        <v>865</v>
      </c>
      <c r="C553" s="3" t="s">
        <v>25</v>
      </c>
      <c r="D553" s="6">
        <v>825408</v>
      </c>
      <c r="E553" s="6">
        <v>7117</v>
      </c>
      <c r="F553" s="6">
        <v>3</v>
      </c>
      <c r="G553" s="6">
        <v>177.66990290000001</v>
      </c>
      <c r="H553" s="6">
        <v>5</v>
      </c>
      <c r="I553" s="6">
        <v>183</v>
      </c>
      <c r="J553" s="4">
        <v>36.893203880000002</v>
      </c>
      <c r="K553" s="3" t="s">
        <v>39</v>
      </c>
    </row>
    <row r="554" spans="1:11" x14ac:dyDescent="0.25">
      <c r="A554" s="22" t="s">
        <v>866</v>
      </c>
      <c r="B554" s="24" t="s">
        <v>867</v>
      </c>
      <c r="C554" s="3" t="s">
        <v>9</v>
      </c>
      <c r="D554" s="6">
        <v>307024</v>
      </c>
      <c r="E554" s="6">
        <v>7117</v>
      </c>
      <c r="F554" s="6">
        <v>3</v>
      </c>
      <c r="G554" s="6">
        <v>137.8640777</v>
      </c>
      <c r="H554" s="6">
        <v>4</v>
      </c>
      <c r="I554" s="6">
        <v>142</v>
      </c>
      <c r="J554" s="4">
        <v>48.543689319999999</v>
      </c>
      <c r="K554" s="3" t="s">
        <v>10</v>
      </c>
    </row>
    <row r="555" spans="1:11" x14ac:dyDescent="0.25">
      <c r="A555" s="22" t="s">
        <v>868</v>
      </c>
      <c r="B555" s="24" t="s">
        <v>869</v>
      </c>
      <c r="C555" s="3" t="s">
        <v>16</v>
      </c>
      <c r="D555" s="6">
        <v>532430</v>
      </c>
      <c r="E555" s="6">
        <v>7117</v>
      </c>
      <c r="F555" s="6">
        <v>3</v>
      </c>
      <c r="G555" s="6">
        <v>168.93203879999999</v>
      </c>
      <c r="H555" s="6">
        <v>5</v>
      </c>
      <c r="I555" s="6">
        <v>174</v>
      </c>
      <c r="J555" s="4">
        <v>47.57281553</v>
      </c>
      <c r="K555" s="3" t="s">
        <v>17</v>
      </c>
    </row>
    <row r="556" spans="1:11" x14ac:dyDescent="0.25">
      <c r="A556" s="22" t="s">
        <v>870</v>
      </c>
      <c r="B556" s="24" t="s">
        <v>871</v>
      </c>
      <c r="C556" s="3" t="s">
        <v>16</v>
      </c>
      <c r="D556" s="6">
        <v>208021</v>
      </c>
      <c r="E556" s="6">
        <v>330410</v>
      </c>
      <c r="F556" s="6">
        <v>18</v>
      </c>
      <c r="G556" s="6">
        <v>202.5423729</v>
      </c>
      <c r="H556" s="6">
        <v>36</v>
      </c>
      <c r="I556" s="6">
        <v>239</v>
      </c>
      <c r="J556" s="4">
        <v>45.762711860000003</v>
      </c>
      <c r="K556" s="3" t="s">
        <v>63</v>
      </c>
    </row>
    <row r="557" spans="1:11" x14ac:dyDescent="0.25">
      <c r="A557" s="22" t="s">
        <v>872</v>
      </c>
      <c r="B557" s="24" t="s">
        <v>873</v>
      </c>
      <c r="C557" s="3" t="s">
        <v>25</v>
      </c>
      <c r="D557" s="6">
        <v>803114</v>
      </c>
      <c r="E557" s="6">
        <v>7117</v>
      </c>
      <c r="F557" s="6">
        <v>3</v>
      </c>
      <c r="G557" s="6">
        <v>175.7281553</v>
      </c>
      <c r="H557" s="6">
        <v>5</v>
      </c>
      <c r="I557" s="6">
        <v>181</v>
      </c>
      <c r="J557" s="4">
        <v>54.368932039999997</v>
      </c>
      <c r="K557" s="3" t="s">
        <v>19</v>
      </c>
    </row>
    <row r="558" spans="1:11" x14ac:dyDescent="0.25">
      <c r="A558" s="22" t="s">
        <v>874</v>
      </c>
      <c r="B558" s="24" t="s">
        <v>875</v>
      </c>
      <c r="C558" s="3" t="s">
        <v>25</v>
      </c>
      <c r="D558" s="6">
        <v>825409</v>
      </c>
      <c r="E558" s="6">
        <v>7117</v>
      </c>
      <c r="F558" s="6">
        <v>3</v>
      </c>
      <c r="G558" s="6">
        <v>189.32038829999999</v>
      </c>
      <c r="H558" s="6">
        <v>5</v>
      </c>
      <c r="I558" s="6">
        <v>195</v>
      </c>
      <c r="J558" s="4">
        <v>71.844660189999999</v>
      </c>
      <c r="K558" s="3" t="s">
        <v>967</v>
      </c>
    </row>
    <row r="559" spans="1:11" x14ac:dyDescent="0.25">
      <c r="A559" s="22" t="s">
        <v>876</v>
      </c>
      <c r="B559" s="24" t="s">
        <v>877</v>
      </c>
      <c r="C559" s="3" t="s">
        <v>21</v>
      </c>
      <c r="D559" s="6">
        <v>481880</v>
      </c>
      <c r="E559" s="6">
        <v>7117</v>
      </c>
      <c r="F559" s="6">
        <v>3</v>
      </c>
      <c r="G559" s="6">
        <v>148.54368930000001</v>
      </c>
      <c r="H559" s="6">
        <v>4</v>
      </c>
      <c r="I559" s="6">
        <v>153</v>
      </c>
      <c r="J559" s="4">
        <v>44.660194169999997</v>
      </c>
      <c r="K559" s="3" t="s">
        <v>53</v>
      </c>
    </row>
    <row r="560" spans="1:11" x14ac:dyDescent="0.25">
      <c r="A560" s="22" t="s">
        <v>878</v>
      </c>
      <c r="B560" s="24" t="s">
        <v>879</v>
      </c>
      <c r="C560" s="3" t="s">
        <v>16</v>
      </c>
      <c r="D560" s="6">
        <v>638152</v>
      </c>
      <c r="E560" s="6">
        <v>7117</v>
      </c>
      <c r="F560" s="6">
        <v>3</v>
      </c>
      <c r="G560" s="6">
        <v>273.78640780000001</v>
      </c>
      <c r="H560" s="6">
        <v>8</v>
      </c>
      <c r="I560" s="6">
        <v>282</v>
      </c>
      <c r="J560" s="4">
        <v>77.669902910000005</v>
      </c>
      <c r="K560" s="3" t="s">
        <v>39</v>
      </c>
    </row>
    <row r="561" spans="1:11" x14ac:dyDescent="0.25">
      <c r="A561" s="22" t="s">
        <v>880</v>
      </c>
      <c r="B561" s="24" t="s">
        <v>881</v>
      </c>
      <c r="C561" s="3" t="s">
        <v>9</v>
      </c>
      <c r="D561" s="6">
        <v>141006</v>
      </c>
      <c r="E561" s="6">
        <v>7117</v>
      </c>
      <c r="F561" s="6">
        <v>3</v>
      </c>
      <c r="G561" s="6">
        <v>227.18446599999999</v>
      </c>
      <c r="H561" s="6">
        <v>6</v>
      </c>
      <c r="I561" s="6">
        <v>234</v>
      </c>
      <c r="J561" s="4">
        <v>33.009708740000001</v>
      </c>
      <c r="K561" s="3" t="s">
        <v>10</v>
      </c>
    </row>
    <row r="562" spans="1:11" x14ac:dyDescent="0.25">
      <c r="A562" s="22" t="s">
        <v>882</v>
      </c>
      <c r="B562" s="24" t="s">
        <v>873</v>
      </c>
      <c r="C562" s="3" t="s">
        <v>16</v>
      </c>
      <c r="D562" s="6">
        <v>841436</v>
      </c>
      <c r="E562" s="6">
        <v>7117</v>
      </c>
      <c r="F562" s="6">
        <v>3</v>
      </c>
      <c r="G562" s="6">
        <v>166.0194175</v>
      </c>
      <c r="H562" s="6">
        <v>4</v>
      </c>
      <c r="I562" s="6">
        <v>171</v>
      </c>
      <c r="J562" s="4">
        <v>48.543689319999999</v>
      </c>
      <c r="K562" s="3" t="s">
        <v>22</v>
      </c>
    </row>
    <row r="563" spans="1:11" x14ac:dyDescent="0.25">
      <c r="A563" s="22" t="s">
        <v>883</v>
      </c>
      <c r="B563" s="24" t="s">
        <v>884</v>
      </c>
      <c r="C563" s="3" t="s">
        <v>25</v>
      </c>
      <c r="D563" s="6">
        <v>591234</v>
      </c>
      <c r="E563" s="6">
        <v>7117</v>
      </c>
      <c r="F563" s="6">
        <v>3</v>
      </c>
      <c r="G563" s="6">
        <v>145.631068</v>
      </c>
      <c r="H563" s="6">
        <v>4</v>
      </c>
      <c r="I563" s="6">
        <v>150</v>
      </c>
      <c r="J563" s="4">
        <v>48.543689319999999</v>
      </c>
      <c r="K563" s="3" t="s">
        <v>10</v>
      </c>
    </row>
    <row r="564" spans="1:11" x14ac:dyDescent="0.25">
      <c r="A564" s="22" t="s">
        <v>885</v>
      </c>
      <c r="B564" s="24" t="s">
        <v>863</v>
      </c>
      <c r="C564" s="3" t="s">
        <v>9</v>
      </c>
      <c r="D564" s="6">
        <v>601201</v>
      </c>
      <c r="E564" s="6">
        <v>330410</v>
      </c>
      <c r="F564" s="6">
        <v>18</v>
      </c>
      <c r="G564" s="6">
        <v>190.67796609999999</v>
      </c>
      <c r="H564" s="6">
        <v>34</v>
      </c>
      <c r="I564" s="6">
        <v>225</v>
      </c>
      <c r="J564" s="4">
        <v>54.237288139999997</v>
      </c>
      <c r="K564" s="3" t="s">
        <v>19</v>
      </c>
    </row>
    <row r="565" spans="1:11" x14ac:dyDescent="0.25">
      <c r="A565" s="22" t="s">
        <v>886</v>
      </c>
      <c r="B565" s="24" t="s">
        <v>865</v>
      </c>
      <c r="C565" s="3" t="s">
        <v>25</v>
      </c>
      <c r="D565" s="6">
        <v>822117</v>
      </c>
      <c r="E565" s="6">
        <v>330410</v>
      </c>
      <c r="F565" s="6">
        <v>18</v>
      </c>
      <c r="G565" s="6">
        <v>186.44067799999999</v>
      </c>
      <c r="H565" s="6">
        <v>33</v>
      </c>
      <c r="I565" s="6">
        <v>220</v>
      </c>
      <c r="J565" s="4">
        <v>46.610169489999997</v>
      </c>
      <c r="K565" s="3" t="s">
        <v>10</v>
      </c>
    </row>
    <row r="566" spans="1:11" x14ac:dyDescent="0.25">
      <c r="A566" s="22" t="s">
        <v>887</v>
      </c>
      <c r="B566" s="24" t="s">
        <v>869</v>
      </c>
      <c r="C566" s="3" t="s">
        <v>25</v>
      </c>
      <c r="D566" s="6">
        <v>493445</v>
      </c>
      <c r="E566" s="6">
        <v>7117</v>
      </c>
      <c r="F566" s="6">
        <v>3</v>
      </c>
      <c r="G566" s="6">
        <v>193.20388349999999</v>
      </c>
      <c r="H566" s="6">
        <v>5</v>
      </c>
      <c r="I566" s="6">
        <v>199</v>
      </c>
      <c r="J566" s="4">
        <v>52.42718447</v>
      </c>
      <c r="K566" s="3" t="s">
        <v>27</v>
      </c>
    </row>
    <row r="567" spans="1:11" x14ac:dyDescent="0.25">
      <c r="A567" s="22" t="s">
        <v>888</v>
      </c>
      <c r="B567" s="24" t="s">
        <v>889</v>
      </c>
      <c r="C567" s="3" t="s">
        <v>16</v>
      </c>
      <c r="D567" s="6">
        <v>272194</v>
      </c>
      <c r="E567" s="6">
        <v>7117</v>
      </c>
      <c r="F567" s="6">
        <v>3</v>
      </c>
      <c r="G567" s="6">
        <v>166.9902913</v>
      </c>
      <c r="H567" s="6">
        <v>5</v>
      </c>
      <c r="I567" s="6">
        <v>172</v>
      </c>
      <c r="J567" s="4">
        <v>45.631067960000003</v>
      </c>
      <c r="K567" s="3" t="s">
        <v>10</v>
      </c>
    </row>
    <row r="568" spans="1:11" x14ac:dyDescent="0.25">
      <c r="A568" s="22" t="s">
        <v>890</v>
      </c>
      <c r="B568" s="24" t="s">
        <v>891</v>
      </c>
      <c r="C568" s="3" t="s">
        <v>16</v>
      </c>
      <c r="D568" s="6">
        <v>272191</v>
      </c>
      <c r="E568" s="6">
        <v>7117</v>
      </c>
      <c r="F568" s="6">
        <v>3</v>
      </c>
      <c r="G568" s="6">
        <v>174.7572816</v>
      </c>
      <c r="H568" s="6">
        <v>5</v>
      </c>
      <c r="I568" s="6">
        <v>180</v>
      </c>
      <c r="J568" s="4">
        <v>53.398058249999998</v>
      </c>
      <c r="K568" s="3" t="s">
        <v>23</v>
      </c>
    </row>
    <row r="569" spans="1:11" x14ac:dyDescent="0.25">
      <c r="A569" s="22" t="s">
        <v>892</v>
      </c>
      <c r="B569" s="24" t="s">
        <v>893</v>
      </c>
      <c r="C569" s="3" t="s">
        <v>16</v>
      </c>
      <c r="D569" s="6">
        <v>455001</v>
      </c>
      <c r="E569" s="6">
        <v>7117</v>
      </c>
      <c r="F569" s="6">
        <v>3</v>
      </c>
      <c r="G569" s="6">
        <v>174.7572816</v>
      </c>
      <c r="H569" s="6">
        <v>5</v>
      </c>
      <c r="I569" s="6">
        <v>180</v>
      </c>
      <c r="J569" s="4">
        <v>53.398058249999998</v>
      </c>
      <c r="K569" s="3" t="s">
        <v>22</v>
      </c>
    </row>
    <row r="570" spans="1:11" x14ac:dyDescent="0.25">
      <c r="A570" s="22" t="s">
        <v>894</v>
      </c>
      <c r="B570" s="24" t="s">
        <v>895</v>
      </c>
      <c r="C570" s="3" t="s">
        <v>21</v>
      </c>
      <c r="D570" s="6">
        <v>212659</v>
      </c>
      <c r="E570" s="6">
        <v>7117</v>
      </c>
      <c r="F570" s="6">
        <v>3</v>
      </c>
      <c r="G570" s="6">
        <v>158.2524272</v>
      </c>
      <c r="H570" s="6">
        <v>4</v>
      </c>
      <c r="I570" s="6">
        <v>163</v>
      </c>
      <c r="J570" s="4">
        <v>54.368932039999997</v>
      </c>
      <c r="K570" s="3" t="s">
        <v>22</v>
      </c>
    </row>
    <row r="571" spans="1:11" x14ac:dyDescent="0.25">
      <c r="A571" s="22" t="s">
        <v>896</v>
      </c>
      <c r="B571" s="24" t="s">
        <v>869</v>
      </c>
      <c r="C571" s="3" t="s">
        <v>71</v>
      </c>
      <c r="D571" s="6">
        <v>442905</v>
      </c>
      <c r="E571" s="6">
        <v>7117</v>
      </c>
      <c r="F571" s="6">
        <v>3</v>
      </c>
      <c r="G571" s="6">
        <v>250.4854369</v>
      </c>
      <c r="H571" s="6">
        <v>7</v>
      </c>
      <c r="I571" s="6">
        <v>258</v>
      </c>
      <c r="J571" s="4">
        <v>54.368932039999997</v>
      </c>
      <c r="K571" s="3" t="s">
        <v>26</v>
      </c>
    </row>
    <row r="572" spans="1:11" x14ac:dyDescent="0.25">
      <c r="A572" s="22" t="s">
        <v>897</v>
      </c>
      <c r="B572" s="24" t="s">
        <v>898</v>
      </c>
      <c r="C572" s="3" t="s">
        <v>16</v>
      </c>
      <c r="D572" s="6">
        <v>799264</v>
      </c>
      <c r="E572" s="6">
        <v>7117</v>
      </c>
      <c r="F572" s="6">
        <v>3</v>
      </c>
      <c r="G572" s="6">
        <v>171.84466019999999</v>
      </c>
      <c r="H572" s="6">
        <v>5</v>
      </c>
      <c r="I572" s="6">
        <v>177</v>
      </c>
      <c r="J572" s="4">
        <v>54.368932039999997</v>
      </c>
      <c r="K572" s="3" t="s">
        <v>27</v>
      </c>
    </row>
    <row r="573" spans="1:11" x14ac:dyDescent="0.25">
      <c r="A573" s="22" t="s">
        <v>899</v>
      </c>
      <c r="B573" s="24" t="s">
        <v>900</v>
      </c>
      <c r="C573" s="3" t="s">
        <v>25</v>
      </c>
      <c r="D573" s="6">
        <v>284204</v>
      </c>
      <c r="E573" s="6">
        <v>7117</v>
      </c>
      <c r="F573" s="6">
        <v>3</v>
      </c>
      <c r="G573" s="6">
        <v>135.92233010000001</v>
      </c>
      <c r="H573" s="6">
        <v>4</v>
      </c>
      <c r="I573" s="6">
        <v>140</v>
      </c>
      <c r="J573" s="4">
        <v>38.834951459999999</v>
      </c>
      <c r="K573" s="3" t="s">
        <v>27</v>
      </c>
    </row>
    <row r="574" spans="1:11" x14ac:dyDescent="0.25">
      <c r="A574" s="22" t="s">
        <v>901</v>
      </c>
      <c r="B574" s="24" t="s">
        <v>877</v>
      </c>
      <c r="C574" s="3" t="s">
        <v>16</v>
      </c>
      <c r="D574" s="6">
        <v>243005</v>
      </c>
      <c r="E574" s="6">
        <v>7117</v>
      </c>
      <c r="F574" s="6">
        <v>3</v>
      </c>
      <c r="G574" s="6">
        <v>181.55339810000001</v>
      </c>
      <c r="H574" s="6">
        <v>5</v>
      </c>
      <c r="I574" s="6">
        <v>187</v>
      </c>
      <c r="J574" s="4">
        <v>60.194174760000003</v>
      </c>
      <c r="K574" s="3" t="s">
        <v>39</v>
      </c>
    </row>
    <row r="575" spans="1:11" x14ac:dyDescent="0.25">
      <c r="A575" s="22" t="s">
        <v>902</v>
      </c>
      <c r="B575" s="24" t="s">
        <v>877</v>
      </c>
      <c r="C575" s="3" t="s">
        <v>16</v>
      </c>
      <c r="D575" s="6">
        <v>475675</v>
      </c>
      <c r="E575" s="6">
        <v>7117</v>
      </c>
      <c r="F575" s="6">
        <v>3</v>
      </c>
      <c r="G575" s="6">
        <v>166.0194175</v>
      </c>
      <c r="H575" s="6">
        <v>4</v>
      </c>
      <c r="I575" s="6">
        <v>171</v>
      </c>
      <c r="J575" s="4">
        <v>44.660194169999997</v>
      </c>
      <c r="K575" s="3" t="s">
        <v>10</v>
      </c>
    </row>
    <row r="576" spans="1:11" x14ac:dyDescent="0.25">
      <c r="A576" s="22" t="s">
        <v>903</v>
      </c>
      <c r="B576" s="24" t="s">
        <v>904</v>
      </c>
      <c r="C576" s="3" t="s">
        <v>71</v>
      </c>
      <c r="D576" s="6">
        <v>824211</v>
      </c>
      <c r="E576" s="6">
        <v>7117</v>
      </c>
      <c r="F576" s="6">
        <v>3</v>
      </c>
      <c r="G576" s="6">
        <v>166.9902913</v>
      </c>
      <c r="H576" s="6">
        <v>5</v>
      </c>
      <c r="I576" s="6">
        <v>172</v>
      </c>
      <c r="J576" s="4">
        <v>45.631067960000003</v>
      </c>
      <c r="K576" s="3" t="s">
        <v>10</v>
      </c>
    </row>
    <row r="577" spans="1:11" x14ac:dyDescent="0.25">
      <c r="A577" s="22" t="s">
        <v>905</v>
      </c>
      <c r="B577" s="24" t="s">
        <v>900</v>
      </c>
      <c r="C577" s="3" t="s">
        <v>25</v>
      </c>
      <c r="D577" s="6">
        <v>123029</v>
      </c>
      <c r="E577" s="6">
        <v>7117</v>
      </c>
      <c r="F577" s="6">
        <v>3</v>
      </c>
      <c r="G577" s="6">
        <v>145.631068</v>
      </c>
      <c r="H577" s="6">
        <v>4</v>
      </c>
      <c r="I577" s="6">
        <v>150</v>
      </c>
      <c r="J577" s="4">
        <v>48.543689319999999</v>
      </c>
      <c r="K577" s="3" t="s">
        <v>10</v>
      </c>
    </row>
    <row r="578" spans="1:11" x14ac:dyDescent="0.25">
      <c r="A578" s="22" t="s">
        <v>906</v>
      </c>
      <c r="B578" s="24" t="s">
        <v>884</v>
      </c>
      <c r="C578" s="3" t="s">
        <v>16</v>
      </c>
      <c r="D578" s="6">
        <v>768110</v>
      </c>
      <c r="E578" s="6">
        <v>7117</v>
      </c>
      <c r="F578" s="6">
        <v>3</v>
      </c>
      <c r="G578" s="6">
        <v>166.0194175</v>
      </c>
      <c r="H578" s="6">
        <v>4</v>
      </c>
      <c r="I578" s="6">
        <v>171</v>
      </c>
      <c r="J578" s="4">
        <v>48.543689319999999</v>
      </c>
      <c r="K578" s="3" t="s">
        <v>10</v>
      </c>
    </row>
    <row r="579" spans="1:11" x14ac:dyDescent="0.25">
      <c r="A579" s="22" t="s">
        <v>907</v>
      </c>
      <c r="B579" s="24" t="s">
        <v>900</v>
      </c>
      <c r="C579" s="3" t="s">
        <v>25</v>
      </c>
      <c r="D579" s="6">
        <v>110074</v>
      </c>
      <c r="E579" s="6">
        <v>7117</v>
      </c>
      <c r="F579" s="6">
        <v>3</v>
      </c>
      <c r="G579" s="6">
        <v>169.90291260000001</v>
      </c>
      <c r="H579" s="6">
        <v>5</v>
      </c>
      <c r="I579" s="6">
        <v>175</v>
      </c>
      <c r="J579" s="4">
        <v>48.543689319999999</v>
      </c>
      <c r="K579" s="3" t="s">
        <v>23</v>
      </c>
    </row>
    <row r="580" spans="1:11" x14ac:dyDescent="0.25">
      <c r="A580" s="22" t="s">
        <v>908</v>
      </c>
      <c r="B580" s="24" t="s">
        <v>909</v>
      </c>
      <c r="C580" s="3" t="s">
        <v>25</v>
      </c>
      <c r="D580" s="6">
        <v>390010</v>
      </c>
      <c r="E580" s="6">
        <v>7117</v>
      </c>
      <c r="F580" s="6">
        <v>3</v>
      </c>
      <c r="G580" s="6">
        <v>145.631068</v>
      </c>
      <c r="H580" s="6">
        <v>4</v>
      </c>
      <c r="I580" s="6">
        <v>150</v>
      </c>
      <c r="J580" s="4">
        <v>51.456310680000001</v>
      </c>
      <c r="K580" s="3" t="s">
        <v>46</v>
      </c>
    </row>
    <row r="581" spans="1:11" x14ac:dyDescent="0.25">
      <c r="A581" s="22" t="s">
        <v>910</v>
      </c>
      <c r="B581" s="24" t="s">
        <v>911</v>
      </c>
      <c r="C581" s="3" t="s">
        <v>21</v>
      </c>
      <c r="D581" s="6">
        <v>445301</v>
      </c>
      <c r="E581" s="6">
        <v>7117</v>
      </c>
      <c r="F581" s="6">
        <v>3</v>
      </c>
      <c r="G581" s="6">
        <v>168.93203879999999</v>
      </c>
      <c r="H581" s="6">
        <v>5</v>
      </c>
      <c r="I581" s="6">
        <v>174</v>
      </c>
      <c r="J581" s="4">
        <v>51.456310680000001</v>
      </c>
      <c r="K581" s="3" t="s">
        <v>17</v>
      </c>
    </row>
    <row r="582" spans="1:11" x14ac:dyDescent="0.25">
      <c r="A582" s="22" t="s">
        <v>912</v>
      </c>
      <c r="B582" s="24" t="s">
        <v>913</v>
      </c>
      <c r="C582" s="3" t="s">
        <v>21</v>
      </c>
      <c r="D582" s="6">
        <v>743504</v>
      </c>
      <c r="E582" s="6">
        <v>7117</v>
      </c>
      <c r="F582" s="6">
        <v>3</v>
      </c>
      <c r="G582" s="6">
        <v>287.37864080000003</v>
      </c>
      <c r="H582" s="6">
        <v>8</v>
      </c>
      <c r="I582" s="6">
        <v>296</v>
      </c>
      <c r="J582" s="4">
        <v>38.834951459999999</v>
      </c>
      <c r="K582" s="3" t="s">
        <v>54</v>
      </c>
    </row>
    <row r="583" spans="1:11" x14ac:dyDescent="0.25">
      <c r="A583" s="22" t="s">
        <v>914</v>
      </c>
      <c r="B583" s="24" t="s">
        <v>915</v>
      </c>
      <c r="C583" s="3" t="s">
        <v>16</v>
      </c>
      <c r="D583" s="6">
        <v>500067</v>
      </c>
      <c r="E583" s="6">
        <v>7117</v>
      </c>
      <c r="F583" s="6">
        <v>3</v>
      </c>
      <c r="G583" s="6">
        <v>150.4854369</v>
      </c>
      <c r="H583" s="6">
        <v>4</v>
      </c>
      <c r="I583" s="6">
        <v>155</v>
      </c>
      <c r="J583" s="4">
        <v>40.776699030000003</v>
      </c>
      <c r="K583" s="3" t="s">
        <v>22</v>
      </c>
    </row>
    <row r="584" spans="1:11" x14ac:dyDescent="0.25">
      <c r="A584" s="22" t="s">
        <v>916</v>
      </c>
      <c r="B584" s="24" t="s">
        <v>917</v>
      </c>
      <c r="C584" s="3" t="s">
        <v>52</v>
      </c>
      <c r="D584" s="6">
        <v>517408</v>
      </c>
      <c r="E584" s="6">
        <v>7117</v>
      </c>
      <c r="F584" s="6">
        <v>3</v>
      </c>
      <c r="G584" s="6">
        <v>131.06796120000001</v>
      </c>
      <c r="H584" s="6">
        <v>3</v>
      </c>
      <c r="I584" s="6">
        <v>135</v>
      </c>
      <c r="J584" s="4">
        <v>36.893203880000002</v>
      </c>
      <c r="K584" s="3" t="s">
        <v>54</v>
      </c>
    </row>
    <row r="585" spans="1:11" x14ac:dyDescent="0.25">
      <c r="A585" s="22" t="s">
        <v>918</v>
      </c>
      <c r="B585" s="24" t="s">
        <v>919</v>
      </c>
      <c r="C585" s="3" t="s">
        <v>16</v>
      </c>
      <c r="D585" s="6">
        <v>281005</v>
      </c>
      <c r="E585" s="6">
        <v>7117</v>
      </c>
      <c r="F585" s="6">
        <v>3</v>
      </c>
      <c r="G585" s="6">
        <v>219.41747570000001</v>
      </c>
      <c r="H585" s="6">
        <v>6</v>
      </c>
      <c r="I585" s="6">
        <v>226</v>
      </c>
      <c r="J585" s="4">
        <v>57.2815534</v>
      </c>
      <c r="K585" s="3" t="s">
        <v>22</v>
      </c>
    </row>
    <row r="586" spans="1:11" x14ac:dyDescent="0.25">
      <c r="A586" s="22" t="s">
        <v>920</v>
      </c>
      <c r="B586" s="24" t="s">
        <v>921</v>
      </c>
      <c r="C586" s="3" t="s">
        <v>16</v>
      </c>
      <c r="D586" s="6">
        <v>624710</v>
      </c>
      <c r="E586" s="6">
        <v>7117</v>
      </c>
      <c r="F586" s="6">
        <v>3</v>
      </c>
      <c r="G586" s="6">
        <v>166.0194175</v>
      </c>
      <c r="H586" s="6">
        <v>4</v>
      </c>
      <c r="I586" s="6">
        <v>171</v>
      </c>
      <c r="J586" s="4">
        <v>56.310679610000001</v>
      </c>
      <c r="K586" s="3" t="s">
        <v>12</v>
      </c>
    </row>
    <row r="587" spans="1:11" x14ac:dyDescent="0.25">
      <c r="A587" s="22" t="s">
        <v>922</v>
      </c>
      <c r="B587" s="24" t="s">
        <v>923</v>
      </c>
      <c r="C587" s="3" t="s">
        <v>16</v>
      </c>
      <c r="D587" s="6">
        <v>828402</v>
      </c>
      <c r="E587" s="6">
        <v>7117</v>
      </c>
      <c r="F587" s="6">
        <v>3</v>
      </c>
      <c r="G587" s="6">
        <v>174.7572816</v>
      </c>
      <c r="H587" s="6">
        <v>5</v>
      </c>
      <c r="I587" s="6">
        <v>180</v>
      </c>
      <c r="J587" s="4">
        <v>57.2815534</v>
      </c>
      <c r="K587" s="3" t="s">
        <v>39</v>
      </c>
    </row>
    <row r="588" spans="1:11" x14ac:dyDescent="0.25">
      <c r="A588" s="22" t="s">
        <v>924</v>
      </c>
      <c r="B588" s="24" t="s">
        <v>925</v>
      </c>
      <c r="C588" s="3" t="s">
        <v>25</v>
      </c>
      <c r="D588" s="6">
        <v>440016</v>
      </c>
      <c r="E588" s="6">
        <v>7117</v>
      </c>
      <c r="F588" s="6">
        <v>3</v>
      </c>
      <c r="G588" s="6">
        <v>146.6019417</v>
      </c>
      <c r="H588" s="6">
        <v>4</v>
      </c>
      <c r="I588" s="6">
        <v>151</v>
      </c>
      <c r="J588" s="4">
        <v>29.126213589999999</v>
      </c>
      <c r="K588" s="3" t="s">
        <v>22</v>
      </c>
    </row>
    <row r="589" spans="1:11" x14ac:dyDescent="0.25">
      <c r="A589" s="22" t="s">
        <v>926</v>
      </c>
      <c r="B589" s="24" t="s">
        <v>927</v>
      </c>
      <c r="C589" s="3" t="s">
        <v>16</v>
      </c>
      <c r="D589" s="6">
        <v>782105</v>
      </c>
      <c r="E589" s="6">
        <v>7117</v>
      </c>
      <c r="F589" s="6">
        <v>3</v>
      </c>
      <c r="G589" s="6">
        <v>199.02912620000001</v>
      </c>
      <c r="H589" s="6">
        <v>5</v>
      </c>
      <c r="I589" s="6">
        <v>205</v>
      </c>
      <c r="J589" s="4">
        <v>58.252427179999998</v>
      </c>
      <c r="K589" s="3" t="s">
        <v>27</v>
      </c>
    </row>
    <row r="590" spans="1:11" x14ac:dyDescent="0.25">
      <c r="A590" s="22" t="s">
        <v>928</v>
      </c>
      <c r="B590" s="24" t="s">
        <v>929</v>
      </c>
      <c r="C590" s="3" t="s">
        <v>16</v>
      </c>
      <c r="D590" s="6">
        <v>621719</v>
      </c>
      <c r="E590" s="6">
        <v>7117</v>
      </c>
      <c r="F590" s="6">
        <v>3</v>
      </c>
      <c r="G590" s="6">
        <v>153.3980583</v>
      </c>
      <c r="H590" s="6">
        <v>4</v>
      </c>
      <c r="I590" s="6">
        <v>158</v>
      </c>
      <c r="J590" s="4">
        <v>35.922330100000003</v>
      </c>
      <c r="K590" s="3" t="s">
        <v>19</v>
      </c>
    </row>
    <row r="591" spans="1:11" x14ac:dyDescent="0.25">
      <c r="A591" s="22" t="s">
        <v>930</v>
      </c>
      <c r="B591" s="24" t="s">
        <v>913</v>
      </c>
      <c r="C591" s="3" t="s">
        <v>16</v>
      </c>
      <c r="D591" s="6">
        <v>332025</v>
      </c>
      <c r="E591" s="6">
        <v>330410</v>
      </c>
      <c r="F591" s="6">
        <v>18</v>
      </c>
      <c r="G591" s="6">
        <v>187.2881356</v>
      </c>
      <c r="H591" s="6">
        <v>33</v>
      </c>
      <c r="I591" s="6">
        <v>221</v>
      </c>
      <c r="J591" s="4">
        <v>30.508474580000001</v>
      </c>
      <c r="K591" s="3" t="s">
        <v>10</v>
      </c>
    </row>
    <row r="592" spans="1:11" x14ac:dyDescent="0.25">
      <c r="A592" s="22" t="s">
        <v>931</v>
      </c>
      <c r="B592" s="24" t="s">
        <v>915</v>
      </c>
      <c r="C592" s="3" t="s">
        <v>16</v>
      </c>
      <c r="D592" s="6">
        <v>508222</v>
      </c>
      <c r="E592" s="6">
        <v>7117</v>
      </c>
      <c r="F592" s="6">
        <v>3</v>
      </c>
      <c r="G592" s="6">
        <v>149.5145631</v>
      </c>
      <c r="H592" s="6">
        <v>4</v>
      </c>
      <c r="I592" s="6">
        <v>154</v>
      </c>
      <c r="J592" s="4">
        <v>39.805825239999997</v>
      </c>
      <c r="K592" s="3" t="s">
        <v>53</v>
      </c>
    </row>
    <row r="593" spans="1:11" x14ac:dyDescent="0.25">
      <c r="A593" s="22" t="s">
        <v>932</v>
      </c>
      <c r="B593" s="24" t="s">
        <v>927</v>
      </c>
      <c r="C593" s="3" t="s">
        <v>16</v>
      </c>
      <c r="D593" s="6">
        <v>148023</v>
      </c>
      <c r="E593" s="6">
        <v>7117</v>
      </c>
      <c r="F593" s="6">
        <v>3</v>
      </c>
      <c r="G593" s="6">
        <v>151.45631069999999</v>
      </c>
      <c r="H593" s="6">
        <v>4</v>
      </c>
      <c r="I593" s="6">
        <v>156</v>
      </c>
      <c r="J593" s="4">
        <v>33.980582519999999</v>
      </c>
      <c r="K593" s="3" t="s">
        <v>28</v>
      </c>
    </row>
    <row r="594" spans="1:11" x14ac:dyDescent="0.25">
      <c r="A594" s="22" t="s">
        <v>933</v>
      </c>
      <c r="B594" s="24" t="s">
        <v>927</v>
      </c>
      <c r="C594" s="3" t="s">
        <v>16</v>
      </c>
      <c r="D594" s="6">
        <v>497225</v>
      </c>
      <c r="E594" s="6">
        <v>7117</v>
      </c>
      <c r="F594" s="6">
        <v>3</v>
      </c>
      <c r="G594" s="6">
        <v>167.96116499999999</v>
      </c>
      <c r="H594" s="6">
        <v>5</v>
      </c>
      <c r="I594" s="6">
        <v>173</v>
      </c>
      <c r="J594" s="4">
        <v>50.485436890000003</v>
      </c>
      <c r="K594" s="3" t="s">
        <v>28</v>
      </c>
    </row>
    <row r="595" spans="1:11" x14ac:dyDescent="0.25">
      <c r="A595" s="22" t="s">
        <v>934</v>
      </c>
      <c r="B595" s="24" t="s">
        <v>921</v>
      </c>
      <c r="C595" s="3" t="s">
        <v>16</v>
      </c>
      <c r="D595" s="6">
        <v>764073</v>
      </c>
      <c r="E595" s="6">
        <v>7117</v>
      </c>
      <c r="F595" s="6">
        <v>3</v>
      </c>
      <c r="G595" s="6">
        <v>159.22330099999999</v>
      </c>
      <c r="H595" s="6">
        <v>4</v>
      </c>
      <c r="I595" s="6">
        <v>164</v>
      </c>
      <c r="J595" s="4">
        <v>58.252427179999998</v>
      </c>
      <c r="K595" s="3" t="s">
        <v>54</v>
      </c>
    </row>
    <row r="596" spans="1:11" x14ac:dyDescent="0.25">
      <c r="A596" s="22" t="s">
        <v>935</v>
      </c>
      <c r="B596" s="24" t="s">
        <v>936</v>
      </c>
      <c r="C596" s="3" t="s">
        <v>52</v>
      </c>
      <c r="D596" s="6">
        <v>382418</v>
      </c>
      <c r="E596" s="6">
        <v>7117</v>
      </c>
      <c r="F596" s="6">
        <v>3</v>
      </c>
      <c r="G596" s="6">
        <v>174.7572816</v>
      </c>
      <c r="H596" s="6">
        <v>5</v>
      </c>
      <c r="I596" s="6">
        <v>180</v>
      </c>
      <c r="J596" s="4">
        <v>57.2815534</v>
      </c>
      <c r="K596" s="3" t="s">
        <v>22</v>
      </c>
    </row>
    <row r="597" spans="1:11" x14ac:dyDescent="0.25">
      <c r="A597" s="22" t="s">
        <v>937</v>
      </c>
      <c r="B597" s="24" t="s">
        <v>919</v>
      </c>
      <c r="C597" s="3" t="s">
        <v>25</v>
      </c>
      <c r="D597" s="6">
        <v>243751</v>
      </c>
      <c r="E597" s="6">
        <v>7117</v>
      </c>
      <c r="F597" s="6">
        <v>3</v>
      </c>
      <c r="G597" s="6">
        <v>151.45631069999999</v>
      </c>
      <c r="H597" s="6">
        <v>4</v>
      </c>
      <c r="I597" s="6">
        <v>156</v>
      </c>
      <c r="J597" s="4">
        <v>33.980582519999999</v>
      </c>
      <c r="K597" s="3" t="s">
        <v>10</v>
      </c>
    </row>
    <row r="598" spans="1:11" x14ac:dyDescent="0.25">
      <c r="A598" s="22" t="s">
        <v>938</v>
      </c>
      <c r="B598" s="24" t="s">
        <v>939</v>
      </c>
      <c r="C598" s="3" t="s">
        <v>16</v>
      </c>
      <c r="D598" s="6">
        <v>110081</v>
      </c>
      <c r="E598" s="6">
        <v>7117</v>
      </c>
      <c r="F598" s="6">
        <v>3</v>
      </c>
      <c r="G598" s="6">
        <v>167.96116499999999</v>
      </c>
      <c r="H598" s="6">
        <v>5</v>
      </c>
      <c r="I598" s="6">
        <v>173</v>
      </c>
      <c r="J598" s="4">
        <v>50.485436890000003</v>
      </c>
      <c r="K598" s="3" t="s">
        <v>63</v>
      </c>
    </row>
    <row r="599" spans="1:11" x14ac:dyDescent="0.25">
      <c r="A599" s="22" t="s">
        <v>940</v>
      </c>
      <c r="B599" s="24" t="s">
        <v>913</v>
      </c>
      <c r="C599" s="3" t="s">
        <v>9</v>
      </c>
      <c r="D599" s="6">
        <v>123501</v>
      </c>
      <c r="E599" s="6">
        <v>7117</v>
      </c>
      <c r="F599" s="6">
        <v>3</v>
      </c>
      <c r="G599" s="6">
        <v>150.4854369</v>
      </c>
      <c r="H599" s="6">
        <v>4</v>
      </c>
      <c r="I599" s="6">
        <v>155</v>
      </c>
      <c r="J599" s="4">
        <v>33.009708740000001</v>
      </c>
      <c r="K599" s="3" t="s">
        <v>28</v>
      </c>
    </row>
    <row r="600" spans="1:11" x14ac:dyDescent="0.25">
      <c r="A600" s="22" t="s">
        <v>941</v>
      </c>
      <c r="B600" s="24" t="s">
        <v>942</v>
      </c>
      <c r="C600" s="3" t="s">
        <v>16</v>
      </c>
      <c r="D600" s="6">
        <v>532421</v>
      </c>
      <c r="E600" s="6">
        <v>7117</v>
      </c>
      <c r="F600" s="6">
        <v>3</v>
      </c>
      <c r="G600" s="6">
        <v>131.06796120000001</v>
      </c>
      <c r="H600" s="6">
        <v>3</v>
      </c>
      <c r="I600" s="6">
        <v>135</v>
      </c>
      <c r="J600" s="4">
        <v>36.893203880000002</v>
      </c>
      <c r="K600" s="3" t="s">
        <v>41</v>
      </c>
    </row>
    <row r="601" spans="1:11" x14ac:dyDescent="0.25">
      <c r="A601" s="22" t="s">
        <v>943</v>
      </c>
      <c r="B601" s="24" t="s">
        <v>944</v>
      </c>
      <c r="C601" s="3" t="s">
        <v>16</v>
      </c>
      <c r="D601" s="6">
        <v>444107</v>
      </c>
      <c r="E601" s="6">
        <v>7117</v>
      </c>
      <c r="F601" s="6">
        <v>3</v>
      </c>
      <c r="G601" s="6">
        <v>136.8932039</v>
      </c>
      <c r="H601" s="6">
        <v>4</v>
      </c>
      <c r="I601" s="6">
        <v>141</v>
      </c>
      <c r="J601" s="4">
        <v>42.7184466</v>
      </c>
      <c r="K601" s="3" t="s">
        <v>98</v>
      </c>
    </row>
    <row r="602" spans="1:11" x14ac:dyDescent="0.25">
      <c r="A602" s="22" t="s">
        <v>945</v>
      </c>
      <c r="B602" s="24" t="s">
        <v>915</v>
      </c>
      <c r="C602" s="3" t="s">
        <v>16</v>
      </c>
      <c r="D602" s="6">
        <v>121003</v>
      </c>
      <c r="E602" s="6">
        <v>7117</v>
      </c>
      <c r="F602" s="6">
        <v>3</v>
      </c>
      <c r="G602" s="6">
        <v>178.6407767</v>
      </c>
      <c r="H602" s="6">
        <v>5</v>
      </c>
      <c r="I602" s="6">
        <v>184</v>
      </c>
      <c r="J602" s="4">
        <v>49.514563109999997</v>
      </c>
      <c r="K602" s="3" t="s">
        <v>46</v>
      </c>
    </row>
    <row r="603" spans="1:11" x14ac:dyDescent="0.25">
      <c r="A603" s="22" t="s">
        <v>946</v>
      </c>
      <c r="B603" s="24" t="s">
        <v>917</v>
      </c>
      <c r="C603" s="3" t="s">
        <v>16</v>
      </c>
      <c r="D603" s="6">
        <v>209733</v>
      </c>
      <c r="E603" s="6">
        <v>7117</v>
      </c>
      <c r="F603" s="6">
        <v>3</v>
      </c>
      <c r="G603" s="6">
        <v>171.84466019999999</v>
      </c>
      <c r="H603" s="6">
        <v>5</v>
      </c>
      <c r="I603" s="6">
        <v>177</v>
      </c>
      <c r="J603" s="4">
        <v>50.485436890000003</v>
      </c>
      <c r="K603" s="3" t="s">
        <v>49</v>
      </c>
    </row>
    <row r="604" spans="1:11" x14ac:dyDescent="0.25">
      <c r="A604" s="22" t="s">
        <v>947</v>
      </c>
      <c r="B604" s="24" t="s">
        <v>948</v>
      </c>
      <c r="C604" s="3" t="s">
        <v>25</v>
      </c>
      <c r="D604" s="6">
        <v>517424</v>
      </c>
      <c r="E604" s="6">
        <v>7117</v>
      </c>
      <c r="F604" s="6">
        <v>3</v>
      </c>
      <c r="G604" s="6">
        <v>155.33980579999999</v>
      </c>
      <c r="H604" s="6">
        <v>4</v>
      </c>
      <c r="I604" s="6">
        <v>160</v>
      </c>
      <c r="J604" s="4">
        <v>58.252427179999998</v>
      </c>
      <c r="K604" s="3" t="s">
        <v>19</v>
      </c>
    </row>
    <row r="605" spans="1:11" x14ac:dyDescent="0.25">
      <c r="A605" s="22" t="s">
        <v>949</v>
      </c>
      <c r="B605" s="24" t="s">
        <v>950</v>
      </c>
      <c r="C605" s="3" t="s">
        <v>16</v>
      </c>
      <c r="D605" s="6">
        <v>226022</v>
      </c>
      <c r="E605" s="6">
        <v>7117</v>
      </c>
      <c r="F605" s="6">
        <v>3</v>
      </c>
      <c r="G605" s="6">
        <v>168.93203879999999</v>
      </c>
      <c r="H605" s="6">
        <v>5</v>
      </c>
      <c r="I605" s="6">
        <v>174</v>
      </c>
      <c r="J605" s="4">
        <v>47.57281553</v>
      </c>
      <c r="K605" s="3" t="s">
        <v>28</v>
      </c>
    </row>
    <row r="606" spans="1:11" x14ac:dyDescent="0.25">
      <c r="A606" s="22" t="s">
        <v>951</v>
      </c>
      <c r="B606" s="24" t="s">
        <v>913</v>
      </c>
      <c r="C606" s="3" t="s">
        <v>25</v>
      </c>
      <c r="D606" s="6">
        <v>753001</v>
      </c>
      <c r="E606" s="6">
        <v>7117</v>
      </c>
      <c r="F606" s="6">
        <v>3</v>
      </c>
      <c r="G606" s="6">
        <v>176.69902909999999</v>
      </c>
      <c r="H606" s="6">
        <v>5</v>
      </c>
      <c r="I606" s="6">
        <v>182</v>
      </c>
      <c r="J606" s="4">
        <v>55.339805830000003</v>
      </c>
      <c r="K606" s="3" t="s">
        <v>39</v>
      </c>
    </row>
    <row r="607" spans="1:11" x14ac:dyDescent="0.25">
      <c r="A607" s="22" t="s">
        <v>952</v>
      </c>
      <c r="B607" s="24" t="s">
        <v>953</v>
      </c>
      <c r="C607" s="3" t="s">
        <v>16</v>
      </c>
      <c r="D607" s="6">
        <v>201102</v>
      </c>
      <c r="E607" s="6">
        <v>7117</v>
      </c>
      <c r="F607" s="6">
        <v>3</v>
      </c>
      <c r="G607" s="6">
        <v>161.16504850000001</v>
      </c>
      <c r="H607" s="6">
        <v>4</v>
      </c>
      <c r="I607" s="6">
        <v>166</v>
      </c>
      <c r="J607" s="4">
        <v>57.2815534</v>
      </c>
      <c r="K607" s="3" t="s">
        <v>23</v>
      </c>
    </row>
    <row r="608" spans="1:11" x14ac:dyDescent="0.25">
      <c r="A608" s="22" t="s">
        <v>954</v>
      </c>
      <c r="B608" s="24" t="s">
        <v>955</v>
      </c>
      <c r="C608" s="3" t="s">
        <v>21</v>
      </c>
      <c r="D608" s="6">
        <v>847402</v>
      </c>
      <c r="E608" s="6">
        <v>7117</v>
      </c>
      <c r="F608" s="6">
        <v>3</v>
      </c>
      <c r="G608" s="6">
        <v>130.09708739999999</v>
      </c>
      <c r="H608" s="6">
        <v>3</v>
      </c>
      <c r="I608" s="6">
        <v>134</v>
      </c>
      <c r="J608" s="4">
        <v>35.922330100000003</v>
      </c>
      <c r="K608" s="3" t="s">
        <v>23</v>
      </c>
    </row>
    <row r="609" spans="1:11" x14ac:dyDescent="0.25">
      <c r="A609" s="22" t="s">
        <v>956</v>
      </c>
      <c r="B609" s="24" t="s">
        <v>939</v>
      </c>
      <c r="C609" s="3" t="s">
        <v>21</v>
      </c>
      <c r="D609" s="6">
        <v>759122</v>
      </c>
      <c r="E609" s="6">
        <v>7117</v>
      </c>
      <c r="F609" s="6">
        <v>3</v>
      </c>
      <c r="G609" s="6">
        <v>149.5145631</v>
      </c>
      <c r="H609" s="6">
        <v>4</v>
      </c>
      <c r="I609" s="6">
        <v>154</v>
      </c>
      <c r="J609" s="4">
        <v>55.339805830000003</v>
      </c>
      <c r="K609" s="3" t="s">
        <v>27</v>
      </c>
    </row>
    <row r="610" spans="1:11" x14ac:dyDescent="0.25">
      <c r="A610" s="22" t="s">
        <v>957</v>
      </c>
      <c r="B610" s="24" t="s">
        <v>958</v>
      </c>
      <c r="C610" s="3" t="s">
        <v>25</v>
      </c>
      <c r="D610" s="6">
        <v>411039</v>
      </c>
      <c r="E610" s="6">
        <v>7117</v>
      </c>
      <c r="F610" s="6">
        <v>3</v>
      </c>
      <c r="G610" s="6">
        <v>148.54368930000001</v>
      </c>
      <c r="H610" s="6">
        <v>4</v>
      </c>
      <c r="I610" s="6">
        <v>153</v>
      </c>
      <c r="J610" s="4">
        <v>38.834951459999999</v>
      </c>
      <c r="K610" s="3" t="s">
        <v>41</v>
      </c>
    </row>
    <row r="611" spans="1:11" x14ac:dyDescent="0.25">
      <c r="A611" s="22" t="s">
        <v>959</v>
      </c>
      <c r="B611" s="24" t="s">
        <v>960</v>
      </c>
      <c r="C611" s="3" t="s">
        <v>16</v>
      </c>
      <c r="D611" s="6">
        <v>274409</v>
      </c>
      <c r="E611" s="6">
        <v>7117</v>
      </c>
      <c r="F611" s="6">
        <v>3</v>
      </c>
      <c r="G611" s="6">
        <v>141.7475728</v>
      </c>
      <c r="H611" s="6">
        <v>4</v>
      </c>
      <c r="I611" s="6">
        <v>146</v>
      </c>
      <c r="J611" s="4">
        <v>55.339805830000003</v>
      </c>
      <c r="K611" s="3" t="s">
        <v>26</v>
      </c>
    </row>
    <row r="612" spans="1:11" x14ac:dyDescent="0.25">
      <c r="A612" s="22" t="s">
        <v>961</v>
      </c>
      <c r="B612" s="24" t="s">
        <v>915</v>
      </c>
      <c r="C612" s="3" t="s">
        <v>21</v>
      </c>
      <c r="D612" s="6">
        <v>636905</v>
      </c>
      <c r="E612" s="6">
        <v>7117</v>
      </c>
      <c r="F612" s="6">
        <v>3</v>
      </c>
      <c r="G612" s="6">
        <v>138.83495149999999</v>
      </c>
      <c r="H612" s="6">
        <v>4</v>
      </c>
      <c r="I612" s="6">
        <v>143</v>
      </c>
      <c r="J612" s="4">
        <v>50.485436890000003</v>
      </c>
      <c r="K612" s="3" t="s">
        <v>22</v>
      </c>
    </row>
    <row r="613" spans="1:11" x14ac:dyDescent="0.25">
      <c r="A613" s="22" t="s">
        <v>962</v>
      </c>
      <c r="B613" s="24" t="s">
        <v>963</v>
      </c>
      <c r="C613" s="3" t="s">
        <v>9</v>
      </c>
      <c r="D613" s="6">
        <v>560026</v>
      </c>
      <c r="E613" s="6">
        <v>7117</v>
      </c>
      <c r="F613" s="6">
        <v>3</v>
      </c>
      <c r="G613" s="6">
        <v>174.7572816</v>
      </c>
      <c r="H613" s="6">
        <v>5</v>
      </c>
      <c r="I613" s="6">
        <v>180</v>
      </c>
      <c r="J613" s="4">
        <v>57.2815534</v>
      </c>
      <c r="K613" s="3" t="s">
        <v>27</v>
      </c>
    </row>
    <row r="614" spans="1:11" x14ac:dyDescent="0.25">
      <c r="A614" s="22" t="s">
        <v>964</v>
      </c>
      <c r="B614" s="24" t="s">
        <v>960</v>
      </c>
      <c r="C614" s="3" t="s">
        <v>71</v>
      </c>
      <c r="D614" s="6">
        <v>225409</v>
      </c>
      <c r="E614" s="6">
        <v>7117</v>
      </c>
      <c r="F614" s="6">
        <v>3</v>
      </c>
      <c r="G614" s="6">
        <v>143.68932040000001</v>
      </c>
      <c r="H614" s="6">
        <v>4</v>
      </c>
      <c r="I614" s="6">
        <v>148</v>
      </c>
      <c r="J614" s="4">
        <v>33.980582519999999</v>
      </c>
      <c r="K614" s="3" t="s">
        <v>28</v>
      </c>
    </row>
    <row r="615" spans="1:11" x14ac:dyDescent="0.25">
      <c r="A615" s="22" t="s">
        <v>965</v>
      </c>
      <c r="B615" s="24" t="s">
        <v>917</v>
      </c>
      <c r="C615" s="3" t="s">
        <v>21</v>
      </c>
      <c r="D615" s="6">
        <v>403516</v>
      </c>
      <c r="E615" s="6">
        <v>7117</v>
      </c>
      <c r="F615" s="6">
        <v>3</v>
      </c>
      <c r="G615" s="6">
        <v>134.95145629999999</v>
      </c>
      <c r="H615" s="6">
        <v>4</v>
      </c>
      <c r="I615" s="6">
        <v>139</v>
      </c>
      <c r="J615" s="4">
        <v>37.86407767</v>
      </c>
      <c r="K615" s="3" t="s">
        <v>12</v>
      </c>
    </row>
  </sheetData>
  <autoFilter ref="A1:K1" xr:uid="{00000000-0001-0000-0100-000000000000}"/>
  <pageMargins left="0.7" right="0.7" top="0.5" bottom="0.5" header="0.3" footer="0.3"/>
  <pageSetup scale="5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8D7F-6342-4BA4-B511-B0ACF32449DE}">
  <dimension ref="A3:B36"/>
  <sheetViews>
    <sheetView workbookViewId="0">
      <selection activeCell="A4" sqref="A4:A35"/>
      <pivotSelection pane="bottomRight" showHeader="1" axis="axisRow" activeRow="3" previousRow="3" click="1" r:id="rId1">
        <pivotArea dataOnly="0" labelOnly="1" fieldPosition="0">
          <references count="1">
            <reference field="14" count="0"/>
          </references>
        </pivotArea>
      </pivotSelection>
    </sheetView>
  </sheetViews>
  <sheetFormatPr defaultRowHeight="15" x14ac:dyDescent="0.25"/>
  <cols>
    <col min="1" max="1" width="27.85546875" bestFit="1" customWidth="1"/>
    <col min="2" max="2" width="27" bestFit="1" customWidth="1"/>
  </cols>
  <sheetData>
    <row r="3" spans="1:2" x14ac:dyDescent="0.25">
      <c r="A3" s="27" t="s">
        <v>985</v>
      </c>
      <c r="B3" t="s">
        <v>1005</v>
      </c>
    </row>
    <row r="4" spans="1:2" x14ac:dyDescent="0.25">
      <c r="A4" s="28" t="s">
        <v>966</v>
      </c>
      <c r="B4">
        <v>2</v>
      </c>
    </row>
    <row r="5" spans="1:2" x14ac:dyDescent="0.25">
      <c r="A5" s="28" t="s">
        <v>39</v>
      </c>
      <c r="B5">
        <v>46</v>
      </c>
    </row>
    <row r="6" spans="1:2" x14ac:dyDescent="0.25">
      <c r="A6" s="28" t="s">
        <v>97</v>
      </c>
      <c r="B6">
        <v>1</v>
      </c>
    </row>
    <row r="7" spans="1:2" x14ac:dyDescent="0.25">
      <c r="A7" s="28" t="s">
        <v>35</v>
      </c>
      <c r="B7">
        <v>12</v>
      </c>
    </row>
    <row r="8" spans="1:2" x14ac:dyDescent="0.25">
      <c r="A8" s="28" t="s">
        <v>22</v>
      </c>
      <c r="B8">
        <v>107</v>
      </c>
    </row>
    <row r="9" spans="1:2" x14ac:dyDescent="0.25">
      <c r="A9" s="28" t="s">
        <v>85</v>
      </c>
      <c r="B9">
        <v>2</v>
      </c>
    </row>
    <row r="10" spans="1:2" x14ac:dyDescent="0.25">
      <c r="A10" s="28" t="s">
        <v>23</v>
      </c>
      <c r="B10">
        <v>29</v>
      </c>
    </row>
    <row r="11" spans="1:2" x14ac:dyDescent="0.25">
      <c r="A11" s="28" t="s">
        <v>28</v>
      </c>
      <c r="B11">
        <v>36</v>
      </c>
    </row>
    <row r="12" spans="1:2" x14ac:dyDescent="0.25">
      <c r="A12" s="28" t="s">
        <v>104</v>
      </c>
      <c r="B12">
        <v>2</v>
      </c>
    </row>
    <row r="13" spans="1:2" x14ac:dyDescent="0.25">
      <c r="A13" s="28" t="s">
        <v>12</v>
      </c>
      <c r="B13">
        <v>31</v>
      </c>
    </row>
    <row r="14" spans="1:2" x14ac:dyDescent="0.25">
      <c r="A14" s="28" t="s">
        <v>63</v>
      </c>
      <c r="B14">
        <v>38</v>
      </c>
    </row>
    <row r="15" spans="1:2" x14ac:dyDescent="0.25">
      <c r="A15" s="28" t="s">
        <v>44</v>
      </c>
      <c r="B15">
        <v>5</v>
      </c>
    </row>
    <row r="16" spans="1:2" x14ac:dyDescent="0.25">
      <c r="A16" s="28" t="s">
        <v>56</v>
      </c>
      <c r="B16">
        <v>3</v>
      </c>
    </row>
    <row r="17" spans="1:2" x14ac:dyDescent="0.25">
      <c r="A17" s="28" t="s">
        <v>967</v>
      </c>
      <c r="B17">
        <v>2</v>
      </c>
    </row>
    <row r="18" spans="1:2" x14ac:dyDescent="0.25">
      <c r="A18" s="28" t="s">
        <v>37</v>
      </c>
      <c r="B18">
        <v>41</v>
      </c>
    </row>
    <row r="19" spans="1:2" x14ac:dyDescent="0.25">
      <c r="A19" s="28" t="s">
        <v>19</v>
      </c>
      <c r="B19">
        <v>54</v>
      </c>
    </row>
    <row r="20" spans="1:2" x14ac:dyDescent="0.25">
      <c r="A20" s="28" t="s">
        <v>98</v>
      </c>
      <c r="B20">
        <v>12</v>
      </c>
    </row>
    <row r="21" spans="1:2" x14ac:dyDescent="0.25">
      <c r="A21" s="28" t="s">
        <v>26</v>
      </c>
      <c r="B21">
        <v>48</v>
      </c>
    </row>
    <row r="22" spans="1:2" x14ac:dyDescent="0.25">
      <c r="A22" s="28" t="s">
        <v>41</v>
      </c>
      <c r="B22">
        <v>69</v>
      </c>
    </row>
    <row r="23" spans="1:2" x14ac:dyDescent="0.25">
      <c r="A23" s="28" t="s">
        <v>196</v>
      </c>
      <c r="B23">
        <v>2</v>
      </c>
    </row>
    <row r="24" spans="1:2" x14ac:dyDescent="0.25">
      <c r="A24" s="28" t="s">
        <v>103</v>
      </c>
      <c r="B24">
        <v>1</v>
      </c>
    </row>
    <row r="25" spans="1:2" x14ac:dyDescent="0.25">
      <c r="A25" s="28" t="s">
        <v>54</v>
      </c>
      <c r="B25">
        <v>30</v>
      </c>
    </row>
    <row r="26" spans="1:2" x14ac:dyDescent="0.25">
      <c r="A26" s="28" t="s">
        <v>968</v>
      </c>
      <c r="B26">
        <v>1</v>
      </c>
    </row>
    <row r="27" spans="1:2" x14ac:dyDescent="0.25">
      <c r="A27" s="28" t="s">
        <v>17</v>
      </c>
      <c r="B27">
        <v>31</v>
      </c>
    </row>
    <row r="28" spans="1:2" x14ac:dyDescent="0.25">
      <c r="A28" s="28" t="s">
        <v>46</v>
      </c>
      <c r="B28">
        <v>53</v>
      </c>
    </row>
    <row r="29" spans="1:2" x14ac:dyDescent="0.25">
      <c r="A29" s="28" t="s">
        <v>969</v>
      </c>
      <c r="B29">
        <v>1</v>
      </c>
    </row>
    <row r="30" spans="1:2" x14ac:dyDescent="0.25">
      <c r="A30" s="28" t="s">
        <v>27</v>
      </c>
      <c r="B30">
        <v>30</v>
      </c>
    </row>
    <row r="31" spans="1:2" x14ac:dyDescent="0.25">
      <c r="A31" s="28" t="s">
        <v>53</v>
      </c>
      <c r="B31">
        <v>30</v>
      </c>
    </row>
    <row r="32" spans="1:2" x14ac:dyDescent="0.25">
      <c r="A32" s="28" t="s">
        <v>165</v>
      </c>
      <c r="B32">
        <v>4</v>
      </c>
    </row>
    <row r="33" spans="1:2" x14ac:dyDescent="0.25">
      <c r="A33" s="28" t="s">
        <v>10</v>
      </c>
      <c r="B33">
        <v>224</v>
      </c>
    </row>
    <row r="34" spans="1:2" x14ac:dyDescent="0.25">
      <c r="A34" s="28" t="s">
        <v>49</v>
      </c>
      <c r="B34">
        <v>13</v>
      </c>
    </row>
    <row r="35" spans="1:2" x14ac:dyDescent="0.25">
      <c r="A35" s="28" t="s">
        <v>14</v>
      </c>
      <c r="B35">
        <v>33</v>
      </c>
    </row>
    <row r="36" spans="1:2" x14ac:dyDescent="0.25">
      <c r="A36" s="28" t="s">
        <v>986</v>
      </c>
      <c r="B36">
        <v>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589"/>
  <sheetViews>
    <sheetView topLeftCell="A1568" workbookViewId="0">
      <selection activeCell="E8" sqref="E8"/>
    </sheetView>
  </sheetViews>
  <sheetFormatPr defaultRowHeight="15" x14ac:dyDescent="0.25"/>
  <cols>
    <col min="1" max="1" width="20.7109375" customWidth="1"/>
    <col min="2" max="3" width="11.140625" customWidth="1"/>
    <col min="4" max="4" width="13.140625" customWidth="1"/>
    <col min="5" max="5" width="12.140625" customWidth="1"/>
    <col min="6" max="6" width="11" customWidth="1"/>
    <col min="7" max="7" width="9.5703125" customWidth="1"/>
    <col min="8" max="8" width="12.5703125" customWidth="1"/>
    <col min="9" max="9" width="13" customWidth="1"/>
    <col min="10" max="10" width="11.5703125" customWidth="1"/>
    <col min="11" max="11" width="17.42578125" style="26" customWidth="1"/>
    <col min="12" max="12" width="24.28515625" customWidth="1"/>
    <col min="13" max="13" width="22" bestFit="1" customWidth="1"/>
  </cols>
  <sheetData>
    <row r="1" spans="1:13" ht="45" x14ac:dyDescent="0.25">
      <c r="A1" s="7" t="s">
        <v>1</v>
      </c>
      <c r="B1" s="7" t="s">
        <v>0</v>
      </c>
      <c r="C1" s="7" t="s">
        <v>990</v>
      </c>
      <c r="D1" s="7" t="s">
        <v>2</v>
      </c>
      <c r="E1" s="7" t="s">
        <v>3</v>
      </c>
      <c r="F1" s="7" t="s">
        <v>4</v>
      </c>
      <c r="G1" s="7" t="s">
        <v>5</v>
      </c>
      <c r="H1" s="8" t="s">
        <v>197</v>
      </c>
      <c r="I1" s="9" t="s">
        <v>198</v>
      </c>
      <c r="J1" s="9" t="s">
        <v>199</v>
      </c>
      <c r="K1" s="9" t="s">
        <v>6</v>
      </c>
      <c r="L1" s="7" t="s">
        <v>7</v>
      </c>
    </row>
    <row r="2" spans="1:13" x14ac:dyDescent="0.25">
      <c r="A2" s="6">
        <v>7.179330784349E+16</v>
      </c>
      <c r="B2" s="30" t="s">
        <v>8</v>
      </c>
      <c r="C2" s="32" t="str">
        <f>TEXT(B2, "mmm")</f>
        <v>Sep</v>
      </c>
      <c r="D2" s="11" t="s">
        <v>9</v>
      </c>
      <c r="E2" s="13">
        <v>271904</v>
      </c>
      <c r="F2" s="13">
        <v>7117</v>
      </c>
      <c r="G2" s="13">
        <v>3</v>
      </c>
      <c r="H2" s="13">
        <v>121.35922330097</v>
      </c>
      <c r="I2" s="13">
        <v>3.9611650485436898</v>
      </c>
      <c r="J2" s="13">
        <f>H2+I2</f>
        <v>125.32038834951369</v>
      </c>
      <c r="K2" s="13">
        <v>52.427184466019398</v>
      </c>
      <c r="L2" s="11" t="s">
        <v>10</v>
      </c>
      <c r="M2" s="26">
        <f>SUMIF(D2:D1589, "Delivered", J2:J1589)</f>
        <v>115134.46418580569</v>
      </c>
    </row>
    <row r="3" spans="1:13" x14ac:dyDescent="0.25">
      <c r="A3" s="6">
        <v>7.0965383275933904E+16</v>
      </c>
      <c r="B3" s="30" t="s">
        <v>11</v>
      </c>
      <c r="C3" s="32" t="str">
        <f t="shared" ref="C3:C66" si="0">TEXT(B3, "mmm")</f>
        <v>Sep</v>
      </c>
      <c r="D3" s="11" t="s">
        <v>9</v>
      </c>
      <c r="E3" s="13">
        <v>361001</v>
      </c>
      <c r="F3" s="13">
        <v>711790</v>
      </c>
      <c r="G3" s="13">
        <v>18</v>
      </c>
      <c r="H3" s="13">
        <v>108.474576271186</v>
      </c>
      <c r="I3" s="13">
        <v>21.661016949152501</v>
      </c>
      <c r="J3" s="13">
        <f t="shared" ref="J3:J66" si="1">H3+I3</f>
        <v>130.13559322033851</v>
      </c>
      <c r="K3" s="13">
        <v>44.067796610169502</v>
      </c>
      <c r="L3" s="11" t="s">
        <v>12</v>
      </c>
      <c r="M3" s="26"/>
    </row>
    <row r="4" spans="1:13" x14ac:dyDescent="0.25">
      <c r="A4" s="6">
        <v>7.232841947134E+16</v>
      </c>
      <c r="B4" s="30" t="s">
        <v>13</v>
      </c>
      <c r="C4" s="32" t="str">
        <f t="shared" si="0"/>
        <v>Sep</v>
      </c>
      <c r="D4" s="11" t="s">
        <v>9</v>
      </c>
      <c r="E4" s="13">
        <v>721431</v>
      </c>
      <c r="F4" s="13">
        <v>7117</v>
      </c>
      <c r="G4" s="13">
        <v>3</v>
      </c>
      <c r="H4" s="13">
        <v>105.82524271844601</v>
      </c>
      <c r="I4" s="13">
        <v>3.1747572815534002</v>
      </c>
      <c r="J4" s="13">
        <f t="shared" si="1"/>
        <v>108.9999999999994</v>
      </c>
      <c r="K4" s="13">
        <v>65.048543689320397</v>
      </c>
      <c r="L4" s="11" t="s">
        <v>14</v>
      </c>
      <c r="M4" s="26"/>
    </row>
    <row r="5" spans="1:13" x14ac:dyDescent="0.25">
      <c r="A5" s="6">
        <v>6.8779559920018096E+16</v>
      </c>
      <c r="B5" s="30" t="s">
        <v>15</v>
      </c>
      <c r="C5" s="32" t="str">
        <f t="shared" si="0"/>
        <v>Sep</v>
      </c>
      <c r="D5" s="11" t="s">
        <v>16</v>
      </c>
      <c r="E5" s="13">
        <v>143001</v>
      </c>
      <c r="F5" s="13">
        <v>7117</v>
      </c>
      <c r="G5" s="13">
        <v>18</v>
      </c>
      <c r="H5" s="13">
        <v>75.423728813559293</v>
      </c>
      <c r="I5" s="13">
        <v>17.694915254237198</v>
      </c>
      <c r="J5" s="13">
        <f t="shared" si="1"/>
        <v>93.118644067796495</v>
      </c>
      <c r="K5" s="13">
        <v>33.0508474576271</v>
      </c>
      <c r="L5" s="11" t="s">
        <v>17</v>
      </c>
      <c r="M5" s="26"/>
    </row>
    <row r="6" spans="1:13" x14ac:dyDescent="0.25">
      <c r="A6" s="6">
        <v>6.97351126269564E+16</v>
      </c>
      <c r="B6" s="30" t="s">
        <v>18</v>
      </c>
      <c r="C6" s="32" t="str">
        <f t="shared" si="0"/>
        <v>Sep</v>
      </c>
      <c r="D6" s="11" t="s">
        <v>16</v>
      </c>
      <c r="E6" s="13">
        <v>577203</v>
      </c>
      <c r="F6" s="13">
        <v>711790</v>
      </c>
      <c r="G6" s="13">
        <v>18</v>
      </c>
      <c r="H6" s="13">
        <v>131.35593220338899</v>
      </c>
      <c r="I6" s="13">
        <v>23.644067796610098</v>
      </c>
      <c r="J6" s="13">
        <f t="shared" si="1"/>
        <v>154.99999999999909</v>
      </c>
      <c r="K6" s="13">
        <v>55.932203389830498</v>
      </c>
      <c r="L6" s="11" t="s">
        <v>19</v>
      </c>
      <c r="M6" s="26"/>
    </row>
    <row r="7" spans="1:13" x14ac:dyDescent="0.25">
      <c r="A7" s="6">
        <v>7.0710502195488896E+16</v>
      </c>
      <c r="B7" s="30" t="s">
        <v>20</v>
      </c>
      <c r="C7" s="32" t="str">
        <f t="shared" si="0"/>
        <v>Sep</v>
      </c>
      <c r="D7" s="11" t="s">
        <v>21</v>
      </c>
      <c r="E7" s="13">
        <v>800006</v>
      </c>
      <c r="F7" s="13">
        <v>7117</v>
      </c>
      <c r="G7" s="13">
        <v>18</v>
      </c>
      <c r="H7" s="13">
        <v>143.22033898305</v>
      </c>
      <c r="I7" s="13">
        <v>25.779661016949099</v>
      </c>
      <c r="J7" s="13">
        <f t="shared" si="1"/>
        <v>168.99999999999909</v>
      </c>
      <c r="K7" s="13">
        <v>53.389830508474603</v>
      </c>
      <c r="L7" s="11" t="s">
        <v>22</v>
      </c>
      <c r="M7" s="26"/>
    </row>
    <row r="8" spans="1:13" x14ac:dyDescent="0.25">
      <c r="A8" s="6">
        <v>7.17448524083324E+16</v>
      </c>
      <c r="B8" s="30" t="s">
        <v>8</v>
      </c>
      <c r="C8" s="32" t="str">
        <f t="shared" si="0"/>
        <v>Sep</v>
      </c>
      <c r="D8" s="11" t="s">
        <v>9</v>
      </c>
      <c r="E8" s="13">
        <v>495554</v>
      </c>
      <c r="F8" s="13">
        <v>711790</v>
      </c>
      <c r="G8" s="13">
        <v>18</v>
      </c>
      <c r="H8" s="13">
        <v>120.33898305084701</v>
      </c>
      <c r="I8" s="13">
        <v>21.661016949152501</v>
      </c>
      <c r="J8" s="13">
        <f t="shared" si="1"/>
        <v>141.99999999999952</v>
      </c>
      <c r="K8" s="13">
        <v>55.932203389830498</v>
      </c>
      <c r="L8" s="11" t="s">
        <v>23</v>
      </c>
      <c r="M8" s="26"/>
    </row>
    <row r="9" spans="1:13" x14ac:dyDescent="0.25">
      <c r="A9" s="6">
        <v>7.1959000808825504E+16</v>
      </c>
      <c r="B9" s="30" t="s">
        <v>8</v>
      </c>
      <c r="C9" s="32" t="str">
        <f t="shared" si="0"/>
        <v>Sep</v>
      </c>
      <c r="D9" s="11" t="s">
        <v>9</v>
      </c>
      <c r="E9" s="13">
        <v>160062</v>
      </c>
      <c r="F9" s="13">
        <v>711790</v>
      </c>
      <c r="G9" s="13">
        <v>18</v>
      </c>
      <c r="H9" s="13">
        <v>103.38983050847401</v>
      </c>
      <c r="I9" s="13">
        <v>21.661016949152501</v>
      </c>
      <c r="J9" s="13">
        <f t="shared" si="1"/>
        <v>125.0508474576265</v>
      </c>
      <c r="K9" s="13">
        <v>38.983050847457598</v>
      </c>
      <c r="L9" s="11" t="s">
        <v>17</v>
      </c>
      <c r="M9" s="26"/>
    </row>
    <row r="10" spans="1:13" x14ac:dyDescent="0.25">
      <c r="A10" s="6">
        <v>7.1603082940838096E+16</v>
      </c>
      <c r="B10" s="30" t="s">
        <v>24</v>
      </c>
      <c r="C10" s="32" t="str">
        <f t="shared" si="0"/>
        <v>Sep</v>
      </c>
      <c r="D10" s="11" t="s">
        <v>25</v>
      </c>
      <c r="E10" s="13">
        <v>226002</v>
      </c>
      <c r="F10" s="13">
        <v>7117</v>
      </c>
      <c r="G10" s="13">
        <v>3</v>
      </c>
      <c r="H10" s="13">
        <v>106.796116504854</v>
      </c>
      <c r="I10" s="13">
        <v>4.13592233009709</v>
      </c>
      <c r="J10" s="13">
        <f t="shared" si="1"/>
        <v>110.93203883495109</v>
      </c>
      <c r="K10" s="13">
        <v>29.126213592233</v>
      </c>
      <c r="L10" s="11" t="s">
        <v>10</v>
      </c>
      <c r="M10" s="26"/>
    </row>
    <row r="11" spans="1:13" x14ac:dyDescent="0.25">
      <c r="A11" s="6">
        <v>7.2148570263397104E+16</v>
      </c>
      <c r="B11" s="30" t="s">
        <v>13</v>
      </c>
      <c r="C11" s="32" t="str">
        <f t="shared" si="0"/>
        <v>Sep</v>
      </c>
      <c r="D11" s="11" t="s">
        <v>9</v>
      </c>
      <c r="E11" s="13">
        <v>821101</v>
      </c>
      <c r="F11" s="13">
        <v>7117</v>
      </c>
      <c r="G11" s="13">
        <v>18</v>
      </c>
      <c r="H11" s="13">
        <v>100</v>
      </c>
      <c r="I11" s="13">
        <v>18.610169491525401</v>
      </c>
      <c r="J11" s="13">
        <f t="shared" si="1"/>
        <v>118.6101694915254</v>
      </c>
      <c r="K11" s="13">
        <v>53.389830508474603</v>
      </c>
      <c r="L11" s="11" t="s">
        <v>22</v>
      </c>
      <c r="M11" s="26"/>
    </row>
    <row r="12" spans="1:13" x14ac:dyDescent="0.25">
      <c r="A12" s="6">
        <v>7.18688916131316E+16</v>
      </c>
      <c r="B12" s="30" t="s">
        <v>8</v>
      </c>
      <c r="C12" s="32" t="str">
        <f t="shared" si="0"/>
        <v>Sep</v>
      </c>
      <c r="D12" s="11" t="s">
        <v>25</v>
      </c>
      <c r="E12" s="13">
        <v>462043</v>
      </c>
      <c r="F12" s="13">
        <v>711790</v>
      </c>
      <c r="G12" s="13">
        <v>18</v>
      </c>
      <c r="H12" s="13">
        <v>120.33898305084701</v>
      </c>
      <c r="I12" s="13">
        <v>21.661016949152501</v>
      </c>
      <c r="J12" s="13">
        <f t="shared" si="1"/>
        <v>141.99999999999952</v>
      </c>
      <c r="K12" s="13">
        <v>55.932203389830498</v>
      </c>
      <c r="L12" s="11" t="s">
        <v>26</v>
      </c>
      <c r="M12" s="26"/>
    </row>
    <row r="13" spans="1:13" x14ac:dyDescent="0.25">
      <c r="A13" s="6">
        <v>6.9701173573410096E+16</v>
      </c>
      <c r="B13" s="30" t="s">
        <v>18</v>
      </c>
      <c r="C13" s="32" t="str">
        <f t="shared" si="0"/>
        <v>Sep</v>
      </c>
      <c r="D13" s="11" t="s">
        <v>9</v>
      </c>
      <c r="E13" s="13">
        <v>600117</v>
      </c>
      <c r="F13" s="13">
        <v>711790</v>
      </c>
      <c r="G13" s="13">
        <v>18</v>
      </c>
      <c r="H13" s="13">
        <v>119.49152542372801</v>
      </c>
      <c r="I13" s="13">
        <v>23.644067796610098</v>
      </c>
      <c r="J13" s="13">
        <f t="shared" si="1"/>
        <v>143.13559322033811</v>
      </c>
      <c r="K13" s="13">
        <v>44.067796610169502</v>
      </c>
      <c r="L13" s="11" t="s">
        <v>27</v>
      </c>
      <c r="M13" s="26"/>
    </row>
    <row r="14" spans="1:13" x14ac:dyDescent="0.25">
      <c r="A14" s="6">
        <v>7.12824642485912E+16</v>
      </c>
      <c r="B14" s="30" t="s">
        <v>11</v>
      </c>
      <c r="C14" s="32" t="str">
        <f t="shared" si="0"/>
        <v>Sep</v>
      </c>
      <c r="D14" s="11" t="s">
        <v>16</v>
      </c>
      <c r="E14" s="13">
        <v>110008</v>
      </c>
      <c r="F14" s="13">
        <v>711790</v>
      </c>
      <c r="G14" s="13">
        <v>18</v>
      </c>
      <c r="H14" s="13">
        <v>92.372881355932194</v>
      </c>
      <c r="I14" s="13">
        <v>19.677966101694899</v>
      </c>
      <c r="J14" s="13">
        <f t="shared" si="1"/>
        <v>112.0508474576271</v>
      </c>
      <c r="K14" s="13">
        <v>38.983050847457598</v>
      </c>
      <c r="L14" s="11" t="s">
        <v>28</v>
      </c>
      <c r="M14" s="26"/>
    </row>
    <row r="15" spans="1:13" x14ac:dyDescent="0.25">
      <c r="A15" s="6">
        <v>6.92765912678618E+16</v>
      </c>
      <c r="B15" s="30" t="s">
        <v>29</v>
      </c>
      <c r="C15" s="32" t="str">
        <f t="shared" si="0"/>
        <v>Sep</v>
      </c>
      <c r="D15" s="11" t="s">
        <v>16</v>
      </c>
      <c r="E15" s="13">
        <v>144022</v>
      </c>
      <c r="F15" s="13">
        <v>711790</v>
      </c>
      <c r="G15" s="13">
        <v>18</v>
      </c>
      <c r="H15" s="13">
        <v>114.406779661017</v>
      </c>
      <c r="I15" s="13">
        <v>23.644067796610098</v>
      </c>
      <c r="J15" s="13">
        <f t="shared" si="1"/>
        <v>138.0508474576271</v>
      </c>
      <c r="K15" s="13">
        <v>38.983050847457598</v>
      </c>
      <c r="L15" s="11" t="s">
        <v>17</v>
      </c>
      <c r="M15" s="26"/>
    </row>
    <row r="16" spans="1:13" x14ac:dyDescent="0.25">
      <c r="A16" s="6">
        <v>6.9441780096984704E+16</v>
      </c>
      <c r="B16" s="30" t="s">
        <v>29</v>
      </c>
      <c r="C16" s="32" t="str">
        <f t="shared" si="0"/>
        <v>Sep</v>
      </c>
      <c r="D16" s="11" t="s">
        <v>16</v>
      </c>
      <c r="E16" s="13">
        <v>700032</v>
      </c>
      <c r="F16" s="13">
        <v>711790</v>
      </c>
      <c r="G16" s="13">
        <v>18</v>
      </c>
      <c r="H16" s="13">
        <v>118.64406779661</v>
      </c>
      <c r="I16" s="13">
        <v>21.355932203389798</v>
      </c>
      <c r="J16" s="13">
        <f t="shared" si="1"/>
        <v>139.9999999999998</v>
      </c>
      <c r="K16" s="13">
        <v>55.932203389830498</v>
      </c>
      <c r="L16" s="11" t="s">
        <v>14</v>
      </c>
      <c r="M16" s="26"/>
    </row>
    <row r="17" spans="1:13" x14ac:dyDescent="0.25">
      <c r="A17" s="6">
        <v>7.6989792849111904E+16</v>
      </c>
      <c r="B17" s="30" t="s">
        <v>30</v>
      </c>
      <c r="C17" s="32" t="str">
        <f t="shared" si="0"/>
        <v>Oct</v>
      </c>
      <c r="D17" s="11" t="s">
        <v>25</v>
      </c>
      <c r="E17" s="13">
        <v>700041</v>
      </c>
      <c r="F17" s="13">
        <v>7117</v>
      </c>
      <c r="G17" s="13">
        <v>3</v>
      </c>
      <c r="H17" s="13">
        <v>93.203883495145604</v>
      </c>
      <c r="I17" s="13">
        <v>3.3495145631068</v>
      </c>
      <c r="J17" s="13">
        <f t="shared" si="1"/>
        <v>96.553398058252398</v>
      </c>
      <c r="K17" s="13">
        <v>60.194174757281601</v>
      </c>
      <c r="L17" s="11" t="s">
        <v>14</v>
      </c>
      <c r="M17" s="26"/>
    </row>
    <row r="18" spans="1:13" x14ac:dyDescent="0.25">
      <c r="A18" s="6">
        <v>8.10092355226284E+16</v>
      </c>
      <c r="B18" s="30" t="s">
        <v>31</v>
      </c>
      <c r="C18" s="32" t="str">
        <f t="shared" si="0"/>
        <v>Oct</v>
      </c>
      <c r="D18" s="11" t="s">
        <v>25</v>
      </c>
      <c r="E18" s="13">
        <v>201102</v>
      </c>
      <c r="F18" s="13">
        <v>7117</v>
      </c>
      <c r="G18" s="13">
        <v>3</v>
      </c>
      <c r="H18" s="13">
        <v>127.184466019417</v>
      </c>
      <c r="I18" s="13">
        <v>4.1067961165048503</v>
      </c>
      <c r="J18" s="13">
        <f t="shared" si="1"/>
        <v>131.29126213592184</v>
      </c>
      <c r="K18" s="13">
        <v>58.252427184466001</v>
      </c>
      <c r="L18" s="11" t="s">
        <v>10</v>
      </c>
      <c r="M18" s="26"/>
    </row>
    <row r="19" spans="1:13" x14ac:dyDescent="0.25">
      <c r="A19" s="6">
        <v>8.323104954724E+16</v>
      </c>
      <c r="B19" s="30" t="s">
        <v>32</v>
      </c>
      <c r="C19" s="32" t="str">
        <f t="shared" si="0"/>
        <v>Oct</v>
      </c>
      <c r="D19" s="11" t="s">
        <v>33</v>
      </c>
      <c r="E19" s="13">
        <v>824203</v>
      </c>
      <c r="F19" s="13">
        <v>7117</v>
      </c>
      <c r="G19" s="13">
        <v>3</v>
      </c>
      <c r="H19" s="13">
        <v>156.31067961164999</v>
      </c>
      <c r="I19" s="13">
        <v>4.7766990291262097</v>
      </c>
      <c r="J19" s="13">
        <f t="shared" si="1"/>
        <v>161.08737864077619</v>
      </c>
      <c r="K19" s="13">
        <v>55.339805825242699</v>
      </c>
      <c r="L19" s="11" t="s">
        <v>22</v>
      </c>
      <c r="M19" s="26"/>
    </row>
    <row r="20" spans="1:13" x14ac:dyDescent="0.25">
      <c r="A20" s="6">
        <v>8.3493613057331808E+16</v>
      </c>
      <c r="B20" s="30" t="s">
        <v>34</v>
      </c>
      <c r="C20" s="32" t="str">
        <f t="shared" si="0"/>
        <v>Oct</v>
      </c>
      <c r="D20" s="11" t="s">
        <v>33</v>
      </c>
      <c r="E20" s="13">
        <v>786001</v>
      </c>
      <c r="F20" s="13">
        <v>711790</v>
      </c>
      <c r="G20" s="13">
        <v>3</v>
      </c>
      <c r="H20" s="13">
        <v>124.27184466019401</v>
      </c>
      <c r="I20" s="13">
        <v>4.5145631067961203</v>
      </c>
      <c r="J20" s="13">
        <f t="shared" si="1"/>
        <v>128.78640776699012</v>
      </c>
      <c r="K20" s="13">
        <v>52.427184466019398</v>
      </c>
      <c r="L20" s="11" t="s">
        <v>35</v>
      </c>
      <c r="M20" s="26"/>
    </row>
    <row r="21" spans="1:13" x14ac:dyDescent="0.25">
      <c r="A21" s="6">
        <v>8.0298198937301792E+16</v>
      </c>
      <c r="B21" s="30" t="s">
        <v>36</v>
      </c>
      <c r="C21" s="32" t="str">
        <f t="shared" si="0"/>
        <v>Oct</v>
      </c>
      <c r="D21" s="11" t="s">
        <v>16</v>
      </c>
      <c r="E21" s="13">
        <v>825313</v>
      </c>
      <c r="F21" s="13">
        <v>7117</v>
      </c>
      <c r="G21" s="13">
        <v>3</v>
      </c>
      <c r="H21" s="13">
        <v>141.747572815534</v>
      </c>
      <c r="I21" s="13">
        <v>4.86407766990291</v>
      </c>
      <c r="J21" s="13">
        <f t="shared" si="1"/>
        <v>146.61165048543691</v>
      </c>
      <c r="K21" s="13">
        <v>40.776699029126199</v>
      </c>
      <c r="L21" s="11" t="s">
        <v>37</v>
      </c>
      <c r="M21" s="26"/>
    </row>
    <row r="22" spans="1:13" x14ac:dyDescent="0.25">
      <c r="A22" s="6">
        <v>8.34851173849464E+16</v>
      </c>
      <c r="B22" s="30" t="s">
        <v>34</v>
      </c>
      <c r="C22" s="32" t="str">
        <f t="shared" si="0"/>
        <v>Oct</v>
      </c>
      <c r="D22" s="11" t="s">
        <v>9</v>
      </c>
      <c r="E22" s="13">
        <v>506002</v>
      </c>
      <c r="F22" s="13">
        <v>7117</v>
      </c>
      <c r="G22" s="13">
        <v>3</v>
      </c>
      <c r="H22" s="13">
        <v>156.31067961164999</v>
      </c>
      <c r="I22" s="13">
        <v>4.6893203883495103</v>
      </c>
      <c r="J22" s="13">
        <f t="shared" si="1"/>
        <v>160.99999999999949</v>
      </c>
      <c r="K22" s="13">
        <v>59.223300970873801</v>
      </c>
      <c r="L22" s="11" t="s">
        <v>39</v>
      </c>
      <c r="M22" s="26"/>
    </row>
    <row r="23" spans="1:13" x14ac:dyDescent="0.25">
      <c r="A23" s="6">
        <v>7.9950710581670208E+16</v>
      </c>
      <c r="B23" s="30" t="s">
        <v>40</v>
      </c>
      <c r="C23" s="32" t="str">
        <f t="shared" si="0"/>
        <v>Oct</v>
      </c>
      <c r="D23" s="11" t="s">
        <v>25</v>
      </c>
      <c r="E23" s="13">
        <v>400101</v>
      </c>
      <c r="F23" s="13">
        <v>7117</v>
      </c>
      <c r="G23" s="13">
        <v>3</v>
      </c>
      <c r="H23" s="13">
        <v>158.252427184466</v>
      </c>
      <c r="I23" s="13">
        <v>5.0970873786407802</v>
      </c>
      <c r="J23" s="13">
        <f t="shared" si="1"/>
        <v>163.34951456310679</v>
      </c>
      <c r="K23" s="13">
        <v>63.106796116504903</v>
      </c>
      <c r="L23" s="11" t="s">
        <v>41</v>
      </c>
      <c r="M23" s="26"/>
    </row>
    <row r="24" spans="1:13" x14ac:dyDescent="0.25">
      <c r="A24" s="6">
        <v>8.1011491404244608E+16</v>
      </c>
      <c r="B24" s="30" t="s">
        <v>31</v>
      </c>
      <c r="C24" s="32" t="str">
        <f t="shared" si="0"/>
        <v>Oct</v>
      </c>
      <c r="D24" s="11" t="s">
        <v>25</v>
      </c>
      <c r="E24" s="13">
        <v>144211</v>
      </c>
      <c r="F24" s="13">
        <v>7117</v>
      </c>
      <c r="G24" s="13">
        <v>3</v>
      </c>
      <c r="H24" s="13">
        <v>151.45631067961099</v>
      </c>
      <c r="I24" s="13">
        <v>4.7475728155339798</v>
      </c>
      <c r="J24" s="13">
        <f t="shared" si="1"/>
        <v>156.20388349514496</v>
      </c>
      <c r="K24" s="13">
        <v>51.456310679611697</v>
      </c>
      <c r="L24" s="11" t="s">
        <v>17</v>
      </c>
      <c r="M24" s="26"/>
    </row>
    <row r="25" spans="1:13" x14ac:dyDescent="0.25">
      <c r="A25" s="6">
        <v>8.2688279422047504E+16</v>
      </c>
      <c r="B25" s="30" t="s">
        <v>42</v>
      </c>
      <c r="C25" s="32" t="str">
        <f t="shared" si="0"/>
        <v>Oct</v>
      </c>
      <c r="D25" s="11" t="s">
        <v>33</v>
      </c>
      <c r="E25" s="13">
        <v>843119</v>
      </c>
      <c r="F25" s="13">
        <v>7117</v>
      </c>
      <c r="G25" s="13">
        <v>3</v>
      </c>
      <c r="H25" s="13">
        <v>159.223300970873</v>
      </c>
      <c r="I25" s="13">
        <v>4.7766990291262097</v>
      </c>
      <c r="J25" s="13">
        <f t="shared" si="1"/>
        <v>163.9999999999992</v>
      </c>
      <c r="K25" s="13">
        <v>59.223300970873801</v>
      </c>
      <c r="L25" s="11" t="s">
        <v>22</v>
      </c>
      <c r="M25" s="26"/>
    </row>
    <row r="26" spans="1:13" x14ac:dyDescent="0.25">
      <c r="A26" s="6">
        <v>7.7747994586917696E+16</v>
      </c>
      <c r="B26" s="30" t="s">
        <v>43</v>
      </c>
      <c r="C26" s="32" t="str">
        <f t="shared" si="0"/>
        <v>Oct</v>
      </c>
      <c r="D26" s="11" t="s">
        <v>16</v>
      </c>
      <c r="E26" s="13">
        <v>174001</v>
      </c>
      <c r="F26" s="13">
        <v>7117</v>
      </c>
      <c r="G26" s="13">
        <v>3</v>
      </c>
      <c r="H26" s="13">
        <v>199.02912621359201</v>
      </c>
      <c r="I26" s="13">
        <v>6.1747572815533998</v>
      </c>
      <c r="J26" s="13">
        <f t="shared" si="1"/>
        <v>205.20388349514542</v>
      </c>
      <c r="K26" s="13">
        <v>52.427184466019398</v>
      </c>
      <c r="L26" s="11" t="s">
        <v>44</v>
      </c>
      <c r="M26" s="26"/>
    </row>
    <row r="27" spans="1:13" x14ac:dyDescent="0.25">
      <c r="A27" s="6">
        <v>7.9271913352581792E+16</v>
      </c>
      <c r="B27" s="30" t="s">
        <v>45</v>
      </c>
      <c r="C27" s="32" t="str">
        <f t="shared" si="0"/>
        <v>Oct</v>
      </c>
      <c r="D27" s="11" t="s">
        <v>25</v>
      </c>
      <c r="E27" s="13">
        <v>202002</v>
      </c>
      <c r="F27" s="13">
        <v>7117</v>
      </c>
      <c r="G27" s="13">
        <v>3</v>
      </c>
      <c r="H27" s="13">
        <v>140.77669902912601</v>
      </c>
      <c r="I27" s="13">
        <v>4.6310679611650496</v>
      </c>
      <c r="J27" s="13">
        <f t="shared" si="1"/>
        <v>145.40776699029107</v>
      </c>
      <c r="K27" s="13">
        <v>50.485436893203897</v>
      </c>
      <c r="L27" s="11" t="s">
        <v>10</v>
      </c>
      <c r="M27" s="26"/>
    </row>
    <row r="28" spans="1:13" x14ac:dyDescent="0.25">
      <c r="A28" s="6">
        <v>8.36235633591256E+16</v>
      </c>
      <c r="B28" s="30" t="s">
        <v>34</v>
      </c>
      <c r="C28" s="32" t="str">
        <f t="shared" si="0"/>
        <v>Oct</v>
      </c>
      <c r="D28" s="11" t="s">
        <v>33</v>
      </c>
      <c r="E28" s="13">
        <v>151001</v>
      </c>
      <c r="F28" s="13">
        <v>7117</v>
      </c>
      <c r="G28" s="13">
        <v>3</v>
      </c>
      <c r="H28" s="13">
        <v>139.80582524271799</v>
      </c>
      <c r="I28" s="13">
        <v>4.86407766990291</v>
      </c>
      <c r="J28" s="13">
        <f t="shared" si="1"/>
        <v>144.6699029126209</v>
      </c>
      <c r="K28" s="13">
        <v>36.893203883495197</v>
      </c>
      <c r="L28" s="11" t="s">
        <v>17</v>
      </c>
      <c r="M28" s="26"/>
    </row>
    <row r="29" spans="1:13" x14ac:dyDescent="0.25">
      <c r="A29" s="6">
        <v>8.3527982179673696E+16</v>
      </c>
      <c r="B29" s="30" t="s">
        <v>34</v>
      </c>
      <c r="C29" s="32" t="str">
        <f t="shared" si="0"/>
        <v>Oct</v>
      </c>
      <c r="D29" s="11" t="s">
        <v>9</v>
      </c>
      <c r="E29" s="13">
        <v>301701</v>
      </c>
      <c r="F29" s="13">
        <v>7117</v>
      </c>
      <c r="G29" s="13">
        <v>3</v>
      </c>
      <c r="H29" s="13">
        <v>153.39805825242701</v>
      </c>
      <c r="I29" s="13">
        <v>4.7766990291262097</v>
      </c>
      <c r="J29" s="13">
        <f t="shared" si="1"/>
        <v>158.17475728155321</v>
      </c>
      <c r="K29" s="13">
        <v>52.427184466019398</v>
      </c>
      <c r="L29" s="11" t="s">
        <v>46</v>
      </c>
      <c r="M29" s="26"/>
    </row>
    <row r="30" spans="1:13" x14ac:dyDescent="0.25">
      <c r="A30" s="6">
        <v>8.3230092033660192E+16</v>
      </c>
      <c r="B30" s="30" t="s">
        <v>32</v>
      </c>
      <c r="C30" s="32" t="str">
        <f t="shared" si="0"/>
        <v>Oct</v>
      </c>
      <c r="D30" s="11" t="s">
        <v>9</v>
      </c>
      <c r="E30" s="13">
        <v>415604</v>
      </c>
      <c r="F30" s="13">
        <v>7117</v>
      </c>
      <c r="G30" s="13">
        <v>3</v>
      </c>
      <c r="H30" s="13">
        <v>159.223300970873</v>
      </c>
      <c r="I30" s="13">
        <v>4.7766990291262097</v>
      </c>
      <c r="J30" s="13">
        <f t="shared" si="1"/>
        <v>163.9999999999992</v>
      </c>
      <c r="K30" s="13">
        <v>58.252427184466001</v>
      </c>
      <c r="L30" s="11" t="s">
        <v>41</v>
      </c>
      <c r="M30" s="26"/>
    </row>
    <row r="31" spans="1:13" x14ac:dyDescent="0.25">
      <c r="A31" s="6">
        <v>8.0929583877729104E+16</v>
      </c>
      <c r="B31" s="30" t="s">
        <v>31</v>
      </c>
      <c r="C31" s="32" t="str">
        <f t="shared" si="0"/>
        <v>Oct</v>
      </c>
      <c r="D31" s="11" t="s">
        <v>25</v>
      </c>
      <c r="E31" s="13">
        <v>221010</v>
      </c>
      <c r="F31" s="13">
        <v>7117</v>
      </c>
      <c r="G31" s="13">
        <v>3</v>
      </c>
      <c r="H31" s="13">
        <v>149.514563106796</v>
      </c>
      <c r="I31" s="13">
        <v>4.7766990291262097</v>
      </c>
      <c r="J31" s="13">
        <f t="shared" si="1"/>
        <v>154.29126213592221</v>
      </c>
      <c r="K31" s="13">
        <v>58.252427184466001</v>
      </c>
      <c r="L31" s="11" t="s">
        <v>10</v>
      </c>
      <c r="M31" s="26"/>
    </row>
    <row r="32" spans="1:13" x14ac:dyDescent="0.25">
      <c r="A32" s="6">
        <v>8.2316177325617904E+16</v>
      </c>
      <c r="B32" s="30" t="s">
        <v>47</v>
      </c>
      <c r="C32" s="32" t="str">
        <f t="shared" si="0"/>
        <v>Oct</v>
      </c>
      <c r="D32" s="11" t="s">
        <v>9</v>
      </c>
      <c r="E32" s="13">
        <v>570031</v>
      </c>
      <c r="F32" s="13">
        <v>711790</v>
      </c>
      <c r="G32" s="13">
        <v>3</v>
      </c>
      <c r="H32" s="13">
        <v>145.631067961165</v>
      </c>
      <c r="I32" s="13">
        <v>4.3689320388349504</v>
      </c>
      <c r="J32" s="13">
        <f t="shared" si="1"/>
        <v>149.99999999999994</v>
      </c>
      <c r="K32" s="13">
        <v>59.223300970873801</v>
      </c>
      <c r="L32" s="11" t="s">
        <v>19</v>
      </c>
      <c r="M32" s="26"/>
    </row>
    <row r="33" spans="1:13" x14ac:dyDescent="0.25">
      <c r="A33" s="6">
        <v>8.2004798899155696E+16</v>
      </c>
      <c r="B33" s="30" t="s">
        <v>48</v>
      </c>
      <c r="C33" s="32" t="str">
        <f t="shared" si="0"/>
        <v>Oct</v>
      </c>
      <c r="D33" s="11" t="s">
        <v>21</v>
      </c>
      <c r="E33" s="13">
        <v>140307</v>
      </c>
      <c r="F33" s="13">
        <v>7117</v>
      </c>
      <c r="G33" s="13">
        <v>3</v>
      </c>
      <c r="H33" s="13">
        <v>159.223300970873</v>
      </c>
      <c r="I33" s="13">
        <v>4.7766990291262097</v>
      </c>
      <c r="J33" s="13">
        <f t="shared" si="1"/>
        <v>163.9999999999992</v>
      </c>
      <c r="K33" s="13">
        <v>59.223300970873801</v>
      </c>
      <c r="L33" s="11" t="s">
        <v>17</v>
      </c>
      <c r="M33" s="26"/>
    </row>
    <row r="34" spans="1:13" x14ac:dyDescent="0.25">
      <c r="A34" s="6">
        <v>8.2347505085977904E+16</v>
      </c>
      <c r="B34" s="30" t="s">
        <v>47</v>
      </c>
      <c r="C34" s="32" t="str">
        <f t="shared" si="0"/>
        <v>Oct</v>
      </c>
      <c r="D34" s="11" t="s">
        <v>9</v>
      </c>
      <c r="E34" s="13">
        <v>263153</v>
      </c>
      <c r="F34" s="13">
        <v>7117</v>
      </c>
      <c r="G34" s="13">
        <v>3</v>
      </c>
      <c r="H34" s="13">
        <v>129.126213592233</v>
      </c>
      <c r="I34" s="13">
        <v>4.1650485436893199</v>
      </c>
      <c r="J34" s="13">
        <f t="shared" si="1"/>
        <v>133.29126213592232</v>
      </c>
      <c r="K34" s="13">
        <v>49.514563106796103</v>
      </c>
      <c r="L34" s="11" t="s">
        <v>49</v>
      </c>
      <c r="M34" s="26"/>
    </row>
    <row r="35" spans="1:13" x14ac:dyDescent="0.25">
      <c r="A35" s="6">
        <v>7.8607710778168608E+16</v>
      </c>
      <c r="B35" s="30" t="s">
        <v>50</v>
      </c>
      <c r="C35" s="32" t="str">
        <f t="shared" si="0"/>
        <v>Oct</v>
      </c>
      <c r="D35" s="11" t="s">
        <v>16</v>
      </c>
      <c r="E35" s="13">
        <v>700041</v>
      </c>
      <c r="F35" s="13">
        <v>7117</v>
      </c>
      <c r="G35" s="13">
        <v>3</v>
      </c>
      <c r="H35" s="13">
        <v>91.262135922330103</v>
      </c>
      <c r="I35" s="13">
        <v>2.7378640776698999</v>
      </c>
      <c r="J35" s="13">
        <f t="shared" si="1"/>
        <v>94</v>
      </c>
      <c r="K35" s="13">
        <v>60.194174757281601</v>
      </c>
      <c r="L35" s="11" t="s">
        <v>14</v>
      </c>
      <c r="M35" s="26"/>
    </row>
    <row r="36" spans="1:13" x14ac:dyDescent="0.25">
      <c r="A36" s="6">
        <v>8.3261630063804608E+16</v>
      </c>
      <c r="B36" s="30" t="s">
        <v>32</v>
      </c>
      <c r="C36" s="32" t="str">
        <f t="shared" si="0"/>
        <v>Oct</v>
      </c>
      <c r="D36" s="11" t="s">
        <v>9</v>
      </c>
      <c r="E36" s="13">
        <v>515201</v>
      </c>
      <c r="F36" s="13">
        <v>7117</v>
      </c>
      <c r="G36" s="13">
        <v>3</v>
      </c>
      <c r="H36" s="13">
        <v>136.893203883495</v>
      </c>
      <c r="I36" s="13">
        <v>4.1067961165048503</v>
      </c>
      <c r="J36" s="13">
        <f t="shared" si="1"/>
        <v>140.99999999999986</v>
      </c>
      <c r="K36" s="13">
        <v>58.252427184466001</v>
      </c>
      <c r="L36" s="11" t="s">
        <v>39</v>
      </c>
      <c r="M36" s="26"/>
    </row>
    <row r="37" spans="1:13" x14ac:dyDescent="0.25">
      <c r="A37" s="6">
        <v>8.3065320432136992E+16</v>
      </c>
      <c r="B37" s="30" t="s">
        <v>32</v>
      </c>
      <c r="C37" s="32" t="str">
        <f t="shared" si="0"/>
        <v>Oct</v>
      </c>
      <c r="D37" s="11" t="s">
        <v>9</v>
      </c>
      <c r="E37" s="13">
        <v>821301</v>
      </c>
      <c r="F37" s="13">
        <v>7117</v>
      </c>
      <c r="G37" s="13">
        <v>3</v>
      </c>
      <c r="H37" s="13">
        <v>144.66019417475701</v>
      </c>
      <c r="I37" s="13">
        <v>4.3980582524271803</v>
      </c>
      <c r="J37" s="13">
        <f t="shared" si="1"/>
        <v>149.05825242718419</v>
      </c>
      <c r="K37" s="13">
        <v>57.2815533980583</v>
      </c>
      <c r="L37" s="11" t="s">
        <v>22</v>
      </c>
      <c r="M37" s="26"/>
    </row>
    <row r="38" spans="1:13" x14ac:dyDescent="0.25">
      <c r="A38" s="6">
        <v>8.06745028073024E+16</v>
      </c>
      <c r="B38" s="30" t="s">
        <v>51</v>
      </c>
      <c r="C38" s="32" t="str">
        <f t="shared" si="0"/>
        <v>Oct</v>
      </c>
      <c r="D38" s="11" t="s">
        <v>25</v>
      </c>
      <c r="E38" s="13">
        <v>140603</v>
      </c>
      <c r="F38" s="13">
        <v>7117</v>
      </c>
      <c r="G38" s="13">
        <v>3</v>
      </c>
      <c r="H38" s="13">
        <v>158.252427184466</v>
      </c>
      <c r="I38" s="13">
        <v>5.0970873786407802</v>
      </c>
      <c r="J38" s="13">
        <f t="shared" si="1"/>
        <v>163.34951456310679</v>
      </c>
      <c r="K38" s="13">
        <v>63.106796116504903</v>
      </c>
      <c r="L38" s="11" t="s">
        <v>17</v>
      </c>
      <c r="M38" s="26"/>
    </row>
    <row r="39" spans="1:13" x14ac:dyDescent="0.25">
      <c r="A39" s="6">
        <v>8.26945943698768E+16</v>
      </c>
      <c r="B39" s="30" t="s">
        <v>42</v>
      </c>
      <c r="C39" s="32" t="str">
        <f t="shared" si="0"/>
        <v>Oct</v>
      </c>
      <c r="D39" s="11" t="s">
        <v>25</v>
      </c>
      <c r="E39" s="13">
        <v>283111</v>
      </c>
      <c r="F39" s="13">
        <v>7117</v>
      </c>
      <c r="G39" s="13">
        <v>3</v>
      </c>
      <c r="H39" s="13">
        <v>166.01941747572801</v>
      </c>
      <c r="I39" s="13">
        <v>5.15533980582524</v>
      </c>
      <c r="J39" s="13">
        <f t="shared" si="1"/>
        <v>171.17475728155324</v>
      </c>
      <c r="K39" s="13">
        <v>59.223300970873801</v>
      </c>
      <c r="L39" s="11" t="s">
        <v>10</v>
      </c>
      <c r="M39" s="26"/>
    </row>
    <row r="40" spans="1:13" x14ac:dyDescent="0.25">
      <c r="A40" s="6">
        <v>7.96441696521304E+16</v>
      </c>
      <c r="B40" s="30" t="s">
        <v>40</v>
      </c>
      <c r="C40" s="32" t="str">
        <f t="shared" si="0"/>
        <v>Oct</v>
      </c>
      <c r="D40" s="11" t="s">
        <v>52</v>
      </c>
      <c r="E40" s="13">
        <v>110020</v>
      </c>
      <c r="F40" s="13">
        <v>7117</v>
      </c>
      <c r="G40" s="13">
        <v>3</v>
      </c>
      <c r="H40" s="13">
        <v>158.252427184466</v>
      </c>
      <c r="I40" s="13">
        <v>5.0970873786407802</v>
      </c>
      <c r="J40" s="13">
        <f t="shared" si="1"/>
        <v>163.34951456310679</v>
      </c>
      <c r="K40" s="13">
        <v>51.456310679611697</v>
      </c>
      <c r="L40" s="11" t="s">
        <v>28</v>
      </c>
      <c r="M40" s="26"/>
    </row>
    <row r="41" spans="1:13" x14ac:dyDescent="0.25">
      <c r="A41" s="6">
        <v>8.2031569451864704E+16</v>
      </c>
      <c r="B41" s="30" t="s">
        <v>48</v>
      </c>
      <c r="C41" s="32" t="str">
        <f t="shared" si="0"/>
        <v>Oct</v>
      </c>
      <c r="D41" s="11" t="s">
        <v>25</v>
      </c>
      <c r="E41" s="13">
        <v>843146</v>
      </c>
      <c r="F41" s="13">
        <v>7117</v>
      </c>
      <c r="G41" s="13">
        <v>3</v>
      </c>
      <c r="H41" s="13">
        <v>140.77669902912601</v>
      </c>
      <c r="I41" s="13">
        <v>4.2233009708737903</v>
      </c>
      <c r="J41" s="13">
        <f t="shared" si="1"/>
        <v>144.9999999999998</v>
      </c>
      <c r="K41" s="13">
        <v>59.223300970873801</v>
      </c>
      <c r="L41" s="11" t="s">
        <v>22</v>
      </c>
      <c r="M41" s="26"/>
    </row>
    <row r="42" spans="1:13" x14ac:dyDescent="0.25">
      <c r="A42" s="6">
        <v>8.2793384663574208E+16</v>
      </c>
      <c r="B42" s="30" t="s">
        <v>42</v>
      </c>
      <c r="C42" s="32" t="str">
        <f t="shared" si="0"/>
        <v>Oct</v>
      </c>
      <c r="D42" s="11" t="s">
        <v>9</v>
      </c>
      <c r="E42" s="13">
        <v>743355</v>
      </c>
      <c r="F42" s="13">
        <v>7117</v>
      </c>
      <c r="G42" s="13">
        <v>3</v>
      </c>
      <c r="H42" s="13">
        <v>162.135922330097</v>
      </c>
      <c r="I42" s="13">
        <v>4.86407766990291</v>
      </c>
      <c r="J42" s="13">
        <f t="shared" si="1"/>
        <v>166.99999999999991</v>
      </c>
      <c r="K42" s="13">
        <v>59.223300970873801</v>
      </c>
      <c r="L42" s="11" t="s">
        <v>14</v>
      </c>
      <c r="M42" s="26"/>
    </row>
    <row r="43" spans="1:13" x14ac:dyDescent="0.25">
      <c r="A43" s="6">
        <v>7.9927044816941408E+16</v>
      </c>
      <c r="B43" s="30" t="s">
        <v>40</v>
      </c>
      <c r="C43" s="32" t="str">
        <f t="shared" si="0"/>
        <v>Oct</v>
      </c>
      <c r="D43" s="11" t="s">
        <v>25</v>
      </c>
      <c r="E43" s="13">
        <v>509376</v>
      </c>
      <c r="F43" s="13">
        <v>7117</v>
      </c>
      <c r="G43" s="13">
        <v>3</v>
      </c>
      <c r="H43" s="13">
        <v>147.57281553397999</v>
      </c>
      <c r="I43" s="13">
        <v>4.42718446601942</v>
      </c>
      <c r="J43" s="13">
        <f t="shared" si="1"/>
        <v>151.9999999999994</v>
      </c>
      <c r="K43" s="13">
        <v>63.106796116504903</v>
      </c>
      <c r="L43" s="11" t="s">
        <v>53</v>
      </c>
      <c r="M43" s="26"/>
    </row>
    <row r="44" spans="1:13" x14ac:dyDescent="0.25">
      <c r="A44" s="6">
        <v>8.0898761234048704E+16</v>
      </c>
      <c r="B44" s="30" t="s">
        <v>31</v>
      </c>
      <c r="C44" s="32" t="str">
        <f t="shared" si="0"/>
        <v>Oct</v>
      </c>
      <c r="D44" s="11" t="s">
        <v>25</v>
      </c>
      <c r="E44" s="13">
        <v>110043</v>
      </c>
      <c r="F44" s="13">
        <v>7117</v>
      </c>
      <c r="G44" s="13">
        <v>3</v>
      </c>
      <c r="H44" s="13">
        <v>114.563106796116</v>
      </c>
      <c r="I44" s="13">
        <v>4.1067961165048503</v>
      </c>
      <c r="J44" s="13">
        <f t="shared" si="1"/>
        <v>118.66990291262086</v>
      </c>
      <c r="K44" s="13">
        <v>58.252427184466001</v>
      </c>
      <c r="L44" s="11" t="s">
        <v>28</v>
      </c>
      <c r="M44" s="26"/>
    </row>
    <row r="45" spans="1:13" x14ac:dyDescent="0.25">
      <c r="A45" s="6">
        <v>8.0715750160608096E+16</v>
      </c>
      <c r="B45" s="30" t="s">
        <v>51</v>
      </c>
      <c r="C45" s="32" t="str">
        <f t="shared" si="0"/>
        <v>Oct</v>
      </c>
      <c r="D45" s="11" t="s">
        <v>25</v>
      </c>
      <c r="E45" s="13">
        <v>743165</v>
      </c>
      <c r="F45" s="13">
        <v>7117</v>
      </c>
      <c r="G45" s="13">
        <v>3</v>
      </c>
      <c r="H45" s="13">
        <v>139.80582524271799</v>
      </c>
      <c r="I45" s="13">
        <v>4.1941747572815498</v>
      </c>
      <c r="J45" s="13">
        <f t="shared" si="1"/>
        <v>143.99999999999955</v>
      </c>
      <c r="K45" s="13">
        <v>61.165048543689302</v>
      </c>
      <c r="L45" s="11" t="s">
        <v>14</v>
      </c>
      <c r="M45" s="26"/>
    </row>
    <row r="46" spans="1:13" x14ac:dyDescent="0.25">
      <c r="A46" s="6">
        <v>7.90534890782032E+16</v>
      </c>
      <c r="B46" s="30" t="s">
        <v>45</v>
      </c>
      <c r="C46" s="32" t="str">
        <f t="shared" si="0"/>
        <v>Oct</v>
      </c>
      <c r="D46" s="11" t="s">
        <v>25</v>
      </c>
      <c r="E46" s="13">
        <v>852137</v>
      </c>
      <c r="F46" s="13">
        <v>7117</v>
      </c>
      <c r="G46" s="13">
        <v>3</v>
      </c>
      <c r="H46" s="13">
        <v>162.135922330097</v>
      </c>
      <c r="I46" s="13">
        <v>4.86407766990291</v>
      </c>
      <c r="J46" s="13">
        <f t="shared" si="1"/>
        <v>166.99999999999991</v>
      </c>
      <c r="K46" s="13">
        <v>61.165048543689302</v>
      </c>
      <c r="L46" s="11" t="s">
        <v>22</v>
      </c>
      <c r="M46" s="26"/>
    </row>
    <row r="47" spans="1:13" x14ac:dyDescent="0.25">
      <c r="A47" s="6">
        <v>8.3124939892970096E+16</v>
      </c>
      <c r="B47" s="30" t="s">
        <v>32</v>
      </c>
      <c r="C47" s="32" t="str">
        <f t="shared" si="0"/>
        <v>Oct</v>
      </c>
      <c r="D47" s="11" t="s">
        <v>9</v>
      </c>
      <c r="E47" s="13">
        <v>762010</v>
      </c>
      <c r="F47" s="13">
        <v>7117</v>
      </c>
      <c r="G47" s="13">
        <v>3</v>
      </c>
      <c r="H47" s="13">
        <v>159.223300970873</v>
      </c>
      <c r="I47" s="13">
        <v>4.7766990291262097</v>
      </c>
      <c r="J47" s="13">
        <f t="shared" si="1"/>
        <v>163.9999999999992</v>
      </c>
      <c r="K47" s="13">
        <v>58.252427184466001</v>
      </c>
      <c r="L47" s="11" t="s">
        <v>54</v>
      </c>
      <c r="M47" s="26"/>
    </row>
    <row r="48" spans="1:13" x14ac:dyDescent="0.25">
      <c r="A48" s="6">
        <v>8.34990318351484E+16</v>
      </c>
      <c r="B48" s="30" t="s">
        <v>34</v>
      </c>
      <c r="C48" s="32" t="str">
        <f t="shared" si="0"/>
        <v>Oct</v>
      </c>
      <c r="D48" s="11" t="s">
        <v>9</v>
      </c>
      <c r="E48" s="13">
        <v>276403</v>
      </c>
      <c r="F48" s="13">
        <v>7117</v>
      </c>
      <c r="G48" s="13">
        <v>3</v>
      </c>
      <c r="H48" s="13">
        <v>149.514563106796</v>
      </c>
      <c r="I48" s="13">
        <v>4.7766990291262097</v>
      </c>
      <c r="J48" s="13">
        <f t="shared" si="1"/>
        <v>154.29126213592221</v>
      </c>
      <c r="K48" s="13">
        <v>48.543689320388303</v>
      </c>
      <c r="L48" s="11" t="s">
        <v>10</v>
      </c>
      <c r="M48" s="26"/>
    </row>
    <row r="49" spans="1:13" x14ac:dyDescent="0.25">
      <c r="A49" s="6">
        <v>8.0558104655942208E+16</v>
      </c>
      <c r="B49" s="30" t="s">
        <v>51</v>
      </c>
      <c r="C49" s="32" t="str">
        <f t="shared" si="0"/>
        <v>Oct</v>
      </c>
      <c r="D49" s="11" t="s">
        <v>25</v>
      </c>
      <c r="E49" s="13">
        <v>811302</v>
      </c>
      <c r="F49" s="13">
        <v>7117</v>
      </c>
      <c r="G49" s="13">
        <v>3</v>
      </c>
      <c r="H49" s="13">
        <v>139.80582524271799</v>
      </c>
      <c r="I49" s="13">
        <v>4.1941747572815498</v>
      </c>
      <c r="J49" s="13">
        <f t="shared" si="1"/>
        <v>143.99999999999955</v>
      </c>
      <c r="K49" s="13">
        <v>61.165048543689302</v>
      </c>
      <c r="L49" s="11" t="s">
        <v>22</v>
      </c>
      <c r="M49" s="26"/>
    </row>
    <row r="50" spans="1:13" x14ac:dyDescent="0.25">
      <c r="A50" s="6">
        <v>8.3373227876804192E+16</v>
      </c>
      <c r="B50" s="30" t="s">
        <v>34</v>
      </c>
      <c r="C50" s="32" t="str">
        <f t="shared" si="0"/>
        <v>Oct</v>
      </c>
      <c r="D50" s="11" t="s">
        <v>33</v>
      </c>
      <c r="E50" s="13">
        <v>805131</v>
      </c>
      <c r="F50" s="13">
        <v>7117</v>
      </c>
      <c r="G50" s="13">
        <v>3</v>
      </c>
      <c r="H50" s="13">
        <v>159.223300970873</v>
      </c>
      <c r="I50" s="13">
        <v>4.7766990291262097</v>
      </c>
      <c r="J50" s="13">
        <f t="shared" si="1"/>
        <v>163.9999999999992</v>
      </c>
      <c r="K50" s="13">
        <v>58.252427184466001</v>
      </c>
      <c r="L50" s="11" t="s">
        <v>22</v>
      </c>
      <c r="M50" s="26"/>
    </row>
    <row r="51" spans="1:13" x14ac:dyDescent="0.25">
      <c r="A51" s="6">
        <v>7.4558370767430304E+16</v>
      </c>
      <c r="B51" s="30" t="s">
        <v>55</v>
      </c>
      <c r="C51" s="32" t="str">
        <f t="shared" si="0"/>
        <v>Oct</v>
      </c>
      <c r="D51" s="11" t="s">
        <v>16</v>
      </c>
      <c r="E51" s="13">
        <v>190007</v>
      </c>
      <c r="F51" s="13">
        <v>711790</v>
      </c>
      <c r="G51" s="13">
        <v>18</v>
      </c>
      <c r="H51" s="13">
        <v>99.152542372881399</v>
      </c>
      <c r="I51" s="13">
        <v>21.966101694915199</v>
      </c>
      <c r="J51" s="13">
        <f t="shared" si="1"/>
        <v>121.11864406779659</v>
      </c>
      <c r="K51" s="13">
        <v>45.762711864406803</v>
      </c>
      <c r="L51" s="11" t="s">
        <v>56</v>
      </c>
      <c r="M51" s="26"/>
    </row>
    <row r="52" spans="1:13" x14ac:dyDescent="0.25">
      <c r="A52" s="6">
        <v>8.0505500237179696E+16</v>
      </c>
      <c r="B52" s="30" t="s">
        <v>51</v>
      </c>
      <c r="C52" s="32" t="str">
        <f t="shared" si="0"/>
        <v>Oct</v>
      </c>
      <c r="D52" s="11" t="s">
        <v>16</v>
      </c>
      <c r="E52" s="13">
        <v>811213</v>
      </c>
      <c r="F52" s="13">
        <v>7117</v>
      </c>
      <c r="G52" s="13">
        <v>3</v>
      </c>
      <c r="H52" s="13">
        <v>139.80582524271799</v>
      </c>
      <c r="I52" s="13">
        <v>4.1941747572815498</v>
      </c>
      <c r="J52" s="13">
        <f t="shared" si="1"/>
        <v>143.99999999999955</v>
      </c>
      <c r="K52" s="13">
        <v>61.165048543689302</v>
      </c>
      <c r="L52" s="11" t="s">
        <v>22</v>
      </c>
      <c r="M52" s="26"/>
    </row>
    <row r="53" spans="1:13" x14ac:dyDescent="0.25">
      <c r="A53" s="6">
        <v>7.4895810210378208E+16</v>
      </c>
      <c r="B53" s="30" t="s">
        <v>57</v>
      </c>
      <c r="C53" s="32" t="str">
        <f t="shared" si="0"/>
        <v>Oct</v>
      </c>
      <c r="D53" s="11" t="s">
        <v>16</v>
      </c>
      <c r="E53" s="13">
        <v>229301</v>
      </c>
      <c r="F53" s="13">
        <v>7117</v>
      </c>
      <c r="G53" s="13">
        <v>3</v>
      </c>
      <c r="H53" s="13">
        <v>125.242718446601</v>
      </c>
      <c r="I53" s="13">
        <v>4.5145631067961203</v>
      </c>
      <c r="J53" s="13">
        <f t="shared" si="1"/>
        <v>129.75728155339712</v>
      </c>
      <c r="K53" s="13">
        <v>34.951456310679603</v>
      </c>
      <c r="L53" s="11" t="s">
        <v>10</v>
      </c>
      <c r="M53" s="26"/>
    </row>
    <row r="54" spans="1:13" x14ac:dyDescent="0.25">
      <c r="A54" s="6">
        <v>8.0198616500859696E+16</v>
      </c>
      <c r="B54" s="30" t="s">
        <v>36</v>
      </c>
      <c r="C54" s="32" t="str">
        <f t="shared" si="0"/>
        <v>Oct</v>
      </c>
      <c r="D54" s="11" t="s">
        <v>16</v>
      </c>
      <c r="E54" s="13">
        <v>143521</v>
      </c>
      <c r="F54" s="13">
        <v>7117</v>
      </c>
      <c r="G54" s="13">
        <v>3</v>
      </c>
      <c r="H54" s="13">
        <v>158.252427184466</v>
      </c>
      <c r="I54" s="13">
        <v>5.0970873786407802</v>
      </c>
      <c r="J54" s="13">
        <f t="shared" si="1"/>
        <v>163.34951456310679</v>
      </c>
      <c r="K54" s="13">
        <v>51.456310679611697</v>
      </c>
      <c r="L54" s="11" t="s">
        <v>17</v>
      </c>
      <c r="M54" s="26"/>
    </row>
    <row r="55" spans="1:13" x14ac:dyDescent="0.25">
      <c r="A55" s="6">
        <v>7.9700916300670592E+16</v>
      </c>
      <c r="B55" s="30" t="s">
        <v>40</v>
      </c>
      <c r="C55" s="32" t="str">
        <f t="shared" si="0"/>
        <v>Oct</v>
      </c>
      <c r="D55" s="11" t="s">
        <v>25</v>
      </c>
      <c r="E55" s="13">
        <v>572137</v>
      </c>
      <c r="F55" s="13">
        <v>7117</v>
      </c>
      <c r="G55" s="13">
        <v>3</v>
      </c>
      <c r="H55" s="13">
        <v>164.07766990291199</v>
      </c>
      <c r="I55" s="13">
        <v>5.0970873786407802</v>
      </c>
      <c r="J55" s="13">
        <f t="shared" si="1"/>
        <v>169.17475728155279</v>
      </c>
      <c r="K55" s="13">
        <v>63.106796116504903</v>
      </c>
      <c r="L55" s="11" t="s">
        <v>19</v>
      </c>
      <c r="M55" s="26"/>
    </row>
    <row r="56" spans="1:13" x14ac:dyDescent="0.25">
      <c r="A56" s="6">
        <v>8.20419730872784E+16</v>
      </c>
      <c r="B56" s="30" t="s">
        <v>48</v>
      </c>
      <c r="C56" s="32" t="str">
        <f t="shared" si="0"/>
        <v>Oct</v>
      </c>
      <c r="D56" s="11" t="s">
        <v>25</v>
      </c>
      <c r="E56" s="13">
        <v>175027</v>
      </c>
      <c r="F56" s="13">
        <v>7117</v>
      </c>
      <c r="G56" s="13">
        <v>3</v>
      </c>
      <c r="H56" s="13">
        <v>165.04854368932001</v>
      </c>
      <c r="I56" s="13">
        <v>5.15533980582524</v>
      </c>
      <c r="J56" s="13">
        <f t="shared" si="1"/>
        <v>170.20388349514525</v>
      </c>
      <c r="K56" s="13">
        <v>52.427184466019398</v>
      </c>
      <c r="L56" s="11" t="s">
        <v>44</v>
      </c>
      <c r="M56" s="26"/>
    </row>
    <row r="57" spans="1:13" x14ac:dyDescent="0.25">
      <c r="A57" s="6">
        <v>8.3201548676115296E+16</v>
      </c>
      <c r="B57" s="30" t="s">
        <v>32</v>
      </c>
      <c r="C57" s="32" t="str">
        <f t="shared" si="0"/>
        <v>Oct</v>
      </c>
      <c r="D57" s="11" t="s">
        <v>9</v>
      </c>
      <c r="E57" s="13">
        <v>825325</v>
      </c>
      <c r="F57" s="13">
        <v>7117</v>
      </c>
      <c r="G57" s="13">
        <v>3</v>
      </c>
      <c r="H57" s="13">
        <v>136.893203883495</v>
      </c>
      <c r="I57" s="13">
        <v>4.1067961165048503</v>
      </c>
      <c r="J57" s="13">
        <f t="shared" si="1"/>
        <v>140.99999999999986</v>
      </c>
      <c r="K57" s="13">
        <v>58.252427184466001</v>
      </c>
      <c r="L57" s="11" t="s">
        <v>37</v>
      </c>
      <c r="M57" s="26"/>
    </row>
    <row r="58" spans="1:13" x14ac:dyDescent="0.25">
      <c r="A58" s="6">
        <v>8.0985738364726096E+16</v>
      </c>
      <c r="B58" s="30" t="s">
        <v>31</v>
      </c>
      <c r="C58" s="32" t="str">
        <f t="shared" si="0"/>
        <v>Oct</v>
      </c>
      <c r="D58" s="11" t="s">
        <v>25</v>
      </c>
      <c r="E58" s="13">
        <v>301701</v>
      </c>
      <c r="F58" s="13">
        <v>7117</v>
      </c>
      <c r="G58" s="13">
        <v>3</v>
      </c>
      <c r="H58" s="13">
        <v>152.42718446601901</v>
      </c>
      <c r="I58" s="13">
        <v>4.7766990291262097</v>
      </c>
      <c r="J58" s="13">
        <f t="shared" si="1"/>
        <v>157.20388349514522</v>
      </c>
      <c r="K58" s="13">
        <v>58.252427184466001</v>
      </c>
      <c r="L58" s="11" t="s">
        <v>46</v>
      </c>
      <c r="M58" s="26"/>
    </row>
    <row r="59" spans="1:13" x14ac:dyDescent="0.25">
      <c r="A59" s="6">
        <v>8.1671687061566208E+16</v>
      </c>
      <c r="B59" s="30" t="s">
        <v>58</v>
      </c>
      <c r="C59" s="32" t="str">
        <f t="shared" si="0"/>
        <v>Oct</v>
      </c>
      <c r="D59" s="11" t="s">
        <v>9</v>
      </c>
      <c r="E59" s="13">
        <v>853201</v>
      </c>
      <c r="F59" s="13">
        <v>7117</v>
      </c>
      <c r="G59" s="13">
        <v>3</v>
      </c>
      <c r="H59" s="13">
        <v>162.135922330097</v>
      </c>
      <c r="I59" s="13">
        <v>4.86407766990291</v>
      </c>
      <c r="J59" s="13">
        <f t="shared" si="1"/>
        <v>166.99999999999991</v>
      </c>
      <c r="K59" s="13">
        <v>59.223300970873801</v>
      </c>
      <c r="L59" s="11" t="s">
        <v>22</v>
      </c>
      <c r="M59" s="26"/>
    </row>
    <row r="60" spans="1:13" x14ac:dyDescent="0.25">
      <c r="A60" s="6">
        <v>8.0630115704435504E+16</v>
      </c>
      <c r="B60" s="30" t="s">
        <v>51</v>
      </c>
      <c r="C60" s="32" t="str">
        <f t="shared" si="0"/>
        <v>Oct</v>
      </c>
      <c r="D60" s="11" t="s">
        <v>25</v>
      </c>
      <c r="E60" s="13">
        <v>843129</v>
      </c>
      <c r="F60" s="13">
        <v>7117</v>
      </c>
      <c r="G60" s="13">
        <v>3</v>
      </c>
      <c r="H60" s="13">
        <v>169.90291262135901</v>
      </c>
      <c r="I60" s="13">
        <v>5.0970873786407802</v>
      </c>
      <c r="J60" s="13">
        <f t="shared" si="1"/>
        <v>174.9999999999998</v>
      </c>
      <c r="K60" s="13">
        <v>63.106796116504903</v>
      </c>
      <c r="L60" s="11" t="s">
        <v>22</v>
      </c>
      <c r="M60" s="26"/>
    </row>
    <row r="61" spans="1:13" x14ac:dyDescent="0.25">
      <c r="A61" s="6">
        <v>8.3364015876597408E+16</v>
      </c>
      <c r="B61" s="30" t="s">
        <v>34</v>
      </c>
      <c r="C61" s="32" t="str">
        <f t="shared" si="0"/>
        <v>Oct</v>
      </c>
      <c r="D61" s="11" t="s">
        <v>9</v>
      </c>
      <c r="E61" s="13">
        <v>534450</v>
      </c>
      <c r="F61" s="13">
        <v>7117</v>
      </c>
      <c r="G61" s="13">
        <v>3</v>
      </c>
      <c r="H61" s="13">
        <v>156.31067961164999</v>
      </c>
      <c r="I61" s="13">
        <v>4.6893203883495103</v>
      </c>
      <c r="J61" s="13">
        <f t="shared" si="1"/>
        <v>160.99999999999949</v>
      </c>
      <c r="K61" s="13">
        <v>59.223300970873801</v>
      </c>
      <c r="L61" s="11" t="s">
        <v>39</v>
      </c>
      <c r="M61" s="26"/>
    </row>
    <row r="62" spans="1:13" x14ac:dyDescent="0.25">
      <c r="A62" s="6">
        <v>8.3181468154786592E+16</v>
      </c>
      <c r="B62" s="30" t="s">
        <v>32</v>
      </c>
      <c r="C62" s="32" t="str">
        <f t="shared" si="0"/>
        <v>Oct</v>
      </c>
      <c r="D62" s="11" t="s">
        <v>25</v>
      </c>
      <c r="E62" s="13">
        <v>721101</v>
      </c>
      <c r="F62" s="13">
        <v>7117</v>
      </c>
      <c r="G62" s="13">
        <v>3</v>
      </c>
      <c r="H62" s="13">
        <v>159.223300970873</v>
      </c>
      <c r="I62" s="13">
        <v>4.7766990291262097</v>
      </c>
      <c r="J62" s="13">
        <f t="shared" si="1"/>
        <v>163.9999999999992</v>
      </c>
      <c r="K62" s="13">
        <v>58.252427184466001</v>
      </c>
      <c r="L62" s="11" t="s">
        <v>14</v>
      </c>
      <c r="M62" s="26"/>
    </row>
    <row r="63" spans="1:13" x14ac:dyDescent="0.25">
      <c r="A63" s="6">
        <v>8.3143725894792E+16</v>
      </c>
      <c r="B63" s="30" t="s">
        <v>32</v>
      </c>
      <c r="C63" s="32" t="str">
        <f t="shared" si="0"/>
        <v>Oct</v>
      </c>
      <c r="D63" s="11" t="s">
        <v>9</v>
      </c>
      <c r="E63" s="13">
        <v>813205</v>
      </c>
      <c r="F63" s="13">
        <v>7117</v>
      </c>
      <c r="G63" s="13">
        <v>3</v>
      </c>
      <c r="H63" s="13">
        <v>136.893203883495</v>
      </c>
      <c r="I63" s="13">
        <v>4.1067961165048503</v>
      </c>
      <c r="J63" s="13">
        <f t="shared" si="1"/>
        <v>140.99999999999986</v>
      </c>
      <c r="K63" s="13">
        <v>58.252427184466001</v>
      </c>
      <c r="L63" s="11" t="s">
        <v>22</v>
      </c>
      <c r="M63" s="26"/>
    </row>
    <row r="64" spans="1:13" x14ac:dyDescent="0.25">
      <c r="A64" s="6">
        <v>8.3150178651722304E+16</v>
      </c>
      <c r="B64" s="30" t="s">
        <v>32</v>
      </c>
      <c r="C64" s="32" t="str">
        <f t="shared" si="0"/>
        <v>Oct</v>
      </c>
      <c r="D64" s="11" t="s">
        <v>9</v>
      </c>
      <c r="E64" s="13">
        <v>228159</v>
      </c>
      <c r="F64" s="13">
        <v>7117</v>
      </c>
      <c r="G64" s="13">
        <v>3</v>
      </c>
      <c r="H64" s="13">
        <v>149.514563106796</v>
      </c>
      <c r="I64" s="13">
        <v>4.7766990291262097</v>
      </c>
      <c r="J64" s="13">
        <f t="shared" si="1"/>
        <v>154.29126213592221</v>
      </c>
      <c r="K64" s="13">
        <v>48.543689320388303</v>
      </c>
      <c r="L64" s="11" t="s">
        <v>10</v>
      </c>
      <c r="M64" s="26"/>
    </row>
    <row r="65" spans="1:13" x14ac:dyDescent="0.25">
      <c r="A65" s="6">
        <v>8.3181789587171008E+16</v>
      </c>
      <c r="B65" s="30" t="s">
        <v>32</v>
      </c>
      <c r="C65" s="32" t="str">
        <f t="shared" si="0"/>
        <v>Oct</v>
      </c>
      <c r="D65" s="11" t="s">
        <v>9</v>
      </c>
      <c r="E65" s="13">
        <v>486340</v>
      </c>
      <c r="F65" s="13">
        <v>7117</v>
      </c>
      <c r="G65" s="13">
        <v>3</v>
      </c>
      <c r="H65" s="13">
        <v>159.223300970873</v>
      </c>
      <c r="I65" s="13">
        <v>4.7766990291262097</v>
      </c>
      <c r="J65" s="13">
        <f t="shared" si="1"/>
        <v>163.9999999999992</v>
      </c>
      <c r="K65" s="13">
        <v>58.252427184466001</v>
      </c>
      <c r="L65" s="11" t="s">
        <v>26</v>
      </c>
      <c r="M65" s="26"/>
    </row>
    <row r="66" spans="1:13" x14ac:dyDescent="0.25">
      <c r="A66" s="6">
        <v>7.4518371911152096E+16</v>
      </c>
      <c r="B66" s="30" t="s">
        <v>55</v>
      </c>
      <c r="C66" s="32" t="str">
        <f t="shared" si="0"/>
        <v>Oct</v>
      </c>
      <c r="D66" s="11" t="s">
        <v>16</v>
      </c>
      <c r="E66" s="13">
        <v>201304</v>
      </c>
      <c r="F66" s="13">
        <v>7117</v>
      </c>
      <c r="G66" s="13">
        <v>3</v>
      </c>
      <c r="H66" s="13">
        <v>106.796116504854</v>
      </c>
      <c r="I66" s="13">
        <v>3.9029126213592198</v>
      </c>
      <c r="J66" s="13">
        <f t="shared" si="1"/>
        <v>110.69902912621322</v>
      </c>
      <c r="K66" s="13">
        <v>35.922330097087404</v>
      </c>
      <c r="L66" s="11" t="s">
        <v>10</v>
      </c>
      <c r="M66" s="26"/>
    </row>
    <row r="67" spans="1:13" x14ac:dyDescent="0.25">
      <c r="A67" s="6">
        <v>8.0985967641105696E+16</v>
      </c>
      <c r="B67" s="30" t="s">
        <v>31</v>
      </c>
      <c r="C67" s="32" t="str">
        <f t="shared" ref="C67:C130" si="2">TEXT(B67, "mmm")</f>
        <v>Oct</v>
      </c>
      <c r="D67" s="11" t="s">
        <v>25</v>
      </c>
      <c r="E67" s="13">
        <v>301701</v>
      </c>
      <c r="F67" s="13">
        <v>7117</v>
      </c>
      <c r="G67" s="13">
        <v>3</v>
      </c>
      <c r="H67" s="13">
        <v>152.42718446601901</v>
      </c>
      <c r="I67" s="13">
        <v>4.7766990291262097</v>
      </c>
      <c r="J67" s="13">
        <f t="shared" ref="J67:J130" si="3">H67+I67</f>
        <v>157.20388349514522</v>
      </c>
      <c r="K67" s="13">
        <v>58.252427184466001</v>
      </c>
      <c r="L67" s="11" t="s">
        <v>46</v>
      </c>
      <c r="M67" s="26"/>
    </row>
    <row r="68" spans="1:13" x14ac:dyDescent="0.25">
      <c r="A68" s="6">
        <v>8.13006858964284E+16</v>
      </c>
      <c r="B68" s="30" t="s">
        <v>59</v>
      </c>
      <c r="C68" s="32" t="str">
        <f t="shared" si="2"/>
        <v>Oct</v>
      </c>
      <c r="D68" s="11" t="s">
        <v>9</v>
      </c>
      <c r="E68" s="13">
        <v>344001</v>
      </c>
      <c r="F68" s="13">
        <v>7117</v>
      </c>
      <c r="G68" s="13">
        <v>3</v>
      </c>
      <c r="H68" s="13">
        <v>152.42718446601901</v>
      </c>
      <c r="I68" s="13">
        <v>4.7766990291262097</v>
      </c>
      <c r="J68" s="13">
        <f t="shared" si="3"/>
        <v>157.20388349514522</v>
      </c>
      <c r="K68" s="13">
        <v>52.427184466019398</v>
      </c>
      <c r="L68" s="11" t="s">
        <v>46</v>
      </c>
      <c r="M68" s="26"/>
    </row>
    <row r="69" spans="1:13" x14ac:dyDescent="0.25">
      <c r="A69" s="6">
        <v>8.3520462140728992E+16</v>
      </c>
      <c r="B69" s="30" t="s">
        <v>34</v>
      </c>
      <c r="C69" s="32" t="str">
        <f t="shared" si="2"/>
        <v>Oct</v>
      </c>
      <c r="D69" s="11" t="s">
        <v>25</v>
      </c>
      <c r="E69" s="13">
        <v>110053</v>
      </c>
      <c r="F69" s="13">
        <v>7117</v>
      </c>
      <c r="G69" s="13">
        <v>3</v>
      </c>
      <c r="H69" s="13">
        <v>149.514563106796</v>
      </c>
      <c r="I69" s="13">
        <v>4.7766990291262097</v>
      </c>
      <c r="J69" s="13">
        <f t="shared" si="3"/>
        <v>154.29126213592221</v>
      </c>
      <c r="K69" s="13">
        <v>58.252427184466001</v>
      </c>
      <c r="L69" s="11" t="s">
        <v>28</v>
      </c>
      <c r="M69" s="26"/>
    </row>
    <row r="70" spans="1:13" x14ac:dyDescent="0.25">
      <c r="A70" s="6">
        <v>8.3422830386996896E+16</v>
      </c>
      <c r="B70" s="30" t="s">
        <v>34</v>
      </c>
      <c r="C70" s="32" t="str">
        <f t="shared" si="2"/>
        <v>Oct</v>
      </c>
      <c r="D70" s="11" t="s">
        <v>33</v>
      </c>
      <c r="E70" s="13">
        <v>522001</v>
      </c>
      <c r="F70" s="13">
        <v>7117</v>
      </c>
      <c r="G70" s="13">
        <v>3</v>
      </c>
      <c r="H70" s="13">
        <v>159.223300970873</v>
      </c>
      <c r="I70" s="13">
        <v>4.7766990291262097</v>
      </c>
      <c r="J70" s="13">
        <f t="shared" si="3"/>
        <v>163.9999999999992</v>
      </c>
      <c r="K70" s="13">
        <v>58.252427184466001</v>
      </c>
      <c r="L70" s="11" t="s">
        <v>39</v>
      </c>
      <c r="M70" s="26"/>
    </row>
    <row r="71" spans="1:13" x14ac:dyDescent="0.25">
      <c r="A71" s="6">
        <v>8.3483804255119008E+16</v>
      </c>
      <c r="B71" s="30" t="s">
        <v>34</v>
      </c>
      <c r="C71" s="32" t="str">
        <f t="shared" si="2"/>
        <v>Oct</v>
      </c>
      <c r="D71" s="11" t="s">
        <v>33</v>
      </c>
      <c r="E71" s="13">
        <v>600012</v>
      </c>
      <c r="F71" s="13">
        <v>7117</v>
      </c>
      <c r="G71" s="13">
        <v>3</v>
      </c>
      <c r="H71" s="13">
        <v>159.223300970873</v>
      </c>
      <c r="I71" s="13">
        <v>4.7766990291262097</v>
      </c>
      <c r="J71" s="13">
        <f t="shared" si="3"/>
        <v>163.9999999999992</v>
      </c>
      <c r="K71" s="13">
        <v>58.252427184466001</v>
      </c>
      <c r="L71" s="11" t="s">
        <v>27</v>
      </c>
      <c r="M71" s="26"/>
    </row>
    <row r="72" spans="1:13" x14ac:dyDescent="0.25">
      <c r="A72" s="6">
        <v>7.5878708346383008E+16</v>
      </c>
      <c r="B72" s="30" t="s">
        <v>60</v>
      </c>
      <c r="C72" s="32" t="str">
        <f t="shared" si="2"/>
        <v>Oct</v>
      </c>
      <c r="D72" s="11" t="s">
        <v>52</v>
      </c>
      <c r="E72" s="13">
        <v>600057</v>
      </c>
      <c r="F72" s="13">
        <v>7117</v>
      </c>
      <c r="G72" s="13">
        <v>3</v>
      </c>
      <c r="H72" s="13">
        <v>132.03883495145601</v>
      </c>
      <c r="I72" s="13">
        <v>3.9611650485436898</v>
      </c>
      <c r="J72" s="13">
        <f t="shared" si="3"/>
        <v>135.99999999999969</v>
      </c>
      <c r="K72" s="13">
        <v>63.106796116504903</v>
      </c>
      <c r="L72" s="11" t="s">
        <v>27</v>
      </c>
      <c r="M72" s="26"/>
    </row>
    <row r="73" spans="1:13" x14ac:dyDescent="0.25">
      <c r="A73" s="6">
        <v>8.3552913922331904E+16</v>
      </c>
      <c r="B73" s="30" t="s">
        <v>34</v>
      </c>
      <c r="C73" s="32" t="str">
        <f t="shared" si="2"/>
        <v>Oct</v>
      </c>
      <c r="D73" s="11" t="s">
        <v>33</v>
      </c>
      <c r="E73" s="13">
        <v>277501</v>
      </c>
      <c r="F73" s="13">
        <v>7117</v>
      </c>
      <c r="G73" s="13">
        <v>3</v>
      </c>
      <c r="H73" s="13">
        <v>127.184466019417</v>
      </c>
      <c r="I73" s="13">
        <v>4.1067961165048503</v>
      </c>
      <c r="J73" s="13">
        <f t="shared" si="3"/>
        <v>131.29126213592184</v>
      </c>
      <c r="K73" s="13">
        <v>48.543689320388303</v>
      </c>
      <c r="L73" s="11" t="s">
        <v>10</v>
      </c>
      <c r="M73" s="26"/>
    </row>
    <row r="74" spans="1:13" x14ac:dyDescent="0.25">
      <c r="A74" s="6">
        <v>8.09856034618048E+16</v>
      </c>
      <c r="B74" s="30" t="s">
        <v>31</v>
      </c>
      <c r="C74" s="32" t="str">
        <f t="shared" si="2"/>
        <v>Oct</v>
      </c>
      <c r="D74" s="11" t="s">
        <v>25</v>
      </c>
      <c r="E74" s="13">
        <v>301701</v>
      </c>
      <c r="F74" s="13">
        <v>7117</v>
      </c>
      <c r="G74" s="13">
        <v>3</v>
      </c>
      <c r="H74" s="13">
        <v>152.42718446601901</v>
      </c>
      <c r="I74" s="13">
        <v>4.7766990291262097</v>
      </c>
      <c r="J74" s="13">
        <f t="shared" si="3"/>
        <v>157.20388349514522</v>
      </c>
      <c r="K74" s="13">
        <v>58.252427184466001</v>
      </c>
      <c r="L74" s="11" t="s">
        <v>46</v>
      </c>
      <c r="M74" s="26"/>
    </row>
    <row r="75" spans="1:13" x14ac:dyDescent="0.25">
      <c r="A75" s="6">
        <v>7.7714882335222592E+16</v>
      </c>
      <c r="B75" s="30" t="s">
        <v>43</v>
      </c>
      <c r="C75" s="32" t="str">
        <f t="shared" si="2"/>
        <v>Oct</v>
      </c>
      <c r="D75" s="11" t="s">
        <v>25</v>
      </c>
      <c r="E75" s="13">
        <v>491995</v>
      </c>
      <c r="F75" s="13">
        <v>7117</v>
      </c>
      <c r="G75" s="13">
        <v>18</v>
      </c>
      <c r="H75" s="13">
        <v>96.610169491525397</v>
      </c>
      <c r="I75" s="13">
        <v>17.3898305084745</v>
      </c>
      <c r="J75" s="13">
        <f t="shared" si="3"/>
        <v>113.9999999999999</v>
      </c>
      <c r="K75" s="13">
        <v>55.932203389830498</v>
      </c>
      <c r="L75" s="11" t="s">
        <v>23</v>
      </c>
      <c r="M75" s="26"/>
    </row>
    <row r="76" spans="1:13" x14ac:dyDescent="0.25">
      <c r="A76" s="6">
        <v>7.3343276360393408E+16</v>
      </c>
      <c r="B76" s="30" t="s">
        <v>61</v>
      </c>
      <c r="C76" s="32" t="str">
        <f t="shared" si="2"/>
        <v>Oct</v>
      </c>
      <c r="D76" s="11" t="s">
        <v>16</v>
      </c>
      <c r="E76" s="13">
        <v>735214</v>
      </c>
      <c r="F76" s="13">
        <v>711790</v>
      </c>
      <c r="G76" s="13">
        <v>18</v>
      </c>
      <c r="H76" s="13">
        <v>97.457627118644098</v>
      </c>
      <c r="I76" s="13">
        <v>19.677966101694899</v>
      </c>
      <c r="J76" s="13">
        <f t="shared" si="3"/>
        <v>117.13559322033899</v>
      </c>
      <c r="K76" s="13">
        <v>44.067796610169502</v>
      </c>
      <c r="L76" s="11" t="s">
        <v>14</v>
      </c>
      <c r="M76" s="26"/>
    </row>
    <row r="77" spans="1:13" x14ac:dyDescent="0.25">
      <c r="A77" s="6">
        <v>8.1008921508046496E+16</v>
      </c>
      <c r="B77" s="30" t="s">
        <v>31</v>
      </c>
      <c r="C77" s="32" t="str">
        <f t="shared" si="2"/>
        <v>Oct</v>
      </c>
      <c r="D77" s="11" t="s">
        <v>9</v>
      </c>
      <c r="E77" s="13">
        <v>534324</v>
      </c>
      <c r="F77" s="13">
        <v>7117</v>
      </c>
      <c r="G77" s="13">
        <v>3</v>
      </c>
      <c r="H77" s="13">
        <v>159.223300970873</v>
      </c>
      <c r="I77" s="13">
        <v>4.7766990291262097</v>
      </c>
      <c r="J77" s="13">
        <f t="shared" si="3"/>
        <v>163.9999999999992</v>
      </c>
      <c r="K77" s="13">
        <v>58.252427184466001</v>
      </c>
      <c r="L77" s="11" t="s">
        <v>39</v>
      </c>
      <c r="M77" s="26"/>
    </row>
    <row r="78" spans="1:13" x14ac:dyDescent="0.25">
      <c r="A78" s="6">
        <v>7.9450479394542208E+16</v>
      </c>
      <c r="B78" s="30" t="s">
        <v>62</v>
      </c>
      <c r="C78" s="32" t="str">
        <f t="shared" si="2"/>
        <v>Oct</v>
      </c>
      <c r="D78" s="11" t="s">
        <v>9</v>
      </c>
      <c r="E78" s="13">
        <v>813203</v>
      </c>
      <c r="F78" s="13">
        <v>7117</v>
      </c>
      <c r="G78" s="13">
        <v>3</v>
      </c>
      <c r="H78" s="13">
        <v>162.135922330097</v>
      </c>
      <c r="I78" s="13">
        <v>4.86407766990291</v>
      </c>
      <c r="J78" s="13">
        <f t="shared" si="3"/>
        <v>166.99999999999991</v>
      </c>
      <c r="K78" s="13">
        <v>61.165048543689302</v>
      </c>
      <c r="L78" s="11" t="s">
        <v>22</v>
      </c>
      <c r="M78" s="26"/>
    </row>
    <row r="79" spans="1:13" x14ac:dyDescent="0.25">
      <c r="A79" s="6">
        <v>8.0205485680874096E+16</v>
      </c>
      <c r="B79" s="30" t="s">
        <v>36</v>
      </c>
      <c r="C79" s="32" t="str">
        <f t="shared" si="2"/>
        <v>Oct</v>
      </c>
      <c r="D79" s="11" t="s">
        <v>9</v>
      </c>
      <c r="E79" s="13">
        <v>121003</v>
      </c>
      <c r="F79" s="13">
        <v>7117</v>
      </c>
      <c r="G79" s="13">
        <v>3</v>
      </c>
      <c r="H79" s="13">
        <v>152.42718446601901</v>
      </c>
      <c r="I79" s="13">
        <v>4.86407766990291</v>
      </c>
      <c r="J79" s="13">
        <f t="shared" si="3"/>
        <v>157.29126213592193</v>
      </c>
      <c r="K79" s="13">
        <v>51.456310679611697</v>
      </c>
      <c r="L79" s="11" t="s">
        <v>63</v>
      </c>
      <c r="M79" s="26"/>
    </row>
    <row r="80" spans="1:13" x14ac:dyDescent="0.25">
      <c r="A80" s="6">
        <v>7.4129931055067296E+16</v>
      </c>
      <c r="B80" s="30" t="s">
        <v>64</v>
      </c>
      <c r="C80" s="32" t="str">
        <f t="shared" si="2"/>
        <v>Oct</v>
      </c>
      <c r="D80" s="11" t="s">
        <v>21</v>
      </c>
      <c r="E80" s="13">
        <v>422001</v>
      </c>
      <c r="F80" s="13">
        <v>711790</v>
      </c>
      <c r="G80" s="13">
        <v>18</v>
      </c>
      <c r="H80" s="13">
        <v>120.33898305084701</v>
      </c>
      <c r="I80" s="13">
        <v>21.661016949152501</v>
      </c>
      <c r="J80" s="13">
        <f t="shared" si="3"/>
        <v>141.99999999999952</v>
      </c>
      <c r="K80" s="13">
        <v>55.932203389830498</v>
      </c>
      <c r="L80" s="11" t="s">
        <v>41</v>
      </c>
      <c r="M80" s="26"/>
    </row>
    <row r="81" spans="1:13" x14ac:dyDescent="0.25">
      <c r="A81" s="6">
        <v>8.1986012343104304E+16</v>
      </c>
      <c r="B81" s="30" t="s">
        <v>48</v>
      </c>
      <c r="C81" s="32" t="str">
        <f t="shared" si="2"/>
        <v>Oct</v>
      </c>
      <c r="D81" s="11" t="s">
        <v>25</v>
      </c>
      <c r="E81" s="13">
        <v>221010</v>
      </c>
      <c r="F81" s="13">
        <v>7117</v>
      </c>
      <c r="G81" s="13">
        <v>3</v>
      </c>
      <c r="H81" s="13">
        <v>135.92233009708701</v>
      </c>
      <c r="I81" s="13">
        <v>4.8058252427184502</v>
      </c>
      <c r="J81" s="13">
        <f t="shared" si="3"/>
        <v>140.72815533980545</v>
      </c>
      <c r="K81" s="13">
        <v>34.951456310679603</v>
      </c>
      <c r="L81" s="11" t="s">
        <v>10</v>
      </c>
      <c r="M81" s="26"/>
    </row>
    <row r="82" spans="1:13" x14ac:dyDescent="0.25">
      <c r="A82" s="6">
        <v>8.0918988634187392E+16</v>
      </c>
      <c r="B82" s="30" t="s">
        <v>31</v>
      </c>
      <c r="C82" s="32" t="str">
        <f t="shared" si="2"/>
        <v>Oct</v>
      </c>
      <c r="D82" s="11" t="s">
        <v>25</v>
      </c>
      <c r="E82" s="13">
        <v>841287</v>
      </c>
      <c r="F82" s="13">
        <v>7117</v>
      </c>
      <c r="G82" s="13">
        <v>3</v>
      </c>
      <c r="H82" s="13">
        <v>158.252427184466</v>
      </c>
      <c r="I82" s="13">
        <v>4.7475728155339798</v>
      </c>
      <c r="J82" s="13">
        <f t="shared" si="3"/>
        <v>162.99999999999997</v>
      </c>
      <c r="K82" s="13">
        <v>58.252427184466001</v>
      </c>
      <c r="L82" s="11" t="s">
        <v>22</v>
      </c>
      <c r="M82" s="26"/>
    </row>
    <row r="83" spans="1:13" x14ac:dyDescent="0.25">
      <c r="A83" s="6">
        <v>8.3267711284510896E+16</v>
      </c>
      <c r="B83" s="30" t="s">
        <v>34</v>
      </c>
      <c r="C83" s="32" t="str">
        <f t="shared" si="2"/>
        <v>Oct</v>
      </c>
      <c r="D83" s="11" t="s">
        <v>25</v>
      </c>
      <c r="E83" s="13">
        <v>110043</v>
      </c>
      <c r="F83" s="13">
        <v>7117</v>
      </c>
      <c r="G83" s="13">
        <v>3</v>
      </c>
      <c r="H83" s="13">
        <v>127.184466019417</v>
      </c>
      <c r="I83" s="13">
        <v>4.1067961165048503</v>
      </c>
      <c r="J83" s="13">
        <f t="shared" si="3"/>
        <v>131.29126213592184</v>
      </c>
      <c r="K83" s="13">
        <v>58.252427184466001</v>
      </c>
      <c r="L83" s="11" t="s">
        <v>28</v>
      </c>
      <c r="M83" s="26"/>
    </row>
    <row r="84" spans="1:13" x14ac:dyDescent="0.25">
      <c r="A84" s="6">
        <v>8.1015426120855808E+16</v>
      </c>
      <c r="B84" s="30" t="s">
        <v>31</v>
      </c>
      <c r="C84" s="32" t="str">
        <f t="shared" si="2"/>
        <v>Oct</v>
      </c>
      <c r="D84" s="11" t="s">
        <v>16</v>
      </c>
      <c r="E84" s="13">
        <v>500007</v>
      </c>
      <c r="F84" s="13">
        <v>7117</v>
      </c>
      <c r="G84" s="13">
        <v>3</v>
      </c>
      <c r="H84" s="13">
        <v>124.27184466019401</v>
      </c>
      <c r="I84" s="13">
        <v>4.2233009708737903</v>
      </c>
      <c r="J84" s="13">
        <f t="shared" si="3"/>
        <v>128.4951456310678</v>
      </c>
      <c r="K84" s="13">
        <v>42.7184466019418</v>
      </c>
      <c r="L84" s="11" t="s">
        <v>53</v>
      </c>
      <c r="M84" s="26"/>
    </row>
    <row r="85" spans="1:13" x14ac:dyDescent="0.25">
      <c r="A85" s="6">
        <v>8.3250618412176704E+16</v>
      </c>
      <c r="B85" s="30" t="s">
        <v>32</v>
      </c>
      <c r="C85" s="32" t="str">
        <f t="shared" si="2"/>
        <v>Oct</v>
      </c>
      <c r="D85" s="11" t="s">
        <v>9</v>
      </c>
      <c r="E85" s="13">
        <v>277001</v>
      </c>
      <c r="F85" s="13">
        <v>7117</v>
      </c>
      <c r="G85" s="13">
        <v>3</v>
      </c>
      <c r="H85" s="13">
        <v>149.514563106796</v>
      </c>
      <c r="I85" s="13">
        <v>4.7766990291262097</v>
      </c>
      <c r="J85" s="13">
        <f t="shared" si="3"/>
        <v>154.29126213592221</v>
      </c>
      <c r="K85" s="13">
        <v>48.543689320388303</v>
      </c>
      <c r="L85" s="11" t="s">
        <v>10</v>
      </c>
      <c r="M85" s="26"/>
    </row>
    <row r="86" spans="1:13" x14ac:dyDescent="0.25">
      <c r="A86" s="6">
        <v>8.3267068167334704E+16</v>
      </c>
      <c r="B86" s="30" t="s">
        <v>34</v>
      </c>
      <c r="C86" s="32" t="str">
        <f t="shared" si="2"/>
        <v>Oct</v>
      </c>
      <c r="D86" s="11" t="s">
        <v>33</v>
      </c>
      <c r="E86" s="13">
        <v>110043</v>
      </c>
      <c r="F86" s="13">
        <v>7117</v>
      </c>
      <c r="G86" s="13">
        <v>3</v>
      </c>
      <c r="H86" s="13">
        <v>254.368932038834</v>
      </c>
      <c r="I86" s="13">
        <v>8.2135922330097095</v>
      </c>
      <c r="J86" s="13">
        <f t="shared" si="3"/>
        <v>262.58252427184374</v>
      </c>
      <c r="K86" s="13">
        <v>97.087378640776706</v>
      </c>
      <c r="L86" s="11" t="s">
        <v>28</v>
      </c>
      <c r="M86" s="26"/>
    </row>
    <row r="87" spans="1:13" x14ac:dyDescent="0.25">
      <c r="A87" s="6">
        <v>8.1013765383531296E+16</v>
      </c>
      <c r="B87" s="30" t="s">
        <v>31</v>
      </c>
      <c r="C87" s="32" t="str">
        <f t="shared" si="2"/>
        <v>Oct</v>
      </c>
      <c r="D87" s="11" t="s">
        <v>16</v>
      </c>
      <c r="E87" s="13">
        <v>497333</v>
      </c>
      <c r="F87" s="13">
        <v>7117</v>
      </c>
      <c r="G87" s="13">
        <v>3</v>
      </c>
      <c r="H87" s="13">
        <v>128.15533980582501</v>
      </c>
      <c r="I87" s="13">
        <v>4.13592233009709</v>
      </c>
      <c r="J87" s="13">
        <f t="shared" si="3"/>
        <v>132.2912621359221</v>
      </c>
      <c r="K87" s="13">
        <v>48.543689320388303</v>
      </c>
      <c r="L87" s="11" t="s">
        <v>23</v>
      </c>
      <c r="M87" s="26"/>
    </row>
    <row r="88" spans="1:13" x14ac:dyDescent="0.25">
      <c r="A88" s="6">
        <v>7.9955210979126096E+16</v>
      </c>
      <c r="B88" s="30" t="s">
        <v>40</v>
      </c>
      <c r="C88" s="32" t="str">
        <f t="shared" si="2"/>
        <v>Oct</v>
      </c>
      <c r="D88" s="11" t="s">
        <v>21</v>
      </c>
      <c r="E88" s="13">
        <v>455111</v>
      </c>
      <c r="F88" s="13">
        <v>7117</v>
      </c>
      <c r="G88" s="13">
        <v>3</v>
      </c>
      <c r="H88" s="13">
        <v>162.135922330097</v>
      </c>
      <c r="I88" s="13">
        <v>4.86407766990291</v>
      </c>
      <c r="J88" s="13">
        <f t="shared" si="3"/>
        <v>166.99999999999991</v>
      </c>
      <c r="K88" s="13">
        <v>61.165048543689302</v>
      </c>
      <c r="L88" s="11" t="s">
        <v>26</v>
      </c>
      <c r="M88" s="26"/>
    </row>
    <row r="89" spans="1:13" x14ac:dyDescent="0.25">
      <c r="A89" s="6">
        <v>7.4734314328826496E+16</v>
      </c>
      <c r="B89" s="30" t="s">
        <v>57</v>
      </c>
      <c r="C89" s="32" t="str">
        <f t="shared" si="2"/>
        <v>Oct</v>
      </c>
      <c r="D89" s="11" t="s">
        <v>16</v>
      </c>
      <c r="E89" s="13">
        <v>201013</v>
      </c>
      <c r="F89" s="13">
        <v>7117</v>
      </c>
      <c r="G89" s="13">
        <v>18</v>
      </c>
      <c r="H89" s="13">
        <v>110.169491525423</v>
      </c>
      <c r="I89" s="13">
        <v>21.355932203389798</v>
      </c>
      <c r="J89" s="13">
        <f t="shared" si="3"/>
        <v>131.5254237288128</v>
      </c>
      <c r="K89" s="13">
        <v>43.220338983050901</v>
      </c>
      <c r="L89" s="11" t="s">
        <v>10</v>
      </c>
      <c r="M89" s="26"/>
    </row>
    <row r="90" spans="1:13" x14ac:dyDescent="0.25">
      <c r="A90" s="6">
        <v>8.0865079555253904E+16</v>
      </c>
      <c r="B90" s="30" t="s">
        <v>31</v>
      </c>
      <c r="C90" s="32" t="str">
        <f t="shared" si="2"/>
        <v>Oct</v>
      </c>
      <c r="D90" s="11" t="s">
        <v>25</v>
      </c>
      <c r="E90" s="13">
        <v>144211</v>
      </c>
      <c r="F90" s="13">
        <v>7117</v>
      </c>
      <c r="G90" s="13">
        <v>3</v>
      </c>
      <c r="H90" s="13">
        <v>151.45631067961099</v>
      </c>
      <c r="I90" s="13">
        <v>4.7475728155339798</v>
      </c>
      <c r="J90" s="13">
        <f t="shared" si="3"/>
        <v>156.20388349514496</v>
      </c>
      <c r="K90" s="13">
        <v>58.252427184466001</v>
      </c>
      <c r="L90" s="11" t="s">
        <v>17</v>
      </c>
      <c r="M90" s="26"/>
    </row>
    <row r="91" spans="1:13" x14ac:dyDescent="0.25">
      <c r="A91" s="6">
        <v>8.3064502379279104E+16</v>
      </c>
      <c r="B91" s="30" t="s">
        <v>32</v>
      </c>
      <c r="C91" s="32" t="str">
        <f t="shared" si="2"/>
        <v>Oct</v>
      </c>
      <c r="D91" s="11" t="s">
        <v>9</v>
      </c>
      <c r="E91" s="13">
        <v>742213</v>
      </c>
      <c r="F91" s="13">
        <v>7117</v>
      </c>
      <c r="G91" s="13">
        <v>3</v>
      </c>
      <c r="H91" s="13">
        <v>159.223300970873</v>
      </c>
      <c r="I91" s="13">
        <v>4.7766990291262097</v>
      </c>
      <c r="J91" s="13">
        <f t="shared" si="3"/>
        <v>163.9999999999992</v>
      </c>
      <c r="K91" s="13">
        <v>58.252427184466001</v>
      </c>
      <c r="L91" s="11" t="s">
        <v>14</v>
      </c>
      <c r="M91" s="26"/>
    </row>
    <row r="92" spans="1:13" x14ac:dyDescent="0.25">
      <c r="A92" s="6">
        <v>8.1005735298904304E+16</v>
      </c>
      <c r="B92" s="30" t="s">
        <v>31</v>
      </c>
      <c r="C92" s="32" t="str">
        <f t="shared" si="2"/>
        <v>Oct</v>
      </c>
      <c r="D92" s="11" t="s">
        <v>25</v>
      </c>
      <c r="E92" s="13">
        <v>816115</v>
      </c>
      <c r="F92" s="13">
        <v>7117</v>
      </c>
      <c r="G92" s="13">
        <v>3</v>
      </c>
      <c r="H92" s="13">
        <v>119.417475728155</v>
      </c>
      <c r="I92" s="13">
        <v>4.1067961165048503</v>
      </c>
      <c r="J92" s="13">
        <f t="shared" si="3"/>
        <v>123.52427184465985</v>
      </c>
      <c r="K92" s="13">
        <v>40.776699029126199</v>
      </c>
      <c r="L92" s="11" t="s">
        <v>37</v>
      </c>
      <c r="M92" s="26"/>
    </row>
    <row r="93" spans="1:13" x14ac:dyDescent="0.25">
      <c r="A93" s="6">
        <v>7.8403219500028608E+16</v>
      </c>
      <c r="B93" s="30" t="s">
        <v>65</v>
      </c>
      <c r="C93" s="32" t="str">
        <f t="shared" si="2"/>
        <v>Oct</v>
      </c>
      <c r="D93" s="11" t="s">
        <v>21</v>
      </c>
      <c r="E93" s="13">
        <v>302025</v>
      </c>
      <c r="F93" s="13">
        <v>711790</v>
      </c>
      <c r="G93" s="13">
        <v>18</v>
      </c>
      <c r="H93" s="13">
        <v>95.762711864406796</v>
      </c>
      <c r="I93" s="13">
        <v>20.898305084745701</v>
      </c>
      <c r="J93" s="13">
        <f t="shared" si="3"/>
        <v>116.6610169491525</v>
      </c>
      <c r="K93" s="13">
        <v>31.355932203389798</v>
      </c>
      <c r="L93" s="11" t="s">
        <v>46</v>
      </c>
      <c r="M93" s="26"/>
    </row>
    <row r="94" spans="1:13" x14ac:dyDescent="0.25">
      <c r="A94" s="6">
        <v>7.5642649528265408E+16</v>
      </c>
      <c r="B94" s="30" t="s">
        <v>66</v>
      </c>
      <c r="C94" s="32" t="str">
        <f t="shared" si="2"/>
        <v>Oct</v>
      </c>
      <c r="D94" s="11" t="s">
        <v>52</v>
      </c>
      <c r="E94" s="13">
        <v>462003</v>
      </c>
      <c r="F94" s="13">
        <v>7117</v>
      </c>
      <c r="G94" s="13">
        <v>3</v>
      </c>
      <c r="H94" s="13">
        <v>200</v>
      </c>
      <c r="I94" s="13">
        <v>6.55339805825243</v>
      </c>
      <c r="J94" s="13">
        <f t="shared" si="3"/>
        <v>206.55339805825244</v>
      </c>
      <c r="K94" s="13">
        <v>41.747572815533999</v>
      </c>
      <c r="L94" s="11" t="s">
        <v>26</v>
      </c>
      <c r="M94" s="26"/>
    </row>
    <row r="95" spans="1:13" x14ac:dyDescent="0.25">
      <c r="A95" s="6">
        <v>8.1097204928598592E+16</v>
      </c>
      <c r="B95" s="30" t="s">
        <v>59</v>
      </c>
      <c r="C95" s="32" t="str">
        <f t="shared" si="2"/>
        <v>Oct</v>
      </c>
      <c r="D95" s="11" t="s">
        <v>9</v>
      </c>
      <c r="E95" s="13">
        <v>224190</v>
      </c>
      <c r="F95" s="13">
        <v>7117</v>
      </c>
      <c r="G95" s="13">
        <v>3</v>
      </c>
      <c r="H95" s="13">
        <v>148.54368932038801</v>
      </c>
      <c r="I95" s="13">
        <v>4.7475728155339798</v>
      </c>
      <c r="J95" s="13">
        <f t="shared" si="3"/>
        <v>153.29126213592198</v>
      </c>
      <c r="K95" s="13">
        <v>48.543689320388303</v>
      </c>
      <c r="L95" s="11" t="s">
        <v>10</v>
      </c>
      <c r="M95" s="26"/>
    </row>
    <row r="96" spans="1:13" x14ac:dyDescent="0.25">
      <c r="A96" s="6">
        <v>8.3222047375365408E+16</v>
      </c>
      <c r="B96" s="30" t="s">
        <v>32</v>
      </c>
      <c r="C96" s="32" t="str">
        <f t="shared" si="2"/>
        <v>Oct</v>
      </c>
      <c r="D96" s="11" t="s">
        <v>9</v>
      </c>
      <c r="E96" s="13">
        <v>303007</v>
      </c>
      <c r="F96" s="13">
        <v>7117</v>
      </c>
      <c r="G96" s="13">
        <v>3</v>
      </c>
      <c r="H96" s="13">
        <v>149.514563106796</v>
      </c>
      <c r="I96" s="13">
        <v>4.7766990291262097</v>
      </c>
      <c r="J96" s="13">
        <f t="shared" si="3"/>
        <v>154.29126213592221</v>
      </c>
      <c r="K96" s="13">
        <v>48.543689320388303</v>
      </c>
      <c r="L96" s="11" t="s">
        <v>46</v>
      </c>
      <c r="M96" s="26"/>
    </row>
    <row r="97" spans="1:13" x14ac:dyDescent="0.25">
      <c r="A97" s="6">
        <v>8.0955913019764992E+16</v>
      </c>
      <c r="B97" s="30" t="s">
        <v>31</v>
      </c>
      <c r="C97" s="32" t="str">
        <f t="shared" si="2"/>
        <v>Oct</v>
      </c>
      <c r="D97" s="11" t="s">
        <v>25</v>
      </c>
      <c r="E97" s="13">
        <v>491222</v>
      </c>
      <c r="F97" s="13">
        <v>7117</v>
      </c>
      <c r="G97" s="13">
        <v>3</v>
      </c>
      <c r="H97" s="13">
        <v>159.223300970873</v>
      </c>
      <c r="I97" s="13">
        <v>4.7766990291262097</v>
      </c>
      <c r="J97" s="13">
        <f t="shared" si="3"/>
        <v>163.9999999999992</v>
      </c>
      <c r="K97" s="13">
        <v>58.252427184466001</v>
      </c>
      <c r="L97" s="11" t="s">
        <v>23</v>
      </c>
      <c r="M97" s="26"/>
    </row>
    <row r="98" spans="1:13" x14ac:dyDescent="0.25">
      <c r="A98" s="6">
        <v>7.84735293058464E+16</v>
      </c>
      <c r="B98" s="30" t="s">
        <v>65</v>
      </c>
      <c r="C98" s="32" t="str">
        <f t="shared" si="2"/>
        <v>Oct</v>
      </c>
      <c r="D98" s="11" t="s">
        <v>16</v>
      </c>
      <c r="E98" s="13">
        <v>412207</v>
      </c>
      <c r="F98" s="13">
        <v>711790</v>
      </c>
      <c r="G98" s="13">
        <v>18</v>
      </c>
      <c r="H98" s="13">
        <v>88.983050847457605</v>
      </c>
      <c r="I98" s="13">
        <v>18.915254237288099</v>
      </c>
      <c r="J98" s="13">
        <f t="shared" si="3"/>
        <v>107.8983050847457</v>
      </c>
      <c r="K98" s="13">
        <v>35.593220338983102</v>
      </c>
      <c r="L98" s="11" t="s">
        <v>41</v>
      </c>
      <c r="M98" s="26"/>
    </row>
    <row r="99" spans="1:13" x14ac:dyDescent="0.25">
      <c r="A99" s="6">
        <v>8.3104340047024704E+16</v>
      </c>
      <c r="B99" s="30" t="s">
        <v>32</v>
      </c>
      <c r="C99" s="32" t="str">
        <f t="shared" si="2"/>
        <v>Oct</v>
      </c>
      <c r="D99" s="11" t="s">
        <v>33</v>
      </c>
      <c r="E99" s="13">
        <v>224208</v>
      </c>
      <c r="F99" s="13">
        <v>7117</v>
      </c>
      <c r="G99" s="13">
        <v>3</v>
      </c>
      <c r="H99" s="13">
        <v>149.514563106796</v>
      </c>
      <c r="I99" s="13">
        <v>4.7766990291262097</v>
      </c>
      <c r="J99" s="13">
        <f t="shared" si="3"/>
        <v>154.29126213592221</v>
      </c>
      <c r="K99" s="13">
        <v>48.543689320388303</v>
      </c>
      <c r="L99" s="11" t="s">
        <v>10</v>
      </c>
      <c r="M99" s="26"/>
    </row>
    <row r="100" spans="1:13" x14ac:dyDescent="0.25">
      <c r="A100" s="6">
        <v>8.31065980877504E+16</v>
      </c>
      <c r="B100" s="30" t="s">
        <v>32</v>
      </c>
      <c r="C100" s="32" t="str">
        <f t="shared" si="2"/>
        <v>Oct</v>
      </c>
      <c r="D100" s="11" t="s">
        <v>9</v>
      </c>
      <c r="E100" s="13">
        <v>281004</v>
      </c>
      <c r="F100" s="13">
        <v>7117</v>
      </c>
      <c r="G100" s="13">
        <v>3</v>
      </c>
      <c r="H100" s="13">
        <v>149.514563106796</v>
      </c>
      <c r="I100" s="13">
        <v>4.7766990291262097</v>
      </c>
      <c r="J100" s="13">
        <f t="shared" si="3"/>
        <v>154.29126213592221</v>
      </c>
      <c r="K100" s="13">
        <v>48.543689320388303</v>
      </c>
      <c r="L100" s="11" t="s">
        <v>10</v>
      </c>
      <c r="M100" s="26"/>
    </row>
    <row r="101" spans="1:13" x14ac:dyDescent="0.25">
      <c r="A101" s="6">
        <v>8.3418324609411904E+16</v>
      </c>
      <c r="B101" s="30" t="s">
        <v>34</v>
      </c>
      <c r="C101" s="32" t="str">
        <f t="shared" si="2"/>
        <v>Oct</v>
      </c>
      <c r="D101" s="11" t="s">
        <v>9</v>
      </c>
      <c r="E101" s="13">
        <v>272175</v>
      </c>
      <c r="F101" s="13">
        <v>7117</v>
      </c>
      <c r="G101" s="13">
        <v>3</v>
      </c>
      <c r="H101" s="13">
        <v>149.514563106796</v>
      </c>
      <c r="I101" s="13">
        <v>4.7766990291262097</v>
      </c>
      <c r="J101" s="13">
        <f t="shared" si="3"/>
        <v>154.29126213592221</v>
      </c>
      <c r="K101" s="13">
        <v>48.543689320388303</v>
      </c>
      <c r="L101" s="11" t="s">
        <v>10</v>
      </c>
      <c r="M101" s="26"/>
    </row>
    <row r="102" spans="1:13" x14ac:dyDescent="0.25">
      <c r="A102" s="6">
        <v>7.9844555499492E+16</v>
      </c>
      <c r="B102" s="30" t="s">
        <v>40</v>
      </c>
      <c r="C102" s="32" t="str">
        <f t="shared" si="2"/>
        <v>Oct</v>
      </c>
      <c r="D102" s="11" t="s">
        <v>16</v>
      </c>
      <c r="E102" s="13">
        <v>813203</v>
      </c>
      <c r="F102" s="13">
        <v>7117</v>
      </c>
      <c r="G102" s="13">
        <v>3</v>
      </c>
      <c r="H102" s="13">
        <v>162.135922330097</v>
      </c>
      <c r="I102" s="13">
        <v>4.86407766990291</v>
      </c>
      <c r="J102" s="13">
        <f t="shared" si="3"/>
        <v>166.99999999999991</v>
      </c>
      <c r="K102" s="13">
        <v>61.165048543689302</v>
      </c>
      <c r="L102" s="11" t="s">
        <v>22</v>
      </c>
      <c r="M102" s="26"/>
    </row>
    <row r="103" spans="1:13" x14ac:dyDescent="0.25">
      <c r="A103" s="6">
        <v>8.0150945511499392E+16</v>
      </c>
      <c r="B103" s="30" t="s">
        <v>36</v>
      </c>
      <c r="C103" s="32" t="str">
        <f t="shared" si="2"/>
        <v>Oct</v>
      </c>
      <c r="D103" s="11" t="s">
        <v>9</v>
      </c>
      <c r="E103" s="13">
        <v>272190</v>
      </c>
      <c r="F103" s="13">
        <v>7117</v>
      </c>
      <c r="G103" s="13">
        <v>3</v>
      </c>
      <c r="H103" s="13">
        <v>152.42718446601901</v>
      </c>
      <c r="I103" s="13">
        <v>4.86407766990291</v>
      </c>
      <c r="J103" s="13">
        <f t="shared" si="3"/>
        <v>157.29126213592193</v>
      </c>
      <c r="K103" s="13">
        <v>51.456310679611697</v>
      </c>
      <c r="L103" s="11" t="s">
        <v>10</v>
      </c>
      <c r="M103" s="26"/>
    </row>
    <row r="104" spans="1:13" x14ac:dyDescent="0.25">
      <c r="A104" s="6">
        <v>8.0361108951257696E+16</v>
      </c>
      <c r="B104" s="30" t="s">
        <v>36</v>
      </c>
      <c r="C104" s="32" t="str">
        <f t="shared" si="2"/>
        <v>Oct</v>
      </c>
      <c r="D104" s="11" t="s">
        <v>16</v>
      </c>
      <c r="E104" s="13">
        <v>143103</v>
      </c>
      <c r="F104" s="13">
        <v>7117</v>
      </c>
      <c r="G104" s="13">
        <v>3</v>
      </c>
      <c r="H104" s="13">
        <v>148.54368932038801</v>
      </c>
      <c r="I104" s="13">
        <v>4.6601941747572804</v>
      </c>
      <c r="J104" s="13">
        <f t="shared" si="3"/>
        <v>153.20388349514531</v>
      </c>
      <c r="K104" s="13">
        <v>51.456310679611697</v>
      </c>
      <c r="L104" s="11" t="s">
        <v>17</v>
      </c>
      <c r="M104" s="26"/>
    </row>
    <row r="105" spans="1:13" x14ac:dyDescent="0.25">
      <c r="A105" s="6">
        <v>8.3163687549545296E+16</v>
      </c>
      <c r="B105" s="30" t="s">
        <v>32</v>
      </c>
      <c r="C105" s="32" t="str">
        <f t="shared" si="2"/>
        <v>Oct</v>
      </c>
      <c r="D105" s="11" t="s">
        <v>9</v>
      </c>
      <c r="E105" s="13">
        <v>277401</v>
      </c>
      <c r="F105" s="13">
        <v>7117</v>
      </c>
      <c r="G105" s="13">
        <v>3</v>
      </c>
      <c r="H105" s="13">
        <v>112.621359223301</v>
      </c>
      <c r="I105" s="13">
        <v>4.1067961165048503</v>
      </c>
      <c r="J105" s="13">
        <f t="shared" si="3"/>
        <v>116.72815533980585</v>
      </c>
      <c r="K105" s="13">
        <v>33.980582524271803</v>
      </c>
      <c r="L105" s="11" t="s">
        <v>10</v>
      </c>
      <c r="M105" s="26"/>
    </row>
    <row r="106" spans="1:13" x14ac:dyDescent="0.25">
      <c r="A106" s="6">
        <v>8.3356460777439392E+16</v>
      </c>
      <c r="B106" s="30" t="s">
        <v>34</v>
      </c>
      <c r="C106" s="32" t="str">
        <f t="shared" si="2"/>
        <v>Oct</v>
      </c>
      <c r="D106" s="11" t="s">
        <v>9</v>
      </c>
      <c r="E106" s="13">
        <v>560035</v>
      </c>
      <c r="F106" s="13">
        <v>7117</v>
      </c>
      <c r="G106" s="13">
        <v>3</v>
      </c>
      <c r="H106" s="13">
        <v>159.223300970873</v>
      </c>
      <c r="I106" s="13">
        <v>4.7766990291262097</v>
      </c>
      <c r="J106" s="13">
        <f t="shared" si="3"/>
        <v>163.9999999999992</v>
      </c>
      <c r="K106" s="13">
        <v>58.252427184466001</v>
      </c>
      <c r="L106" s="11" t="s">
        <v>19</v>
      </c>
      <c r="M106" s="26"/>
    </row>
    <row r="107" spans="1:13" x14ac:dyDescent="0.25">
      <c r="A107" s="6">
        <v>7.8522787807015296E+16</v>
      </c>
      <c r="B107" s="30" t="s">
        <v>65</v>
      </c>
      <c r="C107" s="32" t="str">
        <f t="shared" si="2"/>
        <v>Oct</v>
      </c>
      <c r="D107" s="11" t="s">
        <v>16</v>
      </c>
      <c r="E107" s="13">
        <v>110047</v>
      </c>
      <c r="F107" s="13">
        <v>711790</v>
      </c>
      <c r="G107" s="13">
        <v>18</v>
      </c>
      <c r="H107" s="13">
        <v>107.627118644067</v>
      </c>
      <c r="I107" s="13">
        <v>20.898305084745701</v>
      </c>
      <c r="J107" s="13">
        <f t="shared" si="3"/>
        <v>128.52542372881271</v>
      </c>
      <c r="K107" s="13">
        <v>43.220338983050901</v>
      </c>
      <c r="L107" s="11" t="s">
        <v>28</v>
      </c>
      <c r="M107" s="26"/>
    </row>
    <row r="108" spans="1:13" x14ac:dyDescent="0.25">
      <c r="A108" s="6">
        <v>8.07290256140588E+16</v>
      </c>
      <c r="B108" s="30" t="s">
        <v>51</v>
      </c>
      <c r="C108" s="32" t="str">
        <f t="shared" si="2"/>
        <v>Oct</v>
      </c>
      <c r="D108" s="11" t="s">
        <v>25</v>
      </c>
      <c r="E108" s="13">
        <v>753001</v>
      </c>
      <c r="F108" s="13">
        <v>7117</v>
      </c>
      <c r="G108" s="13">
        <v>3</v>
      </c>
      <c r="H108" s="13">
        <v>139.80582524271799</v>
      </c>
      <c r="I108" s="13">
        <v>4.1941747572815498</v>
      </c>
      <c r="J108" s="13">
        <f t="shared" si="3"/>
        <v>143.99999999999955</v>
      </c>
      <c r="K108" s="13">
        <v>61.165048543689302</v>
      </c>
      <c r="L108" s="11" t="s">
        <v>54</v>
      </c>
      <c r="M108" s="26"/>
    </row>
    <row r="109" spans="1:13" x14ac:dyDescent="0.25">
      <c r="A109" s="6">
        <v>8.34178239315248E+16</v>
      </c>
      <c r="B109" s="30" t="s">
        <v>34</v>
      </c>
      <c r="C109" s="32" t="str">
        <f t="shared" si="2"/>
        <v>Oct</v>
      </c>
      <c r="D109" s="11" t="s">
        <v>33</v>
      </c>
      <c r="E109" s="13">
        <v>816115</v>
      </c>
      <c r="F109" s="13">
        <v>7117</v>
      </c>
      <c r="G109" s="13">
        <v>3</v>
      </c>
      <c r="H109" s="13">
        <v>119.417475728155</v>
      </c>
      <c r="I109" s="13">
        <v>4.1067961165048503</v>
      </c>
      <c r="J109" s="13">
        <f t="shared" si="3"/>
        <v>123.52427184465985</v>
      </c>
      <c r="K109" s="13">
        <v>40.776699029126199</v>
      </c>
      <c r="L109" s="11" t="s">
        <v>37</v>
      </c>
      <c r="M109" s="26"/>
    </row>
    <row r="110" spans="1:13" x14ac:dyDescent="0.25">
      <c r="A110" s="6">
        <v>8.0281864422281792E+16</v>
      </c>
      <c r="B110" s="30" t="s">
        <v>36</v>
      </c>
      <c r="C110" s="32" t="str">
        <f t="shared" si="2"/>
        <v>Oct</v>
      </c>
      <c r="D110" s="11" t="s">
        <v>16</v>
      </c>
      <c r="E110" s="13">
        <v>228171</v>
      </c>
      <c r="F110" s="13">
        <v>7117</v>
      </c>
      <c r="G110" s="13">
        <v>3</v>
      </c>
      <c r="H110" s="13">
        <v>156.31067961164999</v>
      </c>
      <c r="I110" s="13">
        <v>5.0970873786407802</v>
      </c>
      <c r="J110" s="13">
        <f t="shared" si="3"/>
        <v>161.40776699029078</v>
      </c>
      <c r="K110" s="13">
        <v>49.514563106796103</v>
      </c>
      <c r="L110" s="11" t="s">
        <v>10</v>
      </c>
      <c r="M110" s="26"/>
    </row>
    <row r="111" spans="1:13" x14ac:dyDescent="0.25">
      <c r="A111" s="6">
        <v>8.05450147526536E+16</v>
      </c>
      <c r="B111" s="30" t="s">
        <v>51</v>
      </c>
      <c r="C111" s="32" t="str">
        <f t="shared" si="2"/>
        <v>Oct</v>
      </c>
      <c r="D111" s="11" t="s">
        <v>25</v>
      </c>
      <c r="E111" s="13">
        <v>141016</v>
      </c>
      <c r="F111" s="13">
        <v>7117</v>
      </c>
      <c r="G111" s="13">
        <v>3</v>
      </c>
      <c r="H111" s="13">
        <v>152.42718446601901</v>
      </c>
      <c r="I111" s="13">
        <v>4.86407766990291</v>
      </c>
      <c r="J111" s="13">
        <f t="shared" si="3"/>
        <v>157.29126213592193</v>
      </c>
      <c r="K111" s="13">
        <v>61.165048543689302</v>
      </c>
      <c r="L111" s="11" t="s">
        <v>17</v>
      </c>
      <c r="M111" s="26"/>
    </row>
    <row r="112" spans="1:13" x14ac:dyDescent="0.25">
      <c r="A112" s="6">
        <v>7.9089400545473296E+16</v>
      </c>
      <c r="B112" s="30" t="s">
        <v>45</v>
      </c>
      <c r="C112" s="32" t="str">
        <f t="shared" si="2"/>
        <v>Oct</v>
      </c>
      <c r="D112" s="11" t="s">
        <v>16</v>
      </c>
      <c r="E112" s="13">
        <v>276137</v>
      </c>
      <c r="F112" s="13">
        <v>7117</v>
      </c>
      <c r="G112" s="13">
        <v>3</v>
      </c>
      <c r="H112" s="13">
        <v>156.31067961164999</v>
      </c>
      <c r="I112" s="13">
        <v>5.0970873786407802</v>
      </c>
      <c r="J112" s="13">
        <f t="shared" si="3"/>
        <v>161.40776699029078</v>
      </c>
      <c r="K112" s="13">
        <v>49.514563106796103</v>
      </c>
      <c r="L112" s="11" t="s">
        <v>10</v>
      </c>
      <c r="M112" s="26"/>
    </row>
    <row r="113" spans="1:13" x14ac:dyDescent="0.25">
      <c r="A113" s="6">
        <v>8.3233691985241696E+16</v>
      </c>
      <c r="B113" s="30" t="s">
        <v>32</v>
      </c>
      <c r="C113" s="32" t="str">
        <f t="shared" si="2"/>
        <v>Oct</v>
      </c>
      <c r="D113" s="11" t="s">
        <v>9</v>
      </c>
      <c r="E113" s="13">
        <v>493228</v>
      </c>
      <c r="F113" s="13">
        <v>7117</v>
      </c>
      <c r="G113" s="13">
        <v>3</v>
      </c>
      <c r="H113" s="13">
        <v>136.893203883495</v>
      </c>
      <c r="I113" s="13">
        <v>4.1067961165048503</v>
      </c>
      <c r="J113" s="13">
        <f t="shared" si="3"/>
        <v>140.99999999999986</v>
      </c>
      <c r="K113" s="13">
        <v>58.252427184466001</v>
      </c>
      <c r="L113" s="11" t="s">
        <v>23</v>
      </c>
      <c r="M113" s="26"/>
    </row>
    <row r="114" spans="1:13" x14ac:dyDescent="0.25">
      <c r="A114" s="6">
        <v>8.1006221801958208E+16</v>
      </c>
      <c r="B114" s="30" t="s">
        <v>31</v>
      </c>
      <c r="C114" s="32" t="str">
        <f t="shared" si="2"/>
        <v>Oct</v>
      </c>
      <c r="D114" s="11" t="s">
        <v>21</v>
      </c>
      <c r="E114" s="13">
        <v>333001</v>
      </c>
      <c r="F114" s="13">
        <v>7117</v>
      </c>
      <c r="G114" s="13">
        <v>3</v>
      </c>
      <c r="H114" s="13">
        <v>152.42718446601901</v>
      </c>
      <c r="I114" s="13">
        <v>4.7766990291262097</v>
      </c>
      <c r="J114" s="13">
        <f t="shared" si="3"/>
        <v>157.20388349514522</v>
      </c>
      <c r="K114" s="13">
        <v>51.456310679611697</v>
      </c>
      <c r="L114" s="11" t="s">
        <v>46</v>
      </c>
      <c r="M114" s="26"/>
    </row>
    <row r="115" spans="1:13" x14ac:dyDescent="0.25">
      <c r="A115" s="6">
        <v>8.2650724307816992E+16</v>
      </c>
      <c r="B115" s="30" t="s">
        <v>42</v>
      </c>
      <c r="C115" s="32" t="str">
        <f t="shared" si="2"/>
        <v>Oct</v>
      </c>
      <c r="D115" s="11" t="s">
        <v>9</v>
      </c>
      <c r="E115" s="13">
        <v>843146</v>
      </c>
      <c r="F115" s="13">
        <v>7117</v>
      </c>
      <c r="G115" s="13">
        <v>3</v>
      </c>
      <c r="H115" s="13">
        <v>140.77669902912601</v>
      </c>
      <c r="I115" s="13">
        <v>4.2233009708737903</v>
      </c>
      <c r="J115" s="13">
        <f t="shared" si="3"/>
        <v>144.9999999999998</v>
      </c>
      <c r="K115" s="13">
        <v>59.223300970873801</v>
      </c>
      <c r="L115" s="11" t="s">
        <v>22</v>
      </c>
      <c r="M115" s="26"/>
    </row>
    <row r="116" spans="1:13" x14ac:dyDescent="0.25">
      <c r="A116" s="6">
        <v>7.9900868325659296E+16</v>
      </c>
      <c r="B116" s="30" t="s">
        <v>40</v>
      </c>
      <c r="C116" s="32" t="str">
        <f t="shared" si="2"/>
        <v>Oct</v>
      </c>
      <c r="D116" s="11" t="s">
        <v>25</v>
      </c>
      <c r="E116" s="13">
        <v>846009</v>
      </c>
      <c r="F116" s="13">
        <v>7117</v>
      </c>
      <c r="G116" s="13">
        <v>3</v>
      </c>
      <c r="H116" s="13">
        <v>162.135922330097</v>
      </c>
      <c r="I116" s="13">
        <v>4.86407766990291</v>
      </c>
      <c r="J116" s="13">
        <f t="shared" si="3"/>
        <v>166.99999999999991</v>
      </c>
      <c r="K116" s="13">
        <v>61.165048543689302</v>
      </c>
      <c r="L116" s="11" t="s">
        <v>22</v>
      </c>
      <c r="M116" s="26"/>
    </row>
    <row r="117" spans="1:13" x14ac:dyDescent="0.25">
      <c r="A117" s="6">
        <v>8.3025933582871392E+16</v>
      </c>
      <c r="B117" s="30" t="s">
        <v>32</v>
      </c>
      <c r="C117" s="32" t="str">
        <f t="shared" si="2"/>
        <v>Oct</v>
      </c>
      <c r="D117" s="11" t="s">
        <v>9</v>
      </c>
      <c r="E117" s="13">
        <v>243632</v>
      </c>
      <c r="F117" s="13">
        <v>7117</v>
      </c>
      <c r="G117" s="13">
        <v>3</v>
      </c>
      <c r="H117" s="13">
        <v>127.184466019417</v>
      </c>
      <c r="I117" s="13">
        <v>4.1067961165048503</v>
      </c>
      <c r="J117" s="13">
        <f t="shared" si="3"/>
        <v>131.29126213592184</v>
      </c>
      <c r="K117" s="13">
        <v>48.543689320388303</v>
      </c>
      <c r="L117" s="11" t="s">
        <v>10</v>
      </c>
      <c r="M117" s="26"/>
    </row>
    <row r="118" spans="1:13" x14ac:dyDescent="0.25">
      <c r="A118" s="6">
        <v>8.0315206605722208E+16</v>
      </c>
      <c r="B118" s="30" t="s">
        <v>36</v>
      </c>
      <c r="C118" s="32" t="str">
        <f t="shared" si="2"/>
        <v>Oct</v>
      </c>
      <c r="D118" s="11" t="s">
        <v>16</v>
      </c>
      <c r="E118" s="13">
        <v>144514</v>
      </c>
      <c r="F118" s="13">
        <v>7117</v>
      </c>
      <c r="G118" s="13">
        <v>3</v>
      </c>
      <c r="H118" s="13">
        <v>162.135922330097</v>
      </c>
      <c r="I118" s="13">
        <v>5.0970873786407802</v>
      </c>
      <c r="J118" s="13">
        <f t="shared" si="3"/>
        <v>167.2330097087378</v>
      </c>
      <c r="K118" s="13">
        <v>55.339805825242699</v>
      </c>
      <c r="L118" s="11" t="s">
        <v>17</v>
      </c>
      <c r="M118" s="26"/>
    </row>
    <row r="119" spans="1:13" x14ac:dyDescent="0.25">
      <c r="A119" s="6">
        <v>8.32208986072352E+16</v>
      </c>
      <c r="B119" s="30" t="s">
        <v>32</v>
      </c>
      <c r="C119" s="32" t="str">
        <f t="shared" si="2"/>
        <v>Oct</v>
      </c>
      <c r="D119" s="11" t="s">
        <v>25</v>
      </c>
      <c r="E119" s="13">
        <v>151001</v>
      </c>
      <c r="F119" s="13">
        <v>7117</v>
      </c>
      <c r="G119" s="13">
        <v>3</v>
      </c>
      <c r="H119" s="13">
        <v>152.42718446601901</v>
      </c>
      <c r="I119" s="13">
        <v>4.86407766990291</v>
      </c>
      <c r="J119" s="13">
        <f t="shared" si="3"/>
        <v>157.29126213592193</v>
      </c>
      <c r="K119" s="13">
        <v>49.514563106796103</v>
      </c>
      <c r="L119" s="11" t="s">
        <v>17</v>
      </c>
      <c r="M119" s="26"/>
    </row>
    <row r="120" spans="1:13" x14ac:dyDescent="0.25">
      <c r="A120" s="6">
        <v>8.0755929055749792E+16</v>
      </c>
      <c r="B120" s="30" t="s">
        <v>31</v>
      </c>
      <c r="C120" s="32" t="str">
        <f t="shared" si="2"/>
        <v>Oct</v>
      </c>
      <c r="D120" s="11" t="s">
        <v>25</v>
      </c>
      <c r="E120" s="13">
        <v>175012</v>
      </c>
      <c r="F120" s="13">
        <v>7117</v>
      </c>
      <c r="G120" s="13">
        <v>3</v>
      </c>
      <c r="H120" s="13">
        <v>149.514563106796</v>
      </c>
      <c r="I120" s="13">
        <v>4.7766990291262097</v>
      </c>
      <c r="J120" s="13">
        <f t="shared" si="3"/>
        <v>154.29126213592221</v>
      </c>
      <c r="K120" s="13">
        <v>48.543689320388303</v>
      </c>
      <c r="L120" s="11" t="s">
        <v>44</v>
      </c>
      <c r="M120" s="26"/>
    </row>
    <row r="121" spans="1:13" x14ac:dyDescent="0.25">
      <c r="A121" s="6">
        <v>8.1770256284185408E+16</v>
      </c>
      <c r="B121" s="30" t="s">
        <v>58</v>
      </c>
      <c r="C121" s="32" t="str">
        <f t="shared" si="2"/>
        <v>Oct</v>
      </c>
      <c r="D121" s="11" t="s">
        <v>16</v>
      </c>
      <c r="E121" s="13">
        <v>285203</v>
      </c>
      <c r="F121" s="13">
        <v>7117</v>
      </c>
      <c r="G121" s="13">
        <v>3</v>
      </c>
      <c r="H121" s="13">
        <v>152.42718446601901</v>
      </c>
      <c r="I121" s="13">
        <v>4.86407766990291</v>
      </c>
      <c r="J121" s="13">
        <f t="shared" si="3"/>
        <v>157.29126213592193</v>
      </c>
      <c r="K121" s="13">
        <v>49.514563106796103</v>
      </c>
      <c r="L121" s="11" t="s">
        <v>10</v>
      </c>
      <c r="M121" s="26"/>
    </row>
    <row r="122" spans="1:13" x14ac:dyDescent="0.25">
      <c r="A122" s="6">
        <v>8.3238848961325904E+16</v>
      </c>
      <c r="B122" s="30" t="s">
        <v>32</v>
      </c>
      <c r="C122" s="32" t="str">
        <f t="shared" si="2"/>
        <v>Oct</v>
      </c>
      <c r="D122" s="11" t="s">
        <v>25</v>
      </c>
      <c r="E122" s="13">
        <v>271855</v>
      </c>
      <c r="F122" s="13">
        <v>7117</v>
      </c>
      <c r="G122" s="13">
        <v>3</v>
      </c>
      <c r="H122" s="13">
        <v>149.514563106796</v>
      </c>
      <c r="I122" s="13">
        <v>4.7766990291262097</v>
      </c>
      <c r="J122" s="13">
        <f t="shared" si="3"/>
        <v>154.29126213592221</v>
      </c>
      <c r="K122" s="13">
        <v>58.252427184466001</v>
      </c>
      <c r="L122" s="11" t="s">
        <v>10</v>
      </c>
      <c r="M122" s="26"/>
    </row>
    <row r="123" spans="1:13" x14ac:dyDescent="0.25">
      <c r="A123" s="6">
        <v>8.3203318999908496E+16</v>
      </c>
      <c r="B123" s="30" t="s">
        <v>32</v>
      </c>
      <c r="C123" s="32" t="str">
        <f t="shared" si="2"/>
        <v>Oct</v>
      </c>
      <c r="D123" s="11" t="s">
        <v>9</v>
      </c>
      <c r="E123" s="13">
        <v>413503</v>
      </c>
      <c r="F123" s="13">
        <v>7117</v>
      </c>
      <c r="G123" s="13">
        <v>3</v>
      </c>
      <c r="H123" s="13">
        <v>273.78640776699001</v>
      </c>
      <c r="I123" s="13">
        <v>8.2135922330097095</v>
      </c>
      <c r="J123" s="13">
        <f t="shared" si="3"/>
        <v>281.99999999999972</v>
      </c>
      <c r="K123" s="13">
        <v>116.504854368932</v>
      </c>
      <c r="L123" s="11" t="s">
        <v>41</v>
      </c>
      <c r="M123" s="26"/>
    </row>
    <row r="124" spans="1:13" x14ac:dyDescent="0.25">
      <c r="A124" s="6">
        <v>8.0578271516437296E+16</v>
      </c>
      <c r="B124" s="30" t="s">
        <v>51</v>
      </c>
      <c r="C124" s="32" t="str">
        <f t="shared" si="2"/>
        <v>Oct</v>
      </c>
      <c r="D124" s="11" t="s">
        <v>25</v>
      </c>
      <c r="E124" s="13">
        <v>444704</v>
      </c>
      <c r="F124" s="13">
        <v>7117</v>
      </c>
      <c r="G124" s="13">
        <v>3</v>
      </c>
      <c r="H124" s="13">
        <v>119.417475728155</v>
      </c>
      <c r="I124" s="13">
        <v>4.1941747572815498</v>
      </c>
      <c r="J124" s="13">
        <f t="shared" si="3"/>
        <v>123.61165048543654</v>
      </c>
      <c r="K124" s="13">
        <v>61.165048543689302</v>
      </c>
      <c r="L124" s="11" t="s">
        <v>41</v>
      </c>
      <c r="M124" s="26"/>
    </row>
    <row r="125" spans="1:13" x14ac:dyDescent="0.25">
      <c r="A125" s="6">
        <v>8.3029429693698592E+16</v>
      </c>
      <c r="B125" s="30" t="s">
        <v>32</v>
      </c>
      <c r="C125" s="32" t="str">
        <f t="shared" si="2"/>
        <v>Oct</v>
      </c>
      <c r="D125" s="11" t="s">
        <v>33</v>
      </c>
      <c r="E125" s="13">
        <v>825324</v>
      </c>
      <c r="F125" s="13">
        <v>7117</v>
      </c>
      <c r="G125" s="13">
        <v>3</v>
      </c>
      <c r="H125" s="13">
        <v>136.893203883495</v>
      </c>
      <c r="I125" s="13">
        <v>4.1067961165048503</v>
      </c>
      <c r="J125" s="13">
        <f t="shared" si="3"/>
        <v>140.99999999999986</v>
      </c>
      <c r="K125" s="13">
        <v>58.252427184466001</v>
      </c>
      <c r="L125" s="11" t="s">
        <v>37</v>
      </c>
      <c r="M125" s="26"/>
    </row>
    <row r="126" spans="1:13" x14ac:dyDescent="0.25">
      <c r="A126" s="6">
        <v>7.947621713418E+16</v>
      </c>
      <c r="B126" s="30" t="s">
        <v>62</v>
      </c>
      <c r="C126" s="32" t="str">
        <f t="shared" si="2"/>
        <v>Oct</v>
      </c>
      <c r="D126" s="11" t="s">
        <v>9</v>
      </c>
      <c r="E126" s="13">
        <v>185121</v>
      </c>
      <c r="F126" s="13">
        <v>7117</v>
      </c>
      <c r="G126" s="13">
        <v>3</v>
      </c>
      <c r="H126" s="13">
        <v>169.90291262135901</v>
      </c>
      <c r="I126" s="13">
        <v>5.0970873786407802</v>
      </c>
      <c r="J126" s="13">
        <f t="shared" si="3"/>
        <v>174.9999999999998</v>
      </c>
      <c r="K126" s="13">
        <v>63.106796116504903</v>
      </c>
      <c r="L126" s="11" t="s">
        <v>56</v>
      </c>
      <c r="M126" s="26"/>
    </row>
    <row r="127" spans="1:13" x14ac:dyDescent="0.25">
      <c r="A127" s="6">
        <v>8.1426722788611296E+16</v>
      </c>
      <c r="B127" s="30" t="s">
        <v>59</v>
      </c>
      <c r="C127" s="32" t="str">
        <f t="shared" si="2"/>
        <v>Oct</v>
      </c>
      <c r="D127" s="11" t="s">
        <v>25</v>
      </c>
      <c r="E127" s="13">
        <v>626117</v>
      </c>
      <c r="F127" s="13">
        <v>7117</v>
      </c>
      <c r="G127" s="13">
        <v>3</v>
      </c>
      <c r="H127" s="13">
        <v>133.009708737864</v>
      </c>
      <c r="I127" s="13">
        <v>3.9902912621359201</v>
      </c>
      <c r="J127" s="13">
        <f t="shared" si="3"/>
        <v>136.99999999999991</v>
      </c>
      <c r="K127" s="13">
        <v>59.223300970873801</v>
      </c>
      <c r="L127" s="11" t="s">
        <v>67</v>
      </c>
      <c r="M127" s="26"/>
    </row>
    <row r="128" spans="1:13" x14ac:dyDescent="0.25">
      <c r="A128" s="6">
        <v>8.1369452646224496E+16</v>
      </c>
      <c r="B128" s="30" t="s">
        <v>59</v>
      </c>
      <c r="C128" s="32" t="str">
        <f t="shared" si="2"/>
        <v>Oct</v>
      </c>
      <c r="D128" s="11" t="s">
        <v>9</v>
      </c>
      <c r="E128" s="13">
        <v>848114</v>
      </c>
      <c r="F128" s="13">
        <v>7117</v>
      </c>
      <c r="G128" s="13">
        <v>3</v>
      </c>
      <c r="H128" s="13">
        <v>159.223300970873</v>
      </c>
      <c r="I128" s="13">
        <v>4.7766990291262097</v>
      </c>
      <c r="J128" s="13">
        <f t="shared" si="3"/>
        <v>163.9999999999992</v>
      </c>
      <c r="K128" s="13">
        <v>59.223300970873801</v>
      </c>
      <c r="L128" s="11" t="s">
        <v>22</v>
      </c>
      <c r="M128" s="26"/>
    </row>
    <row r="129" spans="1:13" x14ac:dyDescent="0.25">
      <c r="A129" s="6">
        <v>8.3396463329678592E+16</v>
      </c>
      <c r="B129" s="30" t="s">
        <v>34</v>
      </c>
      <c r="C129" s="32" t="str">
        <f t="shared" si="2"/>
        <v>Oct</v>
      </c>
      <c r="D129" s="11" t="s">
        <v>25</v>
      </c>
      <c r="E129" s="13">
        <v>845106</v>
      </c>
      <c r="F129" s="13">
        <v>7117</v>
      </c>
      <c r="G129" s="13">
        <v>3</v>
      </c>
      <c r="H129" s="13">
        <v>136.893203883495</v>
      </c>
      <c r="I129" s="13">
        <v>4.1067961165048503</v>
      </c>
      <c r="J129" s="13">
        <f t="shared" si="3"/>
        <v>140.99999999999986</v>
      </c>
      <c r="K129" s="13">
        <v>58.252427184466001</v>
      </c>
      <c r="L129" s="11" t="s">
        <v>22</v>
      </c>
      <c r="M129" s="26"/>
    </row>
    <row r="130" spans="1:13" x14ac:dyDescent="0.25">
      <c r="A130" s="6">
        <v>7.90666520349836E+16</v>
      </c>
      <c r="B130" s="30" t="s">
        <v>45</v>
      </c>
      <c r="C130" s="32" t="str">
        <f t="shared" si="2"/>
        <v>Oct</v>
      </c>
      <c r="D130" s="11" t="s">
        <v>25</v>
      </c>
      <c r="E130" s="13">
        <v>221404</v>
      </c>
      <c r="F130" s="13">
        <v>7117</v>
      </c>
      <c r="G130" s="13">
        <v>3</v>
      </c>
      <c r="H130" s="13">
        <v>156.31067961164999</v>
      </c>
      <c r="I130" s="13">
        <v>5.0970873786407802</v>
      </c>
      <c r="J130" s="13">
        <f t="shared" si="3"/>
        <v>161.40776699029078</v>
      </c>
      <c r="K130" s="13">
        <v>49.514563106796103</v>
      </c>
      <c r="L130" s="11" t="s">
        <v>10</v>
      </c>
      <c r="M130" s="26"/>
    </row>
    <row r="131" spans="1:13" x14ac:dyDescent="0.25">
      <c r="A131" s="6">
        <v>8.10495643035036E+16</v>
      </c>
      <c r="B131" s="30" t="s">
        <v>31</v>
      </c>
      <c r="C131" s="32" t="str">
        <f t="shared" ref="C131:C194" si="4">TEXT(B131, "mmm")</f>
        <v>Oct</v>
      </c>
      <c r="D131" s="11" t="s">
        <v>25</v>
      </c>
      <c r="E131" s="13">
        <v>226016</v>
      </c>
      <c r="F131" s="13">
        <v>7117</v>
      </c>
      <c r="G131" s="13">
        <v>3</v>
      </c>
      <c r="H131" s="13">
        <v>141.747572815534</v>
      </c>
      <c r="I131" s="13">
        <v>4.7766990291262097</v>
      </c>
      <c r="J131" s="13">
        <f t="shared" ref="J131:J194" si="5">H131+I131</f>
        <v>146.52427184466021</v>
      </c>
      <c r="K131" s="13">
        <v>40.776699029126199</v>
      </c>
      <c r="L131" s="11" t="s">
        <v>10</v>
      </c>
      <c r="M131" s="26"/>
    </row>
    <row r="132" spans="1:13" x14ac:dyDescent="0.25">
      <c r="A132" s="6">
        <v>8.3145175903433504E+16</v>
      </c>
      <c r="B132" s="30" t="s">
        <v>32</v>
      </c>
      <c r="C132" s="32" t="str">
        <f t="shared" si="4"/>
        <v>Oct</v>
      </c>
      <c r="D132" s="11" t="s">
        <v>9</v>
      </c>
      <c r="E132" s="13">
        <v>276123</v>
      </c>
      <c r="F132" s="13">
        <v>7117</v>
      </c>
      <c r="G132" s="13">
        <v>3</v>
      </c>
      <c r="H132" s="13">
        <v>146.601941747572</v>
      </c>
      <c r="I132" s="13">
        <v>4.6893203883495103</v>
      </c>
      <c r="J132" s="13">
        <f t="shared" si="5"/>
        <v>151.2912621359215</v>
      </c>
      <c r="K132" s="13">
        <v>49.514563106796103</v>
      </c>
      <c r="L132" s="11" t="s">
        <v>10</v>
      </c>
      <c r="M132" s="26"/>
    </row>
    <row r="133" spans="1:13" x14ac:dyDescent="0.25">
      <c r="A133" s="6">
        <v>8.3133066440742208E+16</v>
      </c>
      <c r="B133" s="30" t="s">
        <v>32</v>
      </c>
      <c r="C133" s="32" t="str">
        <f t="shared" si="4"/>
        <v>Oct</v>
      </c>
      <c r="D133" s="11" t="s">
        <v>33</v>
      </c>
      <c r="E133" s="13">
        <v>243402</v>
      </c>
      <c r="F133" s="13">
        <v>7117</v>
      </c>
      <c r="G133" s="13">
        <v>3</v>
      </c>
      <c r="H133" s="13">
        <v>149.514563106796</v>
      </c>
      <c r="I133" s="13">
        <v>4.7766990291262097</v>
      </c>
      <c r="J133" s="13">
        <f t="shared" si="5"/>
        <v>154.29126213592221</v>
      </c>
      <c r="K133" s="13">
        <v>48.543689320388303</v>
      </c>
      <c r="L133" s="11" t="s">
        <v>10</v>
      </c>
      <c r="M133" s="26"/>
    </row>
    <row r="134" spans="1:13" x14ac:dyDescent="0.25">
      <c r="A134" s="6">
        <v>8.3146830262760192E+16</v>
      </c>
      <c r="B134" s="30" t="s">
        <v>32</v>
      </c>
      <c r="C134" s="32" t="str">
        <f t="shared" si="4"/>
        <v>Oct</v>
      </c>
      <c r="D134" s="11" t="s">
        <v>9</v>
      </c>
      <c r="E134" s="13">
        <v>201304</v>
      </c>
      <c r="F134" s="13">
        <v>340600</v>
      </c>
      <c r="G134" s="13">
        <v>12</v>
      </c>
      <c r="H134" s="13">
        <v>166.07142857142799</v>
      </c>
      <c r="I134" s="13">
        <v>22.714285714285701</v>
      </c>
      <c r="J134" s="13">
        <f t="shared" si="5"/>
        <v>188.78571428571368</v>
      </c>
      <c r="K134" s="13">
        <v>42.857142857142897</v>
      </c>
      <c r="L134" s="11" t="s">
        <v>10</v>
      </c>
      <c r="M134" s="26"/>
    </row>
    <row r="135" spans="1:13" x14ac:dyDescent="0.25">
      <c r="A135" s="6">
        <v>7.4720594741979296E+16</v>
      </c>
      <c r="B135" s="30" t="s">
        <v>57</v>
      </c>
      <c r="C135" s="32" t="str">
        <f t="shared" si="4"/>
        <v>Oct</v>
      </c>
      <c r="D135" s="11" t="s">
        <v>25</v>
      </c>
      <c r="E135" s="13">
        <v>201013</v>
      </c>
      <c r="F135" s="13">
        <v>7117</v>
      </c>
      <c r="G135" s="13">
        <v>18</v>
      </c>
      <c r="H135" s="13">
        <v>110.169491525423</v>
      </c>
      <c r="I135" s="13">
        <v>21.355932203389798</v>
      </c>
      <c r="J135" s="13">
        <f t="shared" si="5"/>
        <v>131.5254237288128</v>
      </c>
      <c r="K135" s="13">
        <v>43.220338983050901</v>
      </c>
      <c r="L135" s="11" t="s">
        <v>10</v>
      </c>
      <c r="M135" s="26"/>
    </row>
    <row r="136" spans="1:13" x14ac:dyDescent="0.25">
      <c r="A136" s="6">
        <v>8.3266623985406496E+16</v>
      </c>
      <c r="B136" s="30" t="s">
        <v>34</v>
      </c>
      <c r="C136" s="32" t="str">
        <f t="shared" si="4"/>
        <v>Oct</v>
      </c>
      <c r="D136" s="11" t="s">
        <v>25</v>
      </c>
      <c r="E136" s="13">
        <v>110043</v>
      </c>
      <c r="F136" s="13">
        <v>7117</v>
      </c>
      <c r="G136" s="13">
        <v>3</v>
      </c>
      <c r="H136" s="13">
        <v>254.368932038834</v>
      </c>
      <c r="I136" s="13">
        <v>8.2135922330097095</v>
      </c>
      <c r="J136" s="13">
        <f t="shared" si="5"/>
        <v>262.58252427184374</v>
      </c>
      <c r="K136" s="13">
        <v>116.504854368932</v>
      </c>
      <c r="L136" s="11" t="s">
        <v>28</v>
      </c>
      <c r="M136" s="26"/>
    </row>
    <row r="137" spans="1:13" x14ac:dyDescent="0.25">
      <c r="A137" s="6">
        <v>8.17347992661408E+16</v>
      </c>
      <c r="B137" s="30" t="s">
        <v>58</v>
      </c>
      <c r="C137" s="32" t="str">
        <f t="shared" si="4"/>
        <v>Oct</v>
      </c>
      <c r="D137" s="11" t="s">
        <v>9</v>
      </c>
      <c r="E137" s="13">
        <v>222139</v>
      </c>
      <c r="F137" s="13">
        <v>7117</v>
      </c>
      <c r="G137" s="13">
        <v>3</v>
      </c>
      <c r="H137" s="13">
        <v>131.06796116504799</v>
      </c>
      <c r="I137" s="13">
        <v>4.2233009708737903</v>
      </c>
      <c r="J137" s="13">
        <f t="shared" si="5"/>
        <v>135.29126213592178</v>
      </c>
      <c r="K137" s="13">
        <v>49.514563106796103</v>
      </c>
      <c r="L137" s="11" t="s">
        <v>10</v>
      </c>
      <c r="M137" s="26"/>
    </row>
    <row r="138" spans="1:13" x14ac:dyDescent="0.25">
      <c r="A138" s="6">
        <v>8.3481648034735808E+16</v>
      </c>
      <c r="B138" s="30" t="s">
        <v>34</v>
      </c>
      <c r="C138" s="32" t="str">
        <f t="shared" si="4"/>
        <v>Oct</v>
      </c>
      <c r="D138" s="11" t="s">
        <v>9</v>
      </c>
      <c r="E138" s="13">
        <v>226013</v>
      </c>
      <c r="F138" s="13">
        <v>7117</v>
      </c>
      <c r="G138" s="13">
        <v>3</v>
      </c>
      <c r="H138" s="13">
        <v>140.77669902912601</v>
      </c>
      <c r="I138" s="13">
        <v>4.7766990291262097</v>
      </c>
      <c r="J138" s="13">
        <f t="shared" si="5"/>
        <v>145.55339805825221</v>
      </c>
      <c r="K138" s="13">
        <v>39.805825242718498</v>
      </c>
      <c r="L138" s="11" t="s">
        <v>10</v>
      </c>
      <c r="M138" s="26"/>
    </row>
    <row r="139" spans="1:13" x14ac:dyDescent="0.25">
      <c r="A139" s="6">
        <v>7.96142899750956E+16</v>
      </c>
      <c r="B139" s="30" t="s">
        <v>62</v>
      </c>
      <c r="C139" s="32" t="str">
        <f t="shared" si="4"/>
        <v>Oct</v>
      </c>
      <c r="D139" s="11" t="s">
        <v>16</v>
      </c>
      <c r="E139" s="13">
        <v>491771</v>
      </c>
      <c r="F139" s="13">
        <v>7117</v>
      </c>
      <c r="G139" s="13">
        <v>3</v>
      </c>
      <c r="H139" s="13">
        <v>139.80582524271799</v>
      </c>
      <c r="I139" s="13">
        <v>4.1941747572815498</v>
      </c>
      <c r="J139" s="13">
        <f t="shared" si="5"/>
        <v>143.99999999999955</v>
      </c>
      <c r="K139" s="13">
        <v>61.165048543689302</v>
      </c>
      <c r="L139" s="11" t="s">
        <v>23</v>
      </c>
      <c r="M139" s="26"/>
    </row>
    <row r="140" spans="1:13" x14ac:dyDescent="0.25">
      <c r="A140" s="6">
        <v>8.1261177914517104E+16</v>
      </c>
      <c r="B140" s="30" t="s">
        <v>59</v>
      </c>
      <c r="C140" s="32" t="str">
        <f t="shared" si="4"/>
        <v>Oct</v>
      </c>
      <c r="D140" s="11" t="s">
        <v>9</v>
      </c>
      <c r="E140" s="13">
        <v>261506</v>
      </c>
      <c r="F140" s="13">
        <v>7117</v>
      </c>
      <c r="G140" s="13">
        <v>3</v>
      </c>
      <c r="H140" s="13">
        <v>127.184466019417</v>
      </c>
      <c r="I140" s="13">
        <v>4.1067961165048503</v>
      </c>
      <c r="J140" s="13">
        <f t="shared" si="5"/>
        <v>131.29126213592184</v>
      </c>
      <c r="K140" s="13">
        <v>48.543689320388303</v>
      </c>
      <c r="L140" s="11" t="s">
        <v>10</v>
      </c>
      <c r="M140" s="26"/>
    </row>
    <row r="141" spans="1:13" x14ac:dyDescent="0.25">
      <c r="A141" s="6">
        <v>8.33671328513276E+16</v>
      </c>
      <c r="B141" s="30" t="s">
        <v>34</v>
      </c>
      <c r="C141" s="32" t="str">
        <f t="shared" si="4"/>
        <v>Oct</v>
      </c>
      <c r="D141" s="11" t="s">
        <v>9</v>
      </c>
      <c r="E141" s="13">
        <v>122413</v>
      </c>
      <c r="F141" s="13">
        <v>7117</v>
      </c>
      <c r="G141" s="13">
        <v>3</v>
      </c>
      <c r="H141" s="13">
        <v>149.514563106796</v>
      </c>
      <c r="I141" s="13">
        <v>4.7766990291262097</v>
      </c>
      <c r="J141" s="13">
        <f t="shared" si="5"/>
        <v>154.29126213592221</v>
      </c>
      <c r="K141" s="13">
        <v>48.543689320388303</v>
      </c>
      <c r="L141" s="11" t="s">
        <v>63</v>
      </c>
      <c r="M141" s="26"/>
    </row>
    <row r="142" spans="1:13" x14ac:dyDescent="0.25">
      <c r="A142" s="6">
        <v>7.9766175042696E+16</v>
      </c>
      <c r="B142" s="30" t="s">
        <v>40</v>
      </c>
      <c r="C142" s="32" t="str">
        <f t="shared" si="4"/>
        <v>Oct</v>
      </c>
      <c r="D142" s="11" t="s">
        <v>16</v>
      </c>
      <c r="E142" s="13">
        <v>805106</v>
      </c>
      <c r="F142" s="13">
        <v>7117</v>
      </c>
      <c r="G142" s="13">
        <v>3</v>
      </c>
      <c r="H142" s="13">
        <v>169.90291262135901</v>
      </c>
      <c r="I142" s="13">
        <v>5.0970873786407802</v>
      </c>
      <c r="J142" s="13">
        <f t="shared" si="5"/>
        <v>174.9999999999998</v>
      </c>
      <c r="K142" s="13">
        <v>63.106796116504903</v>
      </c>
      <c r="L142" s="11" t="s">
        <v>22</v>
      </c>
      <c r="M142" s="26"/>
    </row>
    <row r="143" spans="1:13" x14ac:dyDescent="0.25">
      <c r="A143" s="6">
        <v>8.3486406233522304E+16</v>
      </c>
      <c r="B143" s="30" t="s">
        <v>34</v>
      </c>
      <c r="C143" s="32" t="str">
        <f t="shared" si="4"/>
        <v>Oct</v>
      </c>
      <c r="D143" s="11" t="s">
        <v>9</v>
      </c>
      <c r="E143" s="13">
        <v>800014</v>
      </c>
      <c r="F143" s="13">
        <v>7117</v>
      </c>
      <c r="G143" s="13">
        <v>3</v>
      </c>
      <c r="H143" s="13">
        <v>137.864077669902</v>
      </c>
      <c r="I143" s="13">
        <v>4.7475728155339798</v>
      </c>
      <c r="J143" s="13">
        <f t="shared" si="5"/>
        <v>142.61165048543597</v>
      </c>
      <c r="K143" s="13">
        <v>37.864077669902898</v>
      </c>
      <c r="L143" s="11" t="s">
        <v>22</v>
      </c>
      <c r="M143" s="26"/>
    </row>
    <row r="144" spans="1:13" x14ac:dyDescent="0.25">
      <c r="A144" s="6">
        <v>8.2400035099782E+16</v>
      </c>
      <c r="B144" s="30" t="s">
        <v>47</v>
      </c>
      <c r="C144" s="32" t="str">
        <f t="shared" si="4"/>
        <v>Oct</v>
      </c>
      <c r="D144" s="11" t="s">
        <v>33</v>
      </c>
      <c r="E144" s="13">
        <v>232327</v>
      </c>
      <c r="F144" s="13">
        <v>7117</v>
      </c>
      <c r="G144" s="13">
        <v>3</v>
      </c>
      <c r="H144" s="13">
        <v>148.54368932038801</v>
      </c>
      <c r="I144" s="13">
        <v>4.7475728155339798</v>
      </c>
      <c r="J144" s="13">
        <f t="shared" si="5"/>
        <v>153.29126213592198</v>
      </c>
      <c r="K144" s="13">
        <v>48.543689320388303</v>
      </c>
      <c r="L144" s="11" t="s">
        <v>10</v>
      </c>
      <c r="M144" s="26"/>
    </row>
    <row r="145" spans="1:13" x14ac:dyDescent="0.25">
      <c r="A145" s="6">
        <v>8.0964491072378096E+16</v>
      </c>
      <c r="B145" s="30" t="s">
        <v>31</v>
      </c>
      <c r="C145" s="32" t="str">
        <f t="shared" si="4"/>
        <v>Oct</v>
      </c>
      <c r="D145" s="11" t="s">
        <v>25</v>
      </c>
      <c r="E145" s="13">
        <v>848101</v>
      </c>
      <c r="F145" s="13">
        <v>7117</v>
      </c>
      <c r="G145" s="13">
        <v>3</v>
      </c>
      <c r="H145" s="13">
        <v>159.223300970873</v>
      </c>
      <c r="I145" s="13">
        <v>4.7766990291262097</v>
      </c>
      <c r="J145" s="13">
        <f t="shared" si="5"/>
        <v>163.9999999999992</v>
      </c>
      <c r="K145" s="13">
        <v>58.252427184466001</v>
      </c>
      <c r="L145" s="11" t="s">
        <v>22</v>
      </c>
      <c r="M145" s="26"/>
    </row>
    <row r="146" spans="1:13" x14ac:dyDescent="0.25">
      <c r="A146" s="6">
        <v>8.1028071192925504E+16</v>
      </c>
      <c r="B146" s="30" t="s">
        <v>31</v>
      </c>
      <c r="C146" s="32" t="str">
        <f t="shared" si="4"/>
        <v>Oct</v>
      </c>
      <c r="D146" s="11" t="s">
        <v>25</v>
      </c>
      <c r="E146" s="13">
        <v>335001</v>
      </c>
      <c r="F146" s="13">
        <v>7117</v>
      </c>
      <c r="G146" s="13">
        <v>3</v>
      </c>
      <c r="H146" s="13">
        <v>136.893203883495</v>
      </c>
      <c r="I146" s="13">
        <v>4.7766990291262097</v>
      </c>
      <c r="J146" s="13">
        <f t="shared" si="5"/>
        <v>141.66990291262121</v>
      </c>
      <c r="K146" s="13">
        <v>35.922330097087404</v>
      </c>
      <c r="L146" s="11" t="s">
        <v>46</v>
      </c>
      <c r="M146" s="26"/>
    </row>
    <row r="147" spans="1:13" x14ac:dyDescent="0.25">
      <c r="A147" s="6">
        <v>8.3364523666969904E+16</v>
      </c>
      <c r="B147" s="30" t="s">
        <v>34</v>
      </c>
      <c r="C147" s="32" t="str">
        <f t="shared" si="4"/>
        <v>Oct</v>
      </c>
      <c r="D147" s="11" t="s">
        <v>33</v>
      </c>
      <c r="E147" s="13">
        <v>123401</v>
      </c>
      <c r="F147" s="13">
        <v>7117</v>
      </c>
      <c r="G147" s="13">
        <v>3</v>
      </c>
      <c r="H147" s="13">
        <v>152.42718446601901</v>
      </c>
      <c r="I147" s="13">
        <v>4.7766990291262097</v>
      </c>
      <c r="J147" s="13">
        <f t="shared" si="5"/>
        <v>157.20388349514522</v>
      </c>
      <c r="K147" s="13">
        <v>58.252427184466001</v>
      </c>
      <c r="L147" s="11" t="s">
        <v>63</v>
      </c>
      <c r="M147" s="26"/>
    </row>
    <row r="148" spans="1:13" x14ac:dyDescent="0.25">
      <c r="A148" s="6">
        <v>8.1094767567631104E+16</v>
      </c>
      <c r="B148" s="30" t="s">
        <v>59</v>
      </c>
      <c r="C148" s="32" t="str">
        <f t="shared" si="4"/>
        <v>Oct</v>
      </c>
      <c r="D148" s="11" t="s">
        <v>9</v>
      </c>
      <c r="E148" s="13">
        <v>400607</v>
      </c>
      <c r="F148" s="13">
        <v>7117</v>
      </c>
      <c r="G148" s="13">
        <v>3</v>
      </c>
      <c r="H148" s="13">
        <v>197.087378640776</v>
      </c>
      <c r="I148" s="13">
        <v>5.9126213592232997</v>
      </c>
      <c r="J148" s="13">
        <f t="shared" si="5"/>
        <v>202.99999999999929</v>
      </c>
      <c r="K148" s="13">
        <v>59.223300970873801</v>
      </c>
      <c r="L148" s="11" t="s">
        <v>41</v>
      </c>
      <c r="M148" s="26"/>
    </row>
    <row r="149" spans="1:13" x14ac:dyDescent="0.25">
      <c r="A149" s="6">
        <v>8.2109334269427904E+16</v>
      </c>
      <c r="B149" s="30" t="s">
        <v>48</v>
      </c>
      <c r="C149" s="32" t="str">
        <f t="shared" si="4"/>
        <v>Oct</v>
      </c>
      <c r="D149" s="11" t="s">
        <v>33</v>
      </c>
      <c r="E149" s="13">
        <v>477222</v>
      </c>
      <c r="F149" s="13">
        <v>7117</v>
      </c>
      <c r="G149" s="13">
        <v>3</v>
      </c>
      <c r="H149" s="13">
        <v>162.135922330097</v>
      </c>
      <c r="I149" s="13">
        <v>4.86407766990291</v>
      </c>
      <c r="J149" s="13">
        <f t="shared" si="5"/>
        <v>166.99999999999991</v>
      </c>
      <c r="K149" s="13">
        <v>59.223300970873801</v>
      </c>
      <c r="L149" s="11" t="s">
        <v>26</v>
      </c>
      <c r="M149" s="26"/>
    </row>
    <row r="150" spans="1:13" x14ac:dyDescent="0.25">
      <c r="A150" s="6">
        <v>8.2410071900427504E+16</v>
      </c>
      <c r="B150" s="30" t="s">
        <v>47</v>
      </c>
      <c r="C150" s="32" t="str">
        <f t="shared" si="4"/>
        <v>Oct</v>
      </c>
      <c r="D150" s="11" t="s">
        <v>9</v>
      </c>
      <c r="E150" s="13">
        <v>413102</v>
      </c>
      <c r="F150" s="13">
        <v>711790</v>
      </c>
      <c r="G150" s="13">
        <v>3</v>
      </c>
      <c r="H150" s="13">
        <v>145.631067961165</v>
      </c>
      <c r="I150" s="13">
        <v>4.3689320388349504</v>
      </c>
      <c r="J150" s="13">
        <f t="shared" si="5"/>
        <v>149.99999999999994</v>
      </c>
      <c r="K150" s="13">
        <v>59.223300970873801</v>
      </c>
      <c r="L150" s="11" t="s">
        <v>41</v>
      </c>
      <c r="M150" s="26"/>
    </row>
    <row r="151" spans="1:13" x14ac:dyDescent="0.25">
      <c r="A151" s="6">
        <v>7.47449403532208E+16</v>
      </c>
      <c r="B151" s="30" t="s">
        <v>57</v>
      </c>
      <c r="C151" s="32" t="str">
        <f t="shared" si="4"/>
        <v>Oct</v>
      </c>
      <c r="D151" s="11" t="s">
        <v>52</v>
      </c>
      <c r="E151" s="13">
        <v>509001</v>
      </c>
      <c r="F151" s="13">
        <v>7117</v>
      </c>
      <c r="G151" s="13">
        <v>18</v>
      </c>
      <c r="H151" s="13">
        <v>127.118644067796</v>
      </c>
      <c r="I151" s="13">
        <v>22.881355932203299</v>
      </c>
      <c r="J151" s="13">
        <f t="shared" si="5"/>
        <v>149.99999999999929</v>
      </c>
      <c r="K151" s="13">
        <v>51.694915254237301</v>
      </c>
      <c r="L151" s="11" t="s">
        <v>53</v>
      </c>
      <c r="M151" s="26"/>
    </row>
    <row r="152" spans="1:13" x14ac:dyDescent="0.25">
      <c r="A152" s="6">
        <v>8.1011377145312E+16</v>
      </c>
      <c r="B152" s="30" t="s">
        <v>31</v>
      </c>
      <c r="C152" s="32" t="str">
        <f t="shared" si="4"/>
        <v>Oct</v>
      </c>
      <c r="D152" s="11" t="s">
        <v>52</v>
      </c>
      <c r="E152" s="13">
        <v>277001</v>
      </c>
      <c r="F152" s="13">
        <v>7117</v>
      </c>
      <c r="G152" s="13">
        <v>3</v>
      </c>
      <c r="H152" s="13">
        <v>134.95145631067899</v>
      </c>
      <c r="I152" s="13">
        <v>4.7766990291262097</v>
      </c>
      <c r="J152" s="13">
        <f t="shared" si="5"/>
        <v>139.7281553398052</v>
      </c>
      <c r="K152" s="13">
        <v>33.980582524271803</v>
      </c>
      <c r="L152" s="11" t="s">
        <v>10</v>
      </c>
      <c r="M152" s="26"/>
    </row>
    <row r="153" spans="1:13" x14ac:dyDescent="0.25">
      <c r="A153" s="6">
        <v>8.35116388350624E+16</v>
      </c>
      <c r="B153" s="30" t="s">
        <v>34</v>
      </c>
      <c r="C153" s="32" t="str">
        <f t="shared" si="4"/>
        <v>Oct</v>
      </c>
      <c r="D153" s="11" t="s">
        <v>9</v>
      </c>
      <c r="E153" s="13">
        <v>509376</v>
      </c>
      <c r="F153" s="13">
        <v>7117</v>
      </c>
      <c r="G153" s="13">
        <v>3</v>
      </c>
      <c r="H153" s="13">
        <v>139.80582524271799</v>
      </c>
      <c r="I153" s="13">
        <v>4.1941747572815498</v>
      </c>
      <c r="J153" s="13">
        <f t="shared" si="5"/>
        <v>143.99999999999955</v>
      </c>
      <c r="K153" s="13">
        <v>58.252427184466001</v>
      </c>
      <c r="L153" s="11" t="s">
        <v>53</v>
      </c>
      <c r="M153" s="26"/>
    </row>
    <row r="154" spans="1:13" x14ac:dyDescent="0.25">
      <c r="A154" s="6">
        <v>8.8210741555500304E+16</v>
      </c>
      <c r="B154" s="30" t="s">
        <v>68</v>
      </c>
      <c r="C154" s="32" t="str">
        <f t="shared" si="4"/>
        <v>Nov</v>
      </c>
      <c r="D154" s="11" t="s">
        <v>16</v>
      </c>
      <c r="E154" s="13">
        <v>392240</v>
      </c>
      <c r="F154" s="13">
        <v>7117</v>
      </c>
      <c r="G154" s="13">
        <v>3</v>
      </c>
      <c r="H154" s="13">
        <v>151.45631067961099</v>
      </c>
      <c r="I154" s="13">
        <v>4.5436893203883502</v>
      </c>
      <c r="J154" s="13">
        <f t="shared" si="5"/>
        <v>155.99999999999935</v>
      </c>
      <c r="K154" s="13">
        <v>61.165048543689302</v>
      </c>
      <c r="L154" s="11" t="s">
        <v>12</v>
      </c>
      <c r="M154" s="26"/>
    </row>
    <row r="155" spans="1:13" x14ac:dyDescent="0.25">
      <c r="A155" s="6">
        <v>8.8326188652753696E+16</v>
      </c>
      <c r="B155" s="30" t="s">
        <v>68</v>
      </c>
      <c r="C155" s="32" t="str">
        <f t="shared" si="4"/>
        <v>Nov</v>
      </c>
      <c r="D155" s="11" t="s">
        <v>16</v>
      </c>
      <c r="E155" s="13">
        <v>226005</v>
      </c>
      <c r="F155" s="13">
        <v>7117</v>
      </c>
      <c r="G155" s="13">
        <v>3</v>
      </c>
      <c r="H155" s="13">
        <v>150.485436893203</v>
      </c>
      <c r="I155" s="13">
        <v>5.3883495145631102</v>
      </c>
      <c r="J155" s="13">
        <f t="shared" si="5"/>
        <v>155.87378640776612</v>
      </c>
      <c r="K155" s="13">
        <v>30.097087378640801</v>
      </c>
      <c r="L155" s="11" t="s">
        <v>10</v>
      </c>
      <c r="M155" s="26"/>
    </row>
    <row r="156" spans="1:13" x14ac:dyDescent="0.25">
      <c r="A156" s="6">
        <v>8.8702956916110096E+16</v>
      </c>
      <c r="B156" s="30" t="s">
        <v>70</v>
      </c>
      <c r="C156" s="32" t="str">
        <f t="shared" si="4"/>
        <v>Nov</v>
      </c>
      <c r="D156" s="11" t="s">
        <v>71</v>
      </c>
      <c r="E156" s="13">
        <v>226002</v>
      </c>
      <c r="F156" s="13">
        <v>340600</v>
      </c>
      <c r="G156" s="13">
        <v>12</v>
      </c>
      <c r="H156" s="13">
        <v>141.96428571428501</v>
      </c>
      <c r="I156" s="13">
        <v>19.607142857142801</v>
      </c>
      <c r="J156" s="13">
        <f t="shared" si="5"/>
        <v>161.57142857142782</v>
      </c>
      <c r="K156" s="13">
        <v>45.535714285714299</v>
      </c>
      <c r="L156" s="11" t="s">
        <v>10</v>
      </c>
      <c r="M156" s="26"/>
    </row>
    <row r="157" spans="1:13" x14ac:dyDescent="0.25">
      <c r="A157" s="6">
        <v>8.8285056633285504E+16</v>
      </c>
      <c r="B157" s="30" t="s">
        <v>68</v>
      </c>
      <c r="C157" s="32" t="str">
        <f t="shared" si="4"/>
        <v>Nov</v>
      </c>
      <c r="D157" s="11" t="s">
        <v>25</v>
      </c>
      <c r="E157" s="13">
        <v>411060</v>
      </c>
      <c r="F157" s="13">
        <v>340600</v>
      </c>
      <c r="G157" s="13">
        <v>12</v>
      </c>
      <c r="H157" s="13">
        <v>132.142857142857</v>
      </c>
      <c r="I157" s="13">
        <v>17.464285714285701</v>
      </c>
      <c r="J157" s="13">
        <f t="shared" si="5"/>
        <v>149.60714285714269</v>
      </c>
      <c r="K157" s="13">
        <v>53.571428571428598</v>
      </c>
      <c r="L157" s="11" t="s">
        <v>41</v>
      </c>
      <c r="M157" s="26"/>
    </row>
    <row r="158" spans="1:13" x14ac:dyDescent="0.25">
      <c r="A158" s="6">
        <v>9.1614581887042592E+16</v>
      </c>
      <c r="B158" s="30" t="s">
        <v>72</v>
      </c>
      <c r="C158" s="32" t="str">
        <f t="shared" si="4"/>
        <v>Nov</v>
      </c>
      <c r="D158" s="11" t="s">
        <v>9</v>
      </c>
      <c r="E158" s="13">
        <v>400043</v>
      </c>
      <c r="F158" s="13">
        <v>7117</v>
      </c>
      <c r="G158" s="13">
        <v>3</v>
      </c>
      <c r="H158" s="13">
        <v>167.96116504854299</v>
      </c>
      <c r="I158" s="13">
        <v>5.0388349514563098</v>
      </c>
      <c r="J158" s="13">
        <f t="shared" si="5"/>
        <v>172.99999999999932</v>
      </c>
      <c r="K158" s="13">
        <v>59.223300970873801</v>
      </c>
      <c r="L158" s="11" t="s">
        <v>41</v>
      </c>
      <c r="M158" s="26"/>
    </row>
    <row r="159" spans="1:13" x14ac:dyDescent="0.25">
      <c r="A159" s="6">
        <v>8.6099288442204896E+16</v>
      </c>
      <c r="B159" s="30" t="s">
        <v>73</v>
      </c>
      <c r="C159" s="32" t="str">
        <f t="shared" si="4"/>
        <v>Nov</v>
      </c>
      <c r="D159" s="11" t="s">
        <v>25</v>
      </c>
      <c r="E159" s="13">
        <v>151207</v>
      </c>
      <c r="F159" s="13">
        <v>7117</v>
      </c>
      <c r="G159" s="13">
        <v>3</v>
      </c>
      <c r="H159" s="13">
        <v>156.31067961164999</v>
      </c>
      <c r="I159" s="13">
        <v>4.9805825242718402</v>
      </c>
      <c r="J159" s="13">
        <f t="shared" si="5"/>
        <v>161.29126213592184</v>
      </c>
      <c r="K159" s="13">
        <v>59.223300970873801</v>
      </c>
      <c r="L159" s="11" t="s">
        <v>17</v>
      </c>
      <c r="M159" s="26"/>
    </row>
    <row r="160" spans="1:13" x14ac:dyDescent="0.25">
      <c r="A160" s="6">
        <v>9.0549275977352096E+16</v>
      </c>
      <c r="B160" s="30" t="s">
        <v>74</v>
      </c>
      <c r="C160" s="32" t="str">
        <f t="shared" si="4"/>
        <v>Nov</v>
      </c>
      <c r="D160" s="11" t="s">
        <v>16</v>
      </c>
      <c r="E160" s="13">
        <v>411041</v>
      </c>
      <c r="F160" s="13">
        <v>7117</v>
      </c>
      <c r="G160" s="13">
        <v>3</v>
      </c>
      <c r="H160" s="13">
        <v>204.854368932038</v>
      </c>
      <c r="I160" s="13">
        <v>6.6990291262135901</v>
      </c>
      <c r="J160" s="13">
        <f t="shared" si="5"/>
        <v>211.55339805825159</v>
      </c>
      <c r="K160" s="13">
        <v>42.7184466019418</v>
      </c>
      <c r="L160" s="11" t="s">
        <v>41</v>
      </c>
      <c r="M160" s="26"/>
    </row>
    <row r="161" spans="1:13" x14ac:dyDescent="0.25">
      <c r="A161" s="6">
        <v>8.74104192281444E+16</v>
      </c>
      <c r="B161" s="30" t="s">
        <v>75</v>
      </c>
      <c r="C161" s="32" t="str">
        <f t="shared" si="4"/>
        <v>Nov</v>
      </c>
      <c r="D161" s="11" t="s">
        <v>16</v>
      </c>
      <c r="E161" s="13">
        <v>133203</v>
      </c>
      <c r="F161" s="13">
        <v>340600</v>
      </c>
      <c r="G161" s="13">
        <v>12</v>
      </c>
      <c r="H161" s="13">
        <v>138.392857142857</v>
      </c>
      <c r="I161" s="13">
        <v>19.607142857142801</v>
      </c>
      <c r="J161" s="13">
        <f t="shared" si="5"/>
        <v>157.9999999999998</v>
      </c>
      <c r="K161" s="13">
        <v>41.964285714285701</v>
      </c>
      <c r="L161" s="11" t="s">
        <v>63</v>
      </c>
      <c r="M161" s="26"/>
    </row>
    <row r="162" spans="1:13" x14ac:dyDescent="0.25">
      <c r="A162" s="6">
        <v>8.6012439241618208E+16</v>
      </c>
      <c r="B162" s="30" t="s">
        <v>73</v>
      </c>
      <c r="C162" s="32" t="str">
        <f t="shared" si="4"/>
        <v>Nov</v>
      </c>
      <c r="D162" s="11" t="s">
        <v>16</v>
      </c>
      <c r="E162" s="13">
        <v>483501</v>
      </c>
      <c r="F162" s="13">
        <v>7117</v>
      </c>
      <c r="G162" s="13">
        <v>3</v>
      </c>
      <c r="H162" s="13">
        <v>172.81553398058199</v>
      </c>
      <c r="I162" s="13">
        <v>5.2427184466019403</v>
      </c>
      <c r="J162" s="13">
        <f t="shared" si="5"/>
        <v>178.05825242718393</v>
      </c>
      <c r="K162" s="13">
        <v>57.2815533980583</v>
      </c>
      <c r="L162" s="11" t="s">
        <v>26</v>
      </c>
      <c r="M162" s="26"/>
    </row>
    <row r="163" spans="1:13" x14ac:dyDescent="0.25">
      <c r="A163" s="6">
        <v>8.9434757978384E+16</v>
      </c>
      <c r="B163" s="30" t="s">
        <v>77</v>
      </c>
      <c r="C163" s="32" t="str">
        <f t="shared" si="4"/>
        <v>Nov</v>
      </c>
      <c r="D163" s="11" t="s">
        <v>52</v>
      </c>
      <c r="E163" s="13">
        <v>500004</v>
      </c>
      <c r="F163" s="13">
        <v>340600</v>
      </c>
      <c r="G163" s="13">
        <v>12</v>
      </c>
      <c r="H163" s="13">
        <v>146.42857142857099</v>
      </c>
      <c r="I163" s="13">
        <v>19.178571428571399</v>
      </c>
      <c r="J163" s="13">
        <f t="shared" si="5"/>
        <v>165.60714285714238</v>
      </c>
      <c r="K163" s="13">
        <v>41.071428571428598</v>
      </c>
      <c r="L163" s="11" t="s">
        <v>53</v>
      </c>
      <c r="M163" s="26"/>
    </row>
    <row r="164" spans="1:13" x14ac:dyDescent="0.25">
      <c r="A164" s="6">
        <v>8.9390518283938592E+16</v>
      </c>
      <c r="B164" s="30" t="s">
        <v>78</v>
      </c>
      <c r="C164" s="32" t="str">
        <f t="shared" si="4"/>
        <v>Nov</v>
      </c>
      <c r="D164" s="11" t="s">
        <v>16</v>
      </c>
      <c r="E164" s="13">
        <v>473222</v>
      </c>
      <c r="F164" s="13">
        <v>7117</v>
      </c>
      <c r="G164" s="13">
        <v>3</v>
      </c>
      <c r="H164" s="13">
        <v>158.252427184466</v>
      </c>
      <c r="I164" s="13">
        <v>4.7475728155339798</v>
      </c>
      <c r="J164" s="13">
        <f t="shared" si="5"/>
        <v>162.99999999999997</v>
      </c>
      <c r="K164" s="13">
        <v>58.252427184466001</v>
      </c>
      <c r="L164" s="11" t="s">
        <v>26</v>
      </c>
      <c r="M164" s="26"/>
    </row>
    <row r="165" spans="1:13" x14ac:dyDescent="0.25">
      <c r="A165" s="6">
        <v>9.25150618778432E+16</v>
      </c>
      <c r="B165" s="30" t="s">
        <v>80</v>
      </c>
      <c r="C165" s="32" t="str">
        <f t="shared" si="4"/>
        <v>Nov</v>
      </c>
      <c r="D165" s="11" t="s">
        <v>9</v>
      </c>
      <c r="E165" s="13">
        <v>224190</v>
      </c>
      <c r="F165" s="13">
        <v>7117</v>
      </c>
      <c r="G165" s="13">
        <v>3</v>
      </c>
      <c r="H165" s="13">
        <v>147.57281553397999</v>
      </c>
      <c r="I165" s="13">
        <v>4.7184466019417499</v>
      </c>
      <c r="J165" s="13">
        <f t="shared" si="5"/>
        <v>152.29126213592173</v>
      </c>
      <c r="K165" s="13">
        <v>47.572815533980602</v>
      </c>
      <c r="L165" s="11" t="s">
        <v>10</v>
      </c>
      <c r="M165" s="26"/>
    </row>
    <row r="166" spans="1:13" x14ac:dyDescent="0.25">
      <c r="A166" s="6">
        <v>8.7503533452227296E+16</v>
      </c>
      <c r="B166" s="30" t="s">
        <v>75</v>
      </c>
      <c r="C166" s="32" t="str">
        <f t="shared" si="4"/>
        <v>Nov</v>
      </c>
      <c r="D166" s="11" t="s">
        <v>16</v>
      </c>
      <c r="E166" s="13">
        <v>562159</v>
      </c>
      <c r="F166" s="13">
        <v>7117</v>
      </c>
      <c r="G166" s="13">
        <v>3</v>
      </c>
      <c r="H166" s="13">
        <v>139.80582524271799</v>
      </c>
      <c r="I166" s="13">
        <v>4.1941747572815498</v>
      </c>
      <c r="J166" s="13">
        <f t="shared" si="5"/>
        <v>143.99999999999955</v>
      </c>
      <c r="K166" s="13">
        <v>58.252427184466001</v>
      </c>
      <c r="L166" s="11" t="s">
        <v>19</v>
      </c>
      <c r="M166" s="26"/>
    </row>
    <row r="167" spans="1:13" x14ac:dyDescent="0.25">
      <c r="A167" s="6">
        <v>9.0034596130464992E+16</v>
      </c>
      <c r="B167" s="30" t="s">
        <v>82</v>
      </c>
      <c r="C167" s="32" t="str">
        <f t="shared" si="4"/>
        <v>Nov</v>
      </c>
      <c r="D167" s="11" t="s">
        <v>16</v>
      </c>
      <c r="E167" s="13">
        <v>824211</v>
      </c>
      <c r="F167" s="13">
        <v>7117</v>
      </c>
      <c r="G167" s="13">
        <v>3</v>
      </c>
      <c r="H167" s="13">
        <v>132.03883495145601</v>
      </c>
      <c r="I167" s="13">
        <v>5.0388349514563098</v>
      </c>
      <c r="J167" s="13">
        <f t="shared" si="5"/>
        <v>137.07766990291233</v>
      </c>
      <c r="K167" s="13">
        <v>23.300970873786401</v>
      </c>
      <c r="L167" s="11" t="s">
        <v>22</v>
      </c>
      <c r="M167" s="26"/>
    </row>
    <row r="168" spans="1:13" x14ac:dyDescent="0.25">
      <c r="A168" s="6">
        <v>8.7150720868554E+16</v>
      </c>
      <c r="B168" s="30" t="s">
        <v>83</v>
      </c>
      <c r="C168" s="32" t="str">
        <f t="shared" si="4"/>
        <v>Nov</v>
      </c>
      <c r="D168" s="11" t="s">
        <v>52</v>
      </c>
      <c r="E168" s="13">
        <v>273158</v>
      </c>
      <c r="F168" s="13">
        <v>7117</v>
      </c>
      <c r="G168" s="13">
        <v>3</v>
      </c>
      <c r="H168" s="13">
        <v>133.980582524271</v>
      </c>
      <c r="I168" s="13">
        <v>4.7475728155339798</v>
      </c>
      <c r="J168" s="13">
        <f t="shared" si="5"/>
        <v>138.72815533980497</v>
      </c>
      <c r="K168" s="13">
        <v>33.980582524271803</v>
      </c>
      <c r="L168" s="11" t="s">
        <v>10</v>
      </c>
      <c r="M168" s="26"/>
    </row>
    <row r="169" spans="1:13" x14ac:dyDescent="0.25">
      <c r="A169" s="6">
        <v>8.60387456162136E+16</v>
      </c>
      <c r="B169" s="30" t="s">
        <v>73</v>
      </c>
      <c r="C169" s="32" t="str">
        <f t="shared" si="4"/>
        <v>Nov</v>
      </c>
      <c r="D169" s="11" t="s">
        <v>71</v>
      </c>
      <c r="E169" s="13">
        <v>223226</v>
      </c>
      <c r="F169" s="13">
        <v>7117</v>
      </c>
      <c r="G169" s="13">
        <v>3</v>
      </c>
      <c r="H169" s="13">
        <v>156.31067961164999</v>
      </c>
      <c r="I169" s="13">
        <v>5.4174757281553401</v>
      </c>
      <c r="J169" s="13">
        <f t="shared" si="5"/>
        <v>161.72815533980534</v>
      </c>
      <c r="K169" s="13">
        <v>34.951456310679603</v>
      </c>
      <c r="L169" s="11" t="s">
        <v>10</v>
      </c>
      <c r="M169" s="26"/>
    </row>
    <row r="170" spans="1:13" x14ac:dyDescent="0.25">
      <c r="A170" s="6">
        <v>9.0476957670185904E+16</v>
      </c>
      <c r="B170" s="30" t="s">
        <v>84</v>
      </c>
      <c r="C170" s="32" t="str">
        <f t="shared" si="4"/>
        <v>Nov</v>
      </c>
      <c r="D170" s="11" t="s">
        <v>25</v>
      </c>
      <c r="E170" s="13">
        <v>208013</v>
      </c>
      <c r="F170" s="13">
        <v>7117</v>
      </c>
      <c r="G170" s="13">
        <v>3</v>
      </c>
      <c r="H170" s="13">
        <v>113.592233009708</v>
      </c>
      <c r="I170" s="13">
        <v>4.13592233009709</v>
      </c>
      <c r="J170" s="13">
        <f t="shared" si="5"/>
        <v>117.72815533980508</v>
      </c>
      <c r="K170" s="13">
        <v>59.223300970873801</v>
      </c>
      <c r="L170" s="11" t="s">
        <v>10</v>
      </c>
      <c r="M170" s="26"/>
    </row>
    <row r="171" spans="1:13" x14ac:dyDescent="0.25">
      <c r="A171" s="6">
        <v>8.7949164478132992E+16</v>
      </c>
      <c r="B171" s="30" t="s">
        <v>76</v>
      </c>
      <c r="C171" s="32" t="str">
        <f t="shared" si="4"/>
        <v>Nov</v>
      </c>
      <c r="D171" s="11" t="s">
        <v>52</v>
      </c>
      <c r="E171" s="13">
        <v>160022</v>
      </c>
      <c r="F171" s="13">
        <v>340600</v>
      </c>
      <c r="G171" s="13">
        <v>12</v>
      </c>
      <c r="H171" s="13">
        <v>135.71428571428501</v>
      </c>
      <c r="I171" s="13">
        <v>20.678571428571399</v>
      </c>
      <c r="J171" s="13">
        <f t="shared" si="5"/>
        <v>156.3928571428564</v>
      </c>
      <c r="K171" s="13">
        <v>30.3571428571429</v>
      </c>
      <c r="L171" s="11" t="s">
        <v>85</v>
      </c>
      <c r="M171" s="26"/>
    </row>
    <row r="172" spans="1:13" x14ac:dyDescent="0.25">
      <c r="A172" s="6">
        <v>9.0728837046633408E+16</v>
      </c>
      <c r="B172" s="30" t="s">
        <v>74</v>
      </c>
      <c r="C172" s="32" t="str">
        <f t="shared" si="4"/>
        <v>Nov</v>
      </c>
      <c r="D172" s="11" t="s">
        <v>25</v>
      </c>
      <c r="E172" s="13">
        <v>831011</v>
      </c>
      <c r="F172" s="13">
        <v>7117</v>
      </c>
      <c r="G172" s="13">
        <v>3</v>
      </c>
      <c r="H172" s="13">
        <v>158.252427184466</v>
      </c>
      <c r="I172" s="13">
        <v>4.7475728155339798</v>
      </c>
      <c r="J172" s="13">
        <f t="shared" si="5"/>
        <v>162.99999999999997</v>
      </c>
      <c r="K172" s="13">
        <v>58.252427184466001</v>
      </c>
      <c r="L172" s="11" t="s">
        <v>37</v>
      </c>
      <c r="M172" s="26"/>
    </row>
    <row r="173" spans="1:13" x14ac:dyDescent="0.25">
      <c r="A173" s="6">
        <v>9.3689485637661504E+16</v>
      </c>
      <c r="B173" s="30" t="s">
        <v>86</v>
      </c>
      <c r="C173" s="32" t="str">
        <f t="shared" si="4"/>
        <v>Nov</v>
      </c>
      <c r="D173" s="11" t="s">
        <v>16</v>
      </c>
      <c r="E173" s="13">
        <v>301704</v>
      </c>
      <c r="F173" s="13">
        <v>7117</v>
      </c>
      <c r="G173" s="13">
        <v>3</v>
      </c>
      <c r="H173" s="13">
        <v>147.57281553397999</v>
      </c>
      <c r="I173" s="13">
        <v>4.6310679611650496</v>
      </c>
      <c r="J173" s="13">
        <f t="shared" si="5"/>
        <v>152.20388349514505</v>
      </c>
      <c r="K173" s="13">
        <v>50.485436893203897</v>
      </c>
      <c r="L173" s="11" t="s">
        <v>46</v>
      </c>
      <c r="M173" s="26"/>
    </row>
    <row r="174" spans="1:13" x14ac:dyDescent="0.25">
      <c r="A174" s="6">
        <v>8.8340256583832096E+16</v>
      </c>
      <c r="B174" s="30" t="s">
        <v>69</v>
      </c>
      <c r="C174" s="32" t="str">
        <f t="shared" si="4"/>
        <v>Nov</v>
      </c>
      <c r="D174" s="11" t="s">
        <v>52</v>
      </c>
      <c r="E174" s="13">
        <v>400055</v>
      </c>
      <c r="F174" s="13">
        <v>340600</v>
      </c>
      <c r="G174" s="13">
        <v>12</v>
      </c>
      <c r="H174" s="13">
        <v>138.392857142857</v>
      </c>
      <c r="I174" s="13">
        <v>18.535714285714199</v>
      </c>
      <c r="J174" s="13">
        <f t="shared" si="5"/>
        <v>156.92857142857119</v>
      </c>
      <c r="K174" s="13">
        <v>50.892857142857103</v>
      </c>
      <c r="L174" s="11" t="s">
        <v>41</v>
      </c>
      <c r="M174" s="26"/>
    </row>
    <row r="175" spans="1:13" x14ac:dyDescent="0.25">
      <c r="A175" s="6">
        <v>8.7481796564603504E+16</v>
      </c>
      <c r="B175" s="30" t="s">
        <v>75</v>
      </c>
      <c r="C175" s="32" t="str">
        <f t="shared" si="4"/>
        <v>Nov</v>
      </c>
      <c r="D175" s="11" t="s">
        <v>16</v>
      </c>
      <c r="E175" s="13">
        <v>392240</v>
      </c>
      <c r="F175" s="13">
        <v>7117</v>
      </c>
      <c r="G175" s="13">
        <v>3</v>
      </c>
      <c r="H175" s="13">
        <v>151.45631067961099</v>
      </c>
      <c r="I175" s="13">
        <v>4.5436893203883502</v>
      </c>
      <c r="J175" s="13">
        <f t="shared" si="5"/>
        <v>155.99999999999935</v>
      </c>
      <c r="K175" s="13">
        <v>61.165048543689302</v>
      </c>
      <c r="L175" s="11" t="s">
        <v>12</v>
      </c>
      <c r="M175" s="26"/>
    </row>
    <row r="176" spans="1:13" x14ac:dyDescent="0.25">
      <c r="A176" s="6">
        <v>8.7603039099933296E+16</v>
      </c>
      <c r="B176" s="30" t="s">
        <v>75</v>
      </c>
      <c r="C176" s="32" t="str">
        <f t="shared" si="4"/>
        <v>Nov</v>
      </c>
      <c r="D176" s="11" t="s">
        <v>52</v>
      </c>
      <c r="E176" s="13">
        <v>585103</v>
      </c>
      <c r="F176" s="13">
        <v>340600</v>
      </c>
      <c r="G176" s="13">
        <v>12</v>
      </c>
      <c r="H176" s="13">
        <v>153.57142857142799</v>
      </c>
      <c r="I176" s="13">
        <v>20.357142857142801</v>
      </c>
      <c r="J176" s="13">
        <f t="shared" si="5"/>
        <v>173.92857142857079</v>
      </c>
      <c r="K176" s="13">
        <v>50.892857142857103</v>
      </c>
      <c r="L176" s="11" t="s">
        <v>19</v>
      </c>
      <c r="M176" s="26"/>
    </row>
    <row r="177" spans="1:13" x14ac:dyDescent="0.25">
      <c r="A177" s="6">
        <v>8.9060923345087296E+16</v>
      </c>
      <c r="B177" s="30" t="s">
        <v>70</v>
      </c>
      <c r="C177" s="32" t="str">
        <f t="shared" si="4"/>
        <v>Nov</v>
      </c>
      <c r="D177" s="11" t="s">
        <v>16</v>
      </c>
      <c r="E177" s="13">
        <v>171014</v>
      </c>
      <c r="F177" s="13">
        <v>340600</v>
      </c>
      <c r="G177" s="13">
        <v>12</v>
      </c>
      <c r="H177" s="13">
        <v>163.392857142857</v>
      </c>
      <c r="I177" s="13">
        <v>21.535714285714199</v>
      </c>
      <c r="J177" s="13">
        <f t="shared" si="5"/>
        <v>184.92857142857119</v>
      </c>
      <c r="K177" s="13">
        <v>50.892857142857103</v>
      </c>
      <c r="L177" s="11" t="s">
        <v>44</v>
      </c>
      <c r="M177" s="26"/>
    </row>
    <row r="178" spans="1:13" x14ac:dyDescent="0.25">
      <c r="A178" s="6">
        <v>9.4003594564416304E+16</v>
      </c>
      <c r="B178" s="30" t="s">
        <v>81</v>
      </c>
      <c r="C178" s="32" t="str">
        <f t="shared" si="4"/>
        <v>Nov</v>
      </c>
      <c r="D178" s="11" t="s">
        <v>9</v>
      </c>
      <c r="E178" s="13">
        <v>326034</v>
      </c>
      <c r="F178" s="13">
        <v>7117</v>
      </c>
      <c r="G178" s="13">
        <v>3</v>
      </c>
      <c r="H178" s="13">
        <v>154.368932038834</v>
      </c>
      <c r="I178" s="13">
        <v>4.8349514563106801</v>
      </c>
      <c r="J178" s="13">
        <f t="shared" si="5"/>
        <v>159.20388349514468</v>
      </c>
      <c r="K178" s="13">
        <v>52.427184466019398</v>
      </c>
      <c r="L178" s="11" t="s">
        <v>46</v>
      </c>
      <c r="M178" s="26"/>
    </row>
    <row r="179" spans="1:13" x14ac:dyDescent="0.25">
      <c r="A179" s="6">
        <v>8.5718399732929104E+16</v>
      </c>
      <c r="B179" s="30" t="s">
        <v>87</v>
      </c>
      <c r="C179" s="32" t="str">
        <f t="shared" si="4"/>
        <v>Nov</v>
      </c>
      <c r="D179" s="11" t="s">
        <v>16</v>
      </c>
      <c r="E179" s="13">
        <v>560037</v>
      </c>
      <c r="F179" s="13">
        <v>340600</v>
      </c>
      <c r="G179" s="13">
        <v>12</v>
      </c>
      <c r="H179" s="13">
        <v>163.392857142857</v>
      </c>
      <c r="I179" s="13">
        <v>21.535714285714199</v>
      </c>
      <c r="J179" s="13">
        <f t="shared" si="5"/>
        <v>184.92857142857119</v>
      </c>
      <c r="K179" s="13">
        <v>50.892857142857103</v>
      </c>
      <c r="L179" s="11" t="s">
        <v>19</v>
      </c>
      <c r="M179" s="26"/>
    </row>
    <row r="180" spans="1:13" x14ac:dyDescent="0.25">
      <c r="A180" s="6">
        <v>9.0320364702040992E+16</v>
      </c>
      <c r="B180" s="30" t="s">
        <v>84</v>
      </c>
      <c r="C180" s="32" t="str">
        <f t="shared" si="4"/>
        <v>Nov</v>
      </c>
      <c r="D180" s="11" t="s">
        <v>52</v>
      </c>
      <c r="E180" s="13">
        <v>560078</v>
      </c>
      <c r="F180" s="13">
        <v>340600</v>
      </c>
      <c r="G180" s="13">
        <v>12</v>
      </c>
      <c r="H180" s="13">
        <v>147.32142857142799</v>
      </c>
      <c r="I180" s="13">
        <v>19.285714285714199</v>
      </c>
      <c r="J180" s="13">
        <f t="shared" si="5"/>
        <v>166.60714285714218</v>
      </c>
      <c r="K180" s="13">
        <v>40.178571428571402</v>
      </c>
      <c r="L180" s="11" t="s">
        <v>19</v>
      </c>
      <c r="M180" s="26"/>
    </row>
    <row r="181" spans="1:13" x14ac:dyDescent="0.25">
      <c r="A181" s="6">
        <v>8.9474388311283008E+16</v>
      </c>
      <c r="B181" s="30" t="s">
        <v>77</v>
      </c>
      <c r="C181" s="32" t="str">
        <f t="shared" si="4"/>
        <v>Nov</v>
      </c>
      <c r="D181" s="11" t="s">
        <v>16</v>
      </c>
      <c r="E181" s="13">
        <v>700006</v>
      </c>
      <c r="F181" s="13">
        <v>340600</v>
      </c>
      <c r="G181" s="13">
        <v>12</v>
      </c>
      <c r="H181" s="13">
        <v>132.142857142857</v>
      </c>
      <c r="I181" s="13">
        <v>17.464285714285701</v>
      </c>
      <c r="J181" s="13">
        <f t="shared" si="5"/>
        <v>149.60714285714269</v>
      </c>
      <c r="K181" s="13">
        <v>40.178571428571402</v>
      </c>
      <c r="L181" s="11" t="s">
        <v>14</v>
      </c>
      <c r="M181" s="26"/>
    </row>
    <row r="182" spans="1:13" x14ac:dyDescent="0.25">
      <c r="A182" s="6">
        <v>8.4505034389967392E+16</v>
      </c>
      <c r="B182" s="30" t="s">
        <v>88</v>
      </c>
      <c r="C182" s="32" t="str">
        <f t="shared" si="4"/>
        <v>Nov</v>
      </c>
      <c r="D182" s="11" t="s">
        <v>16</v>
      </c>
      <c r="E182" s="13">
        <v>226016</v>
      </c>
      <c r="F182" s="13">
        <v>7117</v>
      </c>
      <c r="G182" s="13">
        <v>3</v>
      </c>
      <c r="H182" s="13">
        <v>123.300970873786</v>
      </c>
      <c r="I182" s="13">
        <v>4.2233009708737903</v>
      </c>
      <c r="J182" s="13">
        <f t="shared" si="5"/>
        <v>127.52427184465979</v>
      </c>
      <c r="K182" s="13">
        <v>41.747572815533999</v>
      </c>
      <c r="L182" s="11" t="s">
        <v>10</v>
      </c>
      <c r="M182" s="26"/>
    </row>
    <row r="183" spans="1:13" x14ac:dyDescent="0.25">
      <c r="A183" s="6">
        <v>8.9745675717956192E+16</v>
      </c>
      <c r="B183" s="30" t="s">
        <v>77</v>
      </c>
      <c r="C183" s="32" t="str">
        <f t="shared" si="4"/>
        <v>Nov</v>
      </c>
      <c r="D183" s="11" t="s">
        <v>16</v>
      </c>
      <c r="E183" s="13">
        <v>440034</v>
      </c>
      <c r="F183" s="13">
        <v>340600</v>
      </c>
      <c r="G183" s="13">
        <v>12</v>
      </c>
      <c r="H183" s="13">
        <v>163.392857142857</v>
      </c>
      <c r="I183" s="13">
        <v>19.607142857142801</v>
      </c>
      <c r="J183" s="13">
        <f t="shared" si="5"/>
        <v>182.9999999999998</v>
      </c>
      <c r="K183" s="13">
        <v>66.964285714285694</v>
      </c>
      <c r="L183" s="11" t="s">
        <v>41</v>
      </c>
      <c r="M183" s="26"/>
    </row>
    <row r="184" spans="1:13" x14ac:dyDescent="0.25">
      <c r="A184" s="6">
        <v>8.9236241979675904E+16</v>
      </c>
      <c r="B184" s="30" t="s">
        <v>78</v>
      </c>
      <c r="C184" s="32" t="str">
        <f t="shared" si="4"/>
        <v>Nov</v>
      </c>
      <c r="D184" s="11" t="s">
        <v>25</v>
      </c>
      <c r="E184" s="13">
        <v>845401</v>
      </c>
      <c r="F184" s="13">
        <v>7117</v>
      </c>
      <c r="G184" s="13">
        <v>3</v>
      </c>
      <c r="H184" s="13">
        <v>166.01941747572801</v>
      </c>
      <c r="I184" s="13">
        <v>5.0388349514563098</v>
      </c>
      <c r="J184" s="13">
        <f t="shared" si="5"/>
        <v>171.05825242718433</v>
      </c>
      <c r="K184" s="13">
        <v>59.223300970873801</v>
      </c>
      <c r="L184" s="11" t="s">
        <v>22</v>
      </c>
      <c r="M184" s="26"/>
    </row>
    <row r="185" spans="1:13" x14ac:dyDescent="0.25">
      <c r="A185" s="6">
        <v>8.4371889560736304E+16</v>
      </c>
      <c r="B185" s="30" t="s">
        <v>88</v>
      </c>
      <c r="C185" s="32" t="str">
        <f t="shared" si="4"/>
        <v>Nov</v>
      </c>
      <c r="D185" s="11" t="s">
        <v>16</v>
      </c>
      <c r="E185" s="13">
        <v>121002</v>
      </c>
      <c r="F185" s="13">
        <v>7117</v>
      </c>
      <c r="G185" s="13">
        <v>3</v>
      </c>
      <c r="H185" s="13">
        <v>137.864077669902</v>
      </c>
      <c r="I185" s="13">
        <v>4.8058252427184502</v>
      </c>
      <c r="J185" s="13">
        <f t="shared" si="5"/>
        <v>142.66990291262044</v>
      </c>
      <c r="K185" s="13">
        <v>36.893203883495197</v>
      </c>
      <c r="L185" s="11" t="s">
        <v>63</v>
      </c>
      <c r="M185" s="26"/>
    </row>
    <row r="186" spans="1:13" x14ac:dyDescent="0.25">
      <c r="A186" s="6">
        <v>8.6810940902353696E+16</v>
      </c>
      <c r="B186" s="30" t="s">
        <v>90</v>
      </c>
      <c r="C186" s="32" t="str">
        <f t="shared" si="4"/>
        <v>Nov</v>
      </c>
      <c r="D186" s="11" t="s">
        <v>16</v>
      </c>
      <c r="E186" s="13">
        <v>801109</v>
      </c>
      <c r="F186" s="13">
        <v>7117</v>
      </c>
      <c r="G186" s="13">
        <v>3</v>
      </c>
      <c r="H186" s="13">
        <v>155.339805825242</v>
      </c>
      <c r="I186" s="13">
        <v>4.7475728155339798</v>
      </c>
      <c r="J186" s="13">
        <f t="shared" si="5"/>
        <v>160.08737864077597</v>
      </c>
      <c r="K186" s="13">
        <v>55.339805825242699</v>
      </c>
      <c r="L186" s="11" t="s">
        <v>22</v>
      </c>
      <c r="M186" s="26"/>
    </row>
    <row r="187" spans="1:13" x14ac:dyDescent="0.25">
      <c r="A187" s="6">
        <v>8.9010898363999904E+16</v>
      </c>
      <c r="B187" s="30" t="s">
        <v>70</v>
      </c>
      <c r="C187" s="32" t="str">
        <f t="shared" si="4"/>
        <v>Nov</v>
      </c>
      <c r="D187" s="11" t="s">
        <v>25</v>
      </c>
      <c r="E187" s="13">
        <v>274702</v>
      </c>
      <c r="F187" s="13">
        <v>7117</v>
      </c>
      <c r="G187" s="13">
        <v>3</v>
      </c>
      <c r="H187" s="13">
        <v>150.485436893203</v>
      </c>
      <c r="I187" s="13">
        <v>4.8058252427184502</v>
      </c>
      <c r="J187" s="13">
        <f t="shared" si="5"/>
        <v>155.29126213592144</v>
      </c>
      <c r="K187" s="13">
        <v>49.514563106796103</v>
      </c>
      <c r="L187" s="11" t="s">
        <v>10</v>
      </c>
      <c r="M187" s="26"/>
    </row>
    <row r="188" spans="1:13" x14ac:dyDescent="0.25">
      <c r="A188" s="6">
        <v>8.8894248221135392E+16</v>
      </c>
      <c r="B188" s="30" t="s">
        <v>70</v>
      </c>
      <c r="C188" s="32" t="str">
        <f t="shared" si="4"/>
        <v>Nov</v>
      </c>
      <c r="D188" s="11" t="s">
        <v>25</v>
      </c>
      <c r="E188" s="13">
        <v>208021</v>
      </c>
      <c r="F188" s="13">
        <v>7117</v>
      </c>
      <c r="G188" s="13">
        <v>3</v>
      </c>
      <c r="H188" s="13">
        <v>148.54368932038801</v>
      </c>
      <c r="I188" s="13">
        <v>4.7475728155339798</v>
      </c>
      <c r="J188" s="13">
        <f t="shared" si="5"/>
        <v>153.29126213592198</v>
      </c>
      <c r="K188" s="13">
        <v>58.252427184466001</v>
      </c>
      <c r="L188" s="11" t="s">
        <v>10</v>
      </c>
      <c r="M188" s="26"/>
    </row>
    <row r="189" spans="1:13" x14ac:dyDescent="0.25">
      <c r="A189" s="6">
        <v>9.2256919742088E+16</v>
      </c>
      <c r="B189" s="30" t="s">
        <v>91</v>
      </c>
      <c r="C189" s="32" t="str">
        <f t="shared" si="4"/>
        <v>Nov</v>
      </c>
      <c r="D189" s="11" t="s">
        <v>25</v>
      </c>
      <c r="E189" s="13">
        <v>517501</v>
      </c>
      <c r="F189" s="13">
        <v>7117</v>
      </c>
      <c r="G189" s="13">
        <v>3</v>
      </c>
      <c r="H189" s="13">
        <v>124.27184466019401</v>
      </c>
      <c r="I189" s="13">
        <v>4.1650485436893199</v>
      </c>
      <c r="J189" s="13">
        <f t="shared" si="5"/>
        <v>128.43689320388333</v>
      </c>
      <c r="K189" s="13">
        <v>42.7184466019418</v>
      </c>
      <c r="L189" s="11" t="s">
        <v>39</v>
      </c>
      <c r="M189" s="26"/>
    </row>
    <row r="190" spans="1:13" x14ac:dyDescent="0.25">
      <c r="A190" s="6">
        <v>9.0633607198677904E+16</v>
      </c>
      <c r="B190" s="30" t="s">
        <v>74</v>
      </c>
      <c r="C190" s="32" t="str">
        <f t="shared" si="4"/>
        <v>Nov</v>
      </c>
      <c r="D190" s="11" t="s">
        <v>21</v>
      </c>
      <c r="E190" s="13">
        <v>500011</v>
      </c>
      <c r="F190" s="13">
        <v>7117</v>
      </c>
      <c r="G190" s="13">
        <v>3</v>
      </c>
      <c r="H190" s="13">
        <v>161.16504854368901</v>
      </c>
      <c r="I190" s="13">
        <v>4.8349514563106801</v>
      </c>
      <c r="J190" s="13">
        <f t="shared" si="5"/>
        <v>165.99999999999969</v>
      </c>
      <c r="K190" s="13">
        <v>60.194174757281601</v>
      </c>
      <c r="L190" s="11" t="s">
        <v>53</v>
      </c>
      <c r="M190" s="26"/>
    </row>
    <row r="191" spans="1:13" x14ac:dyDescent="0.25">
      <c r="A191" s="6">
        <v>8.90129478626148E+16</v>
      </c>
      <c r="B191" s="30" t="s">
        <v>70</v>
      </c>
      <c r="C191" s="32" t="str">
        <f t="shared" si="4"/>
        <v>Nov</v>
      </c>
      <c r="D191" s="11" t="s">
        <v>16</v>
      </c>
      <c r="E191" s="13">
        <v>641654</v>
      </c>
      <c r="F191" s="13">
        <v>7117</v>
      </c>
      <c r="G191" s="13">
        <v>3</v>
      </c>
      <c r="H191" s="13">
        <v>161.16504854368901</v>
      </c>
      <c r="I191" s="13">
        <v>4.8349514563106801</v>
      </c>
      <c r="J191" s="13">
        <f t="shared" si="5"/>
        <v>165.99999999999969</v>
      </c>
      <c r="K191" s="13">
        <v>59.223300970873801</v>
      </c>
      <c r="L191" s="11" t="s">
        <v>27</v>
      </c>
      <c r="M191" s="26"/>
    </row>
    <row r="192" spans="1:13" x14ac:dyDescent="0.25">
      <c r="A192" s="6">
        <v>8.6718111627077296E+16</v>
      </c>
      <c r="B192" s="30" t="s">
        <v>90</v>
      </c>
      <c r="C192" s="32" t="str">
        <f t="shared" si="4"/>
        <v>Nov</v>
      </c>
      <c r="D192" s="11" t="s">
        <v>16</v>
      </c>
      <c r="E192" s="13">
        <v>201009</v>
      </c>
      <c r="F192" s="13">
        <v>7117</v>
      </c>
      <c r="G192" s="13">
        <v>3</v>
      </c>
      <c r="H192" s="13">
        <v>159.223300970873</v>
      </c>
      <c r="I192" s="13">
        <v>5.0679611650485397</v>
      </c>
      <c r="J192" s="13">
        <f t="shared" si="5"/>
        <v>164.29126213592153</v>
      </c>
      <c r="K192" s="13">
        <v>48.543689320388303</v>
      </c>
      <c r="L192" s="11" t="s">
        <v>10</v>
      </c>
      <c r="M192" s="26"/>
    </row>
    <row r="193" spans="1:13" x14ac:dyDescent="0.25">
      <c r="A193" s="6">
        <v>8.88911766325932E+16</v>
      </c>
      <c r="B193" s="30" t="s">
        <v>70</v>
      </c>
      <c r="C193" s="32" t="str">
        <f t="shared" si="4"/>
        <v>Nov</v>
      </c>
      <c r="D193" s="11" t="s">
        <v>25</v>
      </c>
      <c r="E193" s="13">
        <v>143507</v>
      </c>
      <c r="F193" s="13">
        <v>340600</v>
      </c>
      <c r="G193" s="13">
        <v>12</v>
      </c>
      <c r="H193" s="13">
        <v>161.60714285714201</v>
      </c>
      <c r="I193" s="13">
        <v>20.357142857142801</v>
      </c>
      <c r="J193" s="13">
        <f t="shared" si="5"/>
        <v>181.96428571428481</v>
      </c>
      <c r="K193" s="13">
        <v>66.964285714285694</v>
      </c>
      <c r="L193" s="11" t="s">
        <v>17</v>
      </c>
      <c r="M193" s="26"/>
    </row>
    <row r="194" spans="1:13" x14ac:dyDescent="0.25">
      <c r="A194" s="6">
        <v>8.6759625378165504E+16</v>
      </c>
      <c r="B194" s="30" t="s">
        <v>90</v>
      </c>
      <c r="C194" s="32" t="str">
        <f t="shared" si="4"/>
        <v>Nov</v>
      </c>
      <c r="D194" s="11" t="s">
        <v>21</v>
      </c>
      <c r="E194" s="13">
        <v>843313</v>
      </c>
      <c r="F194" s="13">
        <v>7117</v>
      </c>
      <c r="G194" s="13">
        <v>3</v>
      </c>
      <c r="H194" s="13">
        <v>158.252427184466</v>
      </c>
      <c r="I194" s="13">
        <v>4.7475728155339798</v>
      </c>
      <c r="J194" s="13">
        <f t="shared" si="5"/>
        <v>162.99999999999997</v>
      </c>
      <c r="K194" s="13">
        <v>58.252427184466001</v>
      </c>
      <c r="L194" s="11" t="s">
        <v>22</v>
      </c>
      <c r="M194" s="26"/>
    </row>
    <row r="195" spans="1:13" x14ac:dyDescent="0.25">
      <c r="A195" s="6">
        <v>8.8576583222132896E+16</v>
      </c>
      <c r="B195" s="30" t="s">
        <v>69</v>
      </c>
      <c r="C195" s="32" t="str">
        <f t="shared" ref="C195:C258" si="6">TEXT(B195, "mmm")</f>
        <v>Nov</v>
      </c>
      <c r="D195" s="11" t="s">
        <v>16</v>
      </c>
      <c r="E195" s="13">
        <v>302013</v>
      </c>
      <c r="F195" s="13">
        <v>7117</v>
      </c>
      <c r="G195" s="13">
        <v>3</v>
      </c>
      <c r="H195" s="13">
        <v>87.378640776699001</v>
      </c>
      <c r="I195" s="13">
        <v>3.4077669902912602</v>
      </c>
      <c r="J195" s="13">
        <f t="shared" ref="J195:J258" si="7">H195+I195</f>
        <v>90.786407766990266</v>
      </c>
      <c r="K195" s="13">
        <v>38.834951456310698</v>
      </c>
      <c r="L195" s="11" t="s">
        <v>46</v>
      </c>
      <c r="M195" s="26"/>
    </row>
    <row r="196" spans="1:13" x14ac:dyDescent="0.25">
      <c r="A196" s="6">
        <v>9.0483273047704608E+16</v>
      </c>
      <c r="B196" s="30" t="s">
        <v>84</v>
      </c>
      <c r="C196" s="32" t="str">
        <f t="shared" si="6"/>
        <v>Nov</v>
      </c>
      <c r="D196" s="11" t="s">
        <v>16</v>
      </c>
      <c r="E196" s="13">
        <v>421204</v>
      </c>
      <c r="F196" s="13">
        <v>340600</v>
      </c>
      <c r="G196" s="13">
        <v>12</v>
      </c>
      <c r="H196" s="13">
        <v>196.42857142857099</v>
      </c>
      <c r="I196" s="13">
        <v>23.571428571428498</v>
      </c>
      <c r="J196" s="13">
        <f t="shared" si="7"/>
        <v>219.99999999999949</v>
      </c>
      <c r="K196" s="13">
        <v>66.964285714285694</v>
      </c>
      <c r="L196" s="11" t="s">
        <v>41</v>
      </c>
      <c r="M196" s="26"/>
    </row>
    <row r="197" spans="1:13" x14ac:dyDescent="0.25">
      <c r="A197" s="6">
        <v>8.8959694748242496E+16</v>
      </c>
      <c r="B197" s="30" t="s">
        <v>70</v>
      </c>
      <c r="C197" s="32" t="str">
        <f t="shared" si="6"/>
        <v>Nov</v>
      </c>
      <c r="D197" s="11" t="s">
        <v>52</v>
      </c>
      <c r="E197" s="13">
        <v>110092</v>
      </c>
      <c r="F197" s="13">
        <v>340600</v>
      </c>
      <c r="G197" s="13">
        <v>12</v>
      </c>
      <c r="H197" s="13">
        <v>127.678571428571</v>
      </c>
      <c r="I197" s="13">
        <v>17.464285714285701</v>
      </c>
      <c r="J197" s="13">
        <f t="shared" si="7"/>
        <v>145.14285714285671</v>
      </c>
      <c r="K197" s="13">
        <v>35.714285714285701</v>
      </c>
      <c r="L197" s="11" t="s">
        <v>28</v>
      </c>
      <c r="M197" s="26"/>
    </row>
    <row r="198" spans="1:13" x14ac:dyDescent="0.25">
      <c r="A198" s="6">
        <v>8.8301234395512992E+16</v>
      </c>
      <c r="B198" s="30" t="s">
        <v>68</v>
      </c>
      <c r="C198" s="32" t="str">
        <f t="shared" si="6"/>
        <v>Nov</v>
      </c>
      <c r="D198" s="11" t="s">
        <v>16</v>
      </c>
      <c r="E198" s="13">
        <v>700066</v>
      </c>
      <c r="F198" s="13">
        <v>7117</v>
      </c>
      <c r="G198" s="13">
        <v>3</v>
      </c>
      <c r="H198" s="13">
        <v>156.31067961164999</v>
      </c>
      <c r="I198" s="13">
        <v>4.6893203883495103</v>
      </c>
      <c r="J198" s="13">
        <f t="shared" si="7"/>
        <v>160.99999999999949</v>
      </c>
      <c r="K198" s="13">
        <v>59.223300970873801</v>
      </c>
      <c r="L198" s="11" t="s">
        <v>14</v>
      </c>
      <c r="M198" s="26"/>
    </row>
    <row r="199" spans="1:13" x14ac:dyDescent="0.25">
      <c r="A199" s="6">
        <v>9.0379456057318304E+16</v>
      </c>
      <c r="B199" s="30" t="s">
        <v>84</v>
      </c>
      <c r="C199" s="32" t="str">
        <f t="shared" si="6"/>
        <v>Nov</v>
      </c>
      <c r="D199" s="11" t="s">
        <v>16</v>
      </c>
      <c r="E199" s="13">
        <v>271123</v>
      </c>
      <c r="F199" s="13">
        <v>7117</v>
      </c>
      <c r="G199" s="13">
        <v>3</v>
      </c>
      <c r="H199" s="13">
        <v>139.80582524271799</v>
      </c>
      <c r="I199" s="13">
        <v>4.4854368932038797</v>
      </c>
      <c r="J199" s="13">
        <f t="shared" si="7"/>
        <v>144.29126213592187</v>
      </c>
      <c r="K199" s="13">
        <v>49.514563106796103</v>
      </c>
      <c r="L199" s="11" t="s">
        <v>10</v>
      </c>
      <c r="M199" s="26"/>
    </row>
    <row r="200" spans="1:13" x14ac:dyDescent="0.25">
      <c r="A200" s="6">
        <v>8.67824349182572E+16</v>
      </c>
      <c r="B200" s="30" t="s">
        <v>90</v>
      </c>
      <c r="C200" s="32" t="str">
        <f t="shared" si="6"/>
        <v>Nov</v>
      </c>
      <c r="D200" s="11" t="s">
        <v>21</v>
      </c>
      <c r="E200" s="13">
        <v>247129</v>
      </c>
      <c r="F200" s="13">
        <v>7117</v>
      </c>
      <c r="G200" s="13">
        <v>3</v>
      </c>
      <c r="H200" s="13">
        <v>150.485436893203</v>
      </c>
      <c r="I200" s="13">
        <v>4.8058252427184502</v>
      </c>
      <c r="J200" s="13">
        <f t="shared" si="7"/>
        <v>155.29126213592144</v>
      </c>
      <c r="K200" s="13">
        <v>49.514563106796103</v>
      </c>
      <c r="L200" s="11" t="s">
        <v>10</v>
      </c>
      <c r="M200" s="26"/>
    </row>
    <row r="201" spans="1:13" x14ac:dyDescent="0.25">
      <c r="A201" s="6">
        <v>8.9070827820690304E+16</v>
      </c>
      <c r="B201" s="30" t="s">
        <v>78</v>
      </c>
      <c r="C201" s="32" t="str">
        <f t="shared" si="6"/>
        <v>Nov</v>
      </c>
      <c r="D201" s="11" t="s">
        <v>16</v>
      </c>
      <c r="E201" s="13">
        <v>211003</v>
      </c>
      <c r="F201" s="13">
        <v>340600</v>
      </c>
      <c r="G201" s="13">
        <v>12</v>
      </c>
      <c r="H201" s="13">
        <v>152.67857142857099</v>
      </c>
      <c r="I201" s="13">
        <v>19.607142857142801</v>
      </c>
      <c r="J201" s="13">
        <f t="shared" si="7"/>
        <v>172.28571428571379</v>
      </c>
      <c r="K201" s="13">
        <v>56.25</v>
      </c>
      <c r="L201" s="11" t="s">
        <v>10</v>
      </c>
      <c r="M201" s="26"/>
    </row>
    <row r="202" spans="1:13" x14ac:dyDescent="0.25">
      <c r="A202" s="6">
        <v>9.0798776956781408E+16</v>
      </c>
      <c r="B202" s="30" t="s">
        <v>74</v>
      </c>
      <c r="C202" s="32" t="str">
        <f t="shared" si="6"/>
        <v>Nov</v>
      </c>
      <c r="D202" s="11" t="s">
        <v>16</v>
      </c>
      <c r="E202" s="13">
        <v>176092</v>
      </c>
      <c r="F202" s="13">
        <v>7117</v>
      </c>
      <c r="G202" s="13">
        <v>3</v>
      </c>
      <c r="H202" s="13">
        <v>148.54368932038801</v>
      </c>
      <c r="I202" s="13">
        <v>4.7475728155339798</v>
      </c>
      <c r="J202" s="13">
        <f t="shared" si="7"/>
        <v>153.29126213592198</v>
      </c>
      <c r="K202" s="13">
        <v>48.543689320388303</v>
      </c>
      <c r="L202" s="11" t="s">
        <v>44</v>
      </c>
      <c r="M202" s="26"/>
    </row>
    <row r="203" spans="1:13" x14ac:dyDescent="0.25">
      <c r="A203" s="6">
        <v>8.68140689097688E+16</v>
      </c>
      <c r="B203" s="30" t="s">
        <v>90</v>
      </c>
      <c r="C203" s="32" t="str">
        <f t="shared" si="6"/>
        <v>Nov</v>
      </c>
      <c r="D203" s="11" t="s">
        <v>16</v>
      </c>
      <c r="E203" s="13">
        <v>457222</v>
      </c>
      <c r="F203" s="13">
        <v>7117</v>
      </c>
      <c r="G203" s="13">
        <v>3</v>
      </c>
      <c r="H203" s="13">
        <v>160.19417475728099</v>
      </c>
      <c r="I203" s="13">
        <v>4.8058252427184502</v>
      </c>
      <c r="J203" s="13">
        <f t="shared" si="7"/>
        <v>164.99999999999943</v>
      </c>
      <c r="K203" s="13">
        <v>59.223300970873801</v>
      </c>
      <c r="L203" s="11" t="s">
        <v>26</v>
      </c>
      <c r="M203" s="26"/>
    </row>
    <row r="204" spans="1:13" x14ac:dyDescent="0.25">
      <c r="A204" s="6">
        <v>9.1550182575735808E+16</v>
      </c>
      <c r="B204" s="30" t="s">
        <v>92</v>
      </c>
      <c r="C204" s="32" t="str">
        <f t="shared" si="6"/>
        <v>Nov</v>
      </c>
      <c r="D204" s="11" t="s">
        <v>71</v>
      </c>
      <c r="E204" s="13">
        <v>223226</v>
      </c>
      <c r="F204" s="13">
        <v>7117</v>
      </c>
      <c r="G204" s="13">
        <v>3</v>
      </c>
      <c r="H204" s="13">
        <v>125.242718446601</v>
      </c>
      <c r="I204" s="13">
        <v>4.5145631067961203</v>
      </c>
      <c r="J204" s="13">
        <f t="shared" si="7"/>
        <v>129.75728155339712</v>
      </c>
      <c r="K204" s="13">
        <v>33.009708737864102</v>
      </c>
      <c r="L204" s="11" t="s">
        <v>10</v>
      </c>
      <c r="M204" s="26"/>
    </row>
    <row r="205" spans="1:13" x14ac:dyDescent="0.25">
      <c r="A205" s="6">
        <v>8.68401359680636E+16</v>
      </c>
      <c r="B205" s="30" t="s">
        <v>90</v>
      </c>
      <c r="C205" s="32" t="str">
        <f t="shared" si="6"/>
        <v>Nov</v>
      </c>
      <c r="D205" s="11" t="s">
        <v>16</v>
      </c>
      <c r="E205" s="13">
        <v>400066</v>
      </c>
      <c r="F205" s="13">
        <v>340600</v>
      </c>
      <c r="G205" s="13">
        <v>12</v>
      </c>
      <c r="H205" s="13">
        <v>138.392857142857</v>
      </c>
      <c r="I205" s="13">
        <v>18.535714285714199</v>
      </c>
      <c r="J205" s="13">
        <f t="shared" si="7"/>
        <v>156.92857142857119</v>
      </c>
      <c r="K205" s="13">
        <v>50.892857142857103</v>
      </c>
      <c r="L205" s="11" t="s">
        <v>41</v>
      </c>
      <c r="M205" s="26"/>
    </row>
    <row r="206" spans="1:13" x14ac:dyDescent="0.25">
      <c r="A206" s="6">
        <v>8.7903642174288704E+16</v>
      </c>
      <c r="B206" s="30" t="s">
        <v>76</v>
      </c>
      <c r="C206" s="32" t="str">
        <f t="shared" si="6"/>
        <v>Nov</v>
      </c>
      <c r="D206" s="11" t="s">
        <v>16</v>
      </c>
      <c r="E206" s="13">
        <v>800016</v>
      </c>
      <c r="F206" s="13">
        <v>340600</v>
      </c>
      <c r="G206" s="13">
        <v>12</v>
      </c>
      <c r="H206" s="13">
        <v>159.82142857142799</v>
      </c>
      <c r="I206" s="13">
        <v>21.857142857142801</v>
      </c>
      <c r="J206" s="13">
        <f t="shared" si="7"/>
        <v>181.67857142857079</v>
      </c>
      <c r="K206" s="13">
        <v>47.321428571428598</v>
      </c>
      <c r="L206" s="11" t="s">
        <v>22</v>
      </c>
      <c r="M206" s="26"/>
    </row>
    <row r="207" spans="1:13" x14ac:dyDescent="0.25">
      <c r="A207" s="6">
        <v>8.6900428800979696E+16</v>
      </c>
      <c r="B207" s="30" t="s">
        <v>83</v>
      </c>
      <c r="C207" s="32" t="str">
        <f t="shared" si="6"/>
        <v>Nov</v>
      </c>
      <c r="D207" s="11" t="s">
        <v>71</v>
      </c>
      <c r="E207" s="13">
        <v>560087</v>
      </c>
      <c r="F207" s="13">
        <v>340600</v>
      </c>
      <c r="G207" s="13">
        <v>12</v>
      </c>
      <c r="H207" s="13">
        <v>147.32142857142799</v>
      </c>
      <c r="I207" s="13">
        <v>19.607142857142801</v>
      </c>
      <c r="J207" s="13">
        <f t="shared" si="7"/>
        <v>166.92857142857079</v>
      </c>
      <c r="K207" s="13">
        <v>50.892857142857103</v>
      </c>
      <c r="L207" s="11" t="s">
        <v>19</v>
      </c>
      <c r="M207" s="26"/>
    </row>
    <row r="208" spans="1:13" x14ac:dyDescent="0.25">
      <c r="A208" s="6">
        <v>9.31567826211016E+16</v>
      </c>
      <c r="B208" s="30" t="s">
        <v>93</v>
      </c>
      <c r="C208" s="32" t="str">
        <f t="shared" si="6"/>
        <v>Nov</v>
      </c>
      <c r="D208" s="11" t="s">
        <v>9</v>
      </c>
      <c r="E208" s="13">
        <v>400066</v>
      </c>
      <c r="F208" s="13">
        <v>7117</v>
      </c>
      <c r="G208" s="13">
        <v>3</v>
      </c>
      <c r="H208" s="13">
        <v>169.90291262135901</v>
      </c>
      <c r="I208" s="13">
        <v>5.0970873786407802</v>
      </c>
      <c r="J208" s="13">
        <f t="shared" si="7"/>
        <v>174.9999999999998</v>
      </c>
      <c r="K208" s="13">
        <v>58.252427184466001</v>
      </c>
      <c r="L208" s="11" t="s">
        <v>41</v>
      </c>
      <c r="M208" s="26"/>
    </row>
    <row r="209" spans="1:13" x14ac:dyDescent="0.25">
      <c r="A209" s="6">
        <v>8.93590429939468E+16</v>
      </c>
      <c r="B209" s="30" t="s">
        <v>78</v>
      </c>
      <c r="C209" s="32" t="str">
        <f t="shared" si="6"/>
        <v>Nov</v>
      </c>
      <c r="D209" s="11" t="s">
        <v>21</v>
      </c>
      <c r="E209" s="13">
        <v>585104</v>
      </c>
      <c r="F209" s="13">
        <v>340600</v>
      </c>
      <c r="G209" s="13">
        <v>12</v>
      </c>
      <c r="H209" s="13">
        <v>179.46428571428501</v>
      </c>
      <c r="I209" s="13">
        <v>21.535714285714199</v>
      </c>
      <c r="J209" s="13">
        <f t="shared" si="7"/>
        <v>200.9999999999992</v>
      </c>
      <c r="K209" s="13">
        <v>66.964285714285694</v>
      </c>
      <c r="L209" s="11" t="s">
        <v>19</v>
      </c>
      <c r="M209" s="26"/>
    </row>
    <row r="210" spans="1:13" x14ac:dyDescent="0.25">
      <c r="A210" s="6">
        <v>9.0501349646148896E+16</v>
      </c>
      <c r="B210" s="30" t="s">
        <v>84</v>
      </c>
      <c r="C210" s="32" t="str">
        <f t="shared" si="6"/>
        <v>Nov</v>
      </c>
      <c r="D210" s="11" t="s">
        <v>16</v>
      </c>
      <c r="E210" s="13">
        <v>400053</v>
      </c>
      <c r="F210" s="13">
        <v>7117</v>
      </c>
      <c r="G210" s="13">
        <v>3</v>
      </c>
      <c r="H210" s="13">
        <v>142.718446601941</v>
      </c>
      <c r="I210" s="13">
        <v>4.8058252427184502</v>
      </c>
      <c r="J210" s="13">
        <f t="shared" si="7"/>
        <v>147.52427184465944</v>
      </c>
      <c r="K210" s="13">
        <v>41.747572815533999</v>
      </c>
      <c r="L210" s="11" t="s">
        <v>41</v>
      </c>
      <c r="M210" s="26"/>
    </row>
    <row r="211" spans="1:13" x14ac:dyDescent="0.25">
      <c r="A211" s="6">
        <v>8.6169067086026E+16</v>
      </c>
      <c r="B211" s="30" t="s">
        <v>94</v>
      </c>
      <c r="C211" s="32" t="str">
        <f t="shared" si="6"/>
        <v>Nov</v>
      </c>
      <c r="D211" s="11" t="s">
        <v>16</v>
      </c>
      <c r="E211" s="13">
        <v>781026</v>
      </c>
      <c r="F211" s="13">
        <v>340600</v>
      </c>
      <c r="G211" s="13">
        <v>12</v>
      </c>
      <c r="H211" s="13">
        <v>162.5</v>
      </c>
      <c r="I211" s="13">
        <v>23.25</v>
      </c>
      <c r="J211" s="13">
        <f t="shared" si="7"/>
        <v>185.75</v>
      </c>
      <c r="K211" s="13">
        <v>66.071428571428598</v>
      </c>
      <c r="L211" s="11" t="s">
        <v>35</v>
      </c>
      <c r="M211" s="26"/>
    </row>
    <row r="212" spans="1:13" x14ac:dyDescent="0.25">
      <c r="A212" s="6">
        <v>9.0497972085490592E+16</v>
      </c>
      <c r="B212" s="30" t="s">
        <v>84</v>
      </c>
      <c r="C212" s="32" t="str">
        <f t="shared" si="6"/>
        <v>Nov</v>
      </c>
      <c r="D212" s="11" t="s">
        <v>21</v>
      </c>
      <c r="E212" s="13">
        <v>110030</v>
      </c>
      <c r="F212" s="13">
        <v>7117</v>
      </c>
      <c r="G212" s="13">
        <v>3</v>
      </c>
      <c r="H212" s="13">
        <v>150.485436893203</v>
      </c>
      <c r="I212" s="13">
        <v>4.8058252427184502</v>
      </c>
      <c r="J212" s="13">
        <f t="shared" si="7"/>
        <v>155.29126213592144</v>
      </c>
      <c r="K212" s="13">
        <v>49.514563106796103</v>
      </c>
      <c r="L212" s="11" t="s">
        <v>28</v>
      </c>
      <c r="M212" s="26"/>
    </row>
    <row r="213" spans="1:13" x14ac:dyDescent="0.25">
      <c r="A213" s="6">
        <v>9.14697843235952E+16</v>
      </c>
      <c r="B213" s="30" t="s">
        <v>92</v>
      </c>
      <c r="C213" s="32" t="str">
        <f t="shared" si="6"/>
        <v>Nov</v>
      </c>
      <c r="D213" s="11" t="s">
        <v>16</v>
      </c>
      <c r="E213" s="13">
        <v>274702</v>
      </c>
      <c r="F213" s="13">
        <v>7117</v>
      </c>
      <c r="G213" s="13">
        <v>3</v>
      </c>
      <c r="H213" s="13">
        <v>150.485436893203</v>
      </c>
      <c r="I213" s="13">
        <v>4.8058252427184502</v>
      </c>
      <c r="J213" s="13">
        <f t="shared" si="7"/>
        <v>155.29126213592144</v>
      </c>
      <c r="K213" s="13">
        <v>49.514563106796103</v>
      </c>
      <c r="L213" s="11" t="s">
        <v>10</v>
      </c>
      <c r="M213" s="26"/>
    </row>
    <row r="214" spans="1:13" x14ac:dyDescent="0.25">
      <c r="A214" s="6">
        <v>8.6706459009807104E+16</v>
      </c>
      <c r="B214" s="30" t="s">
        <v>90</v>
      </c>
      <c r="C214" s="32" t="str">
        <f t="shared" si="6"/>
        <v>Nov</v>
      </c>
      <c r="D214" s="11" t="s">
        <v>25</v>
      </c>
      <c r="E214" s="13">
        <v>160101</v>
      </c>
      <c r="F214" s="13">
        <v>7117</v>
      </c>
      <c r="G214" s="13">
        <v>3</v>
      </c>
      <c r="H214" s="13">
        <v>130.09708737864</v>
      </c>
      <c r="I214" s="13">
        <v>4.1941747572815498</v>
      </c>
      <c r="J214" s="13">
        <f t="shared" si="7"/>
        <v>134.29126213592156</v>
      </c>
      <c r="K214" s="13">
        <v>58.252427184466001</v>
      </c>
      <c r="L214" s="11" t="s">
        <v>85</v>
      </c>
      <c r="M214" s="26"/>
    </row>
    <row r="215" spans="1:13" x14ac:dyDescent="0.25">
      <c r="A215" s="6">
        <v>8.4353848744837296E+16</v>
      </c>
      <c r="B215" s="30" t="s">
        <v>88</v>
      </c>
      <c r="C215" s="32" t="str">
        <f t="shared" si="6"/>
        <v>Nov</v>
      </c>
      <c r="D215" s="11" t="s">
        <v>21</v>
      </c>
      <c r="E215" s="13">
        <v>302025</v>
      </c>
      <c r="F215" s="13">
        <v>711790</v>
      </c>
      <c r="G215" s="13">
        <v>3</v>
      </c>
      <c r="H215" s="13">
        <v>100.970873786407</v>
      </c>
      <c r="I215" s="13">
        <v>3.7281553398058298</v>
      </c>
      <c r="J215" s="13">
        <f t="shared" si="7"/>
        <v>104.69902912621282</v>
      </c>
      <c r="K215" s="13">
        <v>35.922330097087404</v>
      </c>
      <c r="L215" s="11" t="s">
        <v>46</v>
      </c>
      <c r="M215" s="26"/>
    </row>
    <row r="216" spans="1:13" x14ac:dyDescent="0.25">
      <c r="A216" s="6">
        <v>8.67601143142744E+16</v>
      </c>
      <c r="B216" s="30" t="s">
        <v>90</v>
      </c>
      <c r="C216" s="32" t="str">
        <f t="shared" si="6"/>
        <v>Nov</v>
      </c>
      <c r="D216" s="11" t="s">
        <v>16</v>
      </c>
      <c r="E216" s="13">
        <v>841402</v>
      </c>
      <c r="F216" s="13">
        <v>7117</v>
      </c>
      <c r="G216" s="13">
        <v>3</v>
      </c>
      <c r="H216" s="13">
        <v>155.339805825242</v>
      </c>
      <c r="I216" s="13">
        <v>4.7475728155339798</v>
      </c>
      <c r="J216" s="13">
        <f t="shared" si="7"/>
        <v>160.08737864077597</v>
      </c>
      <c r="K216" s="13">
        <v>55.339805825242699</v>
      </c>
      <c r="L216" s="11" t="s">
        <v>22</v>
      </c>
      <c r="M216" s="26"/>
    </row>
    <row r="217" spans="1:13" x14ac:dyDescent="0.25">
      <c r="A217" s="6">
        <v>8.9634719507084E+16</v>
      </c>
      <c r="B217" s="30" t="s">
        <v>77</v>
      </c>
      <c r="C217" s="32" t="str">
        <f t="shared" si="6"/>
        <v>Nov</v>
      </c>
      <c r="D217" s="11" t="s">
        <v>16</v>
      </c>
      <c r="E217" s="13">
        <v>562123</v>
      </c>
      <c r="F217" s="13">
        <v>7117</v>
      </c>
      <c r="G217" s="13">
        <v>3</v>
      </c>
      <c r="H217" s="13">
        <v>86.407766990291293</v>
      </c>
      <c r="I217" s="13">
        <v>3.1456310679611699</v>
      </c>
      <c r="J217" s="13">
        <f t="shared" si="7"/>
        <v>89.553398058252469</v>
      </c>
      <c r="K217" s="13">
        <v>41.747572815533999</v>
      </c>
      <c r="L217" s="11" t="s">
        <v>19</v>
      </c>
      <c r="M217" s="26"/>
    </row>
    <row r="218" spans="1:13" x14ac:dyDescent="0.25">
      <c r="A218" s="6">
        <v>8.56282243914904E+16</v>
      </c>
      <c r="B218" s="30" t="s">
        <v>87</v>
      </c>
      <c r="C218" s="32" t="str">
        <f t="shared" si="6"/>
        <v>Nov</v>
      </c>
      <c r="D218" s="11" t="s">
        <v>16</v>
      </c>
      <c r="E218" s="13">
        <v>121008</v>
      </c>
      <c r="F218" s="13">
        <v>340600</v>
      </c>
      <c r="G218" s="13">
        <v>12</v>
      </c>
      <c r="H218" s="13">
        <v>135.71428571428501</v>
      </c>
      <c r="I218" s="13">
        <v>19.071428571428498</v>
      </c>
      <c r="J218" s="13">
        <f t="shared" si="7"/>
        <v>154.78571428571351</v>
      </c>
      <c r="K218" s="13">
        <v>43.75</v>
      </c>
      <c r="L218" s="11" t="s">
        <v>63</v>
      </c>
      <c r="M218" s="26"/>
    </row>
    <row r="219" spans="1:13" x14ac:dyDescent="0.25">
      <c r="A219" s="6">
        <v>9.3613313297937296E+16</v>
      </c>
      <c r="B219" s="30" t="s">
        <v>86</v>
      </c>
      <c r="C219" s="32" t="str">
        <f t="shared" si="6"/>
        <v>Nov</v>
      </c>
      <c r="D219" s="11" t="s">
        <v>16</v>
      </c>
      <c r="E219" s="13">
        <v>474010</v>
      </c>
      <c r="F219" s="13">
        <v>7117</v>
      </c>
      <c r="G219" s="13">
        <v>3</v>
      </c>
      <c r="H219" s="13">
        <v>162.135922330097</v>
      </c>
      <c r="I219" s="13">
        <v>4.86407766990291</v>
      </c>
      <c r="J219" s="13">
        <f t="shared" si="7"/>
        <v>166.99999999999991</v>
      </c>
      <c r="K219" s="13">
        <v>59.223300970873801</v>
      </c>
      <c r="L219" s="11" t="s">
        <v>26</v>
      </c>
      <c r="M219" s="26"/>
    </row>
    <row r="220" spans="1:13" x14ac:dyDescent="0.25">
      <c r="A220" s="6">
        <v>8.9437710890008704E+16</v>
      </c>
      <c r="B220" s="30" t="s">
        <v>77</v>
      </c>
      <c r="C220" s="32" t="str">
        <f t="shared" si="6"/>
        <v>Nov</v>
      </c>
      <c r="D220" s="11" t="s">
        <v>25</v>
      </c>
      <c r="E220" s="13">
        <v>402103</v>
      </c>
      <c r="F220" s="13">
        <v>7117</v>
      </c>
      <c r="G220" s="13">
        <v>3</v>
      </c>
      <c r="H220" s="13">
        <v>158.252427184466</v>
      </c>
      <c r="I220" s="13">
        <v>4.7475728155339798</v>
      </c>
      <c r="J220" s="13">
        <f t="shared" si="7"/>
        <v>162.99999999999997</v>
      </c>
      <c r="K220" s="13">
        <v>58.252427184466001</v>
      </c>
      <c r="L220" s="11" t="s">
        <v>41</v>
      </c>
      <c r="M220" s="26"/>
    </row>
    <row r="221" spans="1:13" x14ac:dyDescent="0.25">
      <c r="A221" s="6">
        <v>9.2908734242393696E+16</v>
      </c>
      <c r="B221" s="30" t="s">
        <v>95</v>
      </c>
      <c r="C221" s="32" t="str">
        <f t="shared" si="6"/>
        <v>Nov</v>
      </c>
      <c r="D221" s="11" t="s">
        <v>16</v>
      </c>
      <c r="E221" s="13">
        <v>575007</v>
      </c>
      <c r="F221" s="13">
        <v>7117</v>
      </c>
      <c r="G221" s="13">
        <v>3</v>
      </c>
      <c r="H221" s="13">
        <v>142.718446601941</v>
      </c>
      <c r="I221" s="13">
        <v>4.8058252427184502</v>
      </c>
      <c r="J221" s="13">
        <f t="shared" si="7"/>
        <v>147.52427184465944</v>
      </c>
      <c r="K221" s="13">
        <v>39.805825242718498</v>
      </c>
      <c r="L221" s="11" t="s">
        <v>19</v>
      </c>
      <c r="M221" s="26"/>
    </row>
    <row r="222" spans="1:13" x14ac:dyDescent="0.25">
      <c r="A222" s="6">
        <v>8.5182286928794208E+16</v>
      </c>
      <c r="B222" s="30" t="s">
        <v>96</v>
      </c>
      <c r="C222" s="32" t="str">
        <f t="shared" si="6"/>
        <v>Nov</v>
      </c>
      <c r="D222" s="11" t="s">
        <v>21</v>
      </c>
      <c r="E222" s="13">
        <v>844112</v>
      </c>
      <c r="F222" s="13">
        <v>7117</v>
      </c>
      <c r="G222" s="13">
        <v>3</v>
      </c>
      <c r="H222" s="13">
        <v>174.757281553398</v>
      </c>
      <c r="I222" s="13">
        <v>5.2427184466019403</v>
      </c>
      <c r="J222" s="13">
        <f t="shared" si="7"/>
        <v>179.99999999999994</v>
      </c>
      <c r="K222" s="13">
        <v>59.223300970873801</v>
      </c>
      <c r="L222" s="11" t="s">
        <v>22</v>
      </c>
      <c r="M222" s="26"/>
    </row>
    <row r="223" spans="1:13" x14ac:dyDescent="0.25">
      <c r="A223" s="6">
        <v>8.3985322282775296E+16</v>
      </c>
      <c r="B223" s="30" t="s">
        <v>38</v>
      </c>
      <c r="C223" s="32" t="str">
        <f t="shared" si="6"/>
        <v>Nov</v>
      </c>
      <c r="D223" s="11" t="s">
        <v>25</v>
      </c>
      <c r="E223" s="13">
        <v>402103</v>
      </c>
      <c r="F223" s="13">
        <v>7117</v>
      </c>
      <c r="G223" s="13">
        <v>3</v>
      </c>
      <c r="H223" s="13">
        <v>158.252427184466</v>
      </c>
      <c r="I223" s="13">
        <v>4.7475728155339798</v>
      </c>
      <c r="J223" s="13">
        <f t="shared" si="7"/>
        <v>162.99999999999997</v>
      </c>
      <c r="K223" s="13">
        <v>58.252427184466001</v>
      </c>
      <c r="L223" s="11" t="s">
        <v>41</v>
      </c>
      <c r="M223" s="26"/>
    </row>
    <row r="224" spans="1:13" x14ac:dyDescent="0.25">
      <c r="A224" s="6">
        <v>8.3770626091504192E+16</v>
      </c>
      <c r="B224" s="30" t="s">
        <v>38</v>
      </c>
      <c r="C224" s="32" t="str">
        <f t="shared" si="6"/>
        <v>Nov</v>
      </c>
      <c r="D224" s="11" t="s">
        <v>16</v>
      </c>
      <c r="E224" s="13">
        <v>560032</v>
      </c>
      <c r="F224" s="13">
        <v>7117</v>
      </c>
      <c r="G224" s="13">
        <v>3</v>
      </c>
      <c r="H224" s="13">
        <v>160.19417475728099</v>
      </c>
      <c r="I224" s="13">
        <v>4.8058252427184502</v>
      </c>
      <c r="J224" s="13">
        <f t="shared" si="7"/>
        <v>164.99999999999943</v>
      </c>
      <c r="K224" s="13">
        <v>59.223300970873801</v>
      </c>
      <c r="L224" s="11" t="s">
        <v>19</v>
      </c>
      <c r="M224" s="26"/>
    </row>
    <row r="225" spans="1:13" x14ac:dyDescent="0.25">
      <c r="A225" s="6">
        <v>8.5718399732929104E+16</v>
      </c>
      <c r="B225" s="30" t="s">
        <v>87</v>
      </c>
      <c r="C225" s="32" t="str">
        <f t="shared" si="6"/>
        <v>Nov</v>
      </c>
      <c r="D225" s="11" t="s">
        <v>16</v>
      </c>
      <c r="E225" s="13">
        <v>560037</v>
      </c>
      <c r="F225" s="13">
        <v>340600</v>
      </c>
      <c r="G225" s="13">
        <v>12</v>
      </c>
      <c r="H225" s="13">
        <v>156.25</v>
      </c>
      <c r="I225" s="13">
        <v>20.678571428571399</v>
      </c>
      <c r="J225" s="13">
        <f t="shared" si="7"/>
        <v>176.92857142857139</v>
      </c>
      <c r="K225" s="13">
        <v>50.892857142857103</v>
      </c>
      <c r="L225" s="11" t="s">
        <v>19</v>
      </c>
      <c r="M225" s="26"/>
    </row>
    <row r="226" spans="1:13" x14ac:dyDescent="0.25">
      <c r="A226" s="6">
        <v>8.6334952477524096E+16</v>
      </c>
      <c r="B226" s="30" t="s">
        <v>94</v>
      </c>
      <c r="C226" s="32" t="str">
        <f t="shared" si="6"/>
        <v>Nov</v>
      </c>
      <c r="D226" s="11" t="s">
        <v>16</v>
      </c>
      <c r="E226" s="13">
        <v>151204</v>
      </c>
      <c r="F226" s="13">
        <v>7117</v>
      </c>
      <c r="G226" s="13">
        <v>3</v>
      </c>
      <c r="H226" s="13">
        <v>165.04854368932001</v>
      </c>
      <c r="I226" s="13">
        <v>5.2427184466019403</v>
      </c>
      <c r="J226" s="13">
        <f t="shared" si="7"/>
        <v>170.29126213592195</v>
      </c>
      <c r="K226" s="13">
        <v>49.514563106796103</v>
      </c>
      <c r="L226" s="11" t="s">
        <v>17</v>
      </c>
      <c r="M226" s="26"/>
    </row>
    <row r="227" spans="1:13" x14ac:dyDescent="0.25">
      <c r="A227" s="6">
        <v>9.3757092235523008E+16</v>
      </c>
      <c r="B227" s="30" t="s">
        <v>86</v>
      </c>
      <c r="C227" s="32" t="str">
        <f t="shared" si="6"/>
        <v>Nov</v>
      </c>
      <c r="D227" s="11" t="s">
        <v>9</v>
      </c>
      <c r="E227" s="13">
        <v>227806</v>
      </c>
      <c r="F227" s="13">
        <v>7117</v>
      </c>
      <c r="G227" s="13">
        <v>3</v>
      </c>
      <c r="H227" s="13">
        <v>153.39805825242701</v>
      </c>
      <c r="I227" s="13">
        <v>5.1262135922330101</v>
      </c>
      <c r="J227" s="13">
        <f t="shared" si="7"/>
        <v>158.52427184466001</v>
      </c>
      <c r="K227" s="13">
        <v>41.747572815533999</v>
      </c>
      <c r="L227" s="11" t="s">
        <v>10</v>
      </c>
      <c r="M227" s="26"/>
    </row>
    <row r="228" spans="1:13" x14ac:dyDescent="0.25">
      <c r="A228" s="6">
        <v>9.1507482656644E+16</v>
      </c>
      <c r="B228" s="30" t="s">
        <v>92</v>
      </c>
      <c r="C228" s="32" t="str">
        <f t="shared" si="6"/>
        <v>Nov</v>
      </c>
      <c r="D228" s="11" t="s">
        <v>16</v>
      </c>
      <c r="E228" s="13">
        <v>396424</v>
      </c>
      <c r="F228" s="13">
        <v>7117</v>
      </c>
      <c r="G228" s="13">
        <v>3</v>
      </c>
      <c r="H228" s="13">
        <v>167.96116504854299</v>
      </c>
      <c r="I228" s="13">
        <v>5.0388349514563098</v>
      </c>
      <c r="J228" s="13">
        <f t="shared" si="7"/>
        <v>172.99999999999932</v>
      </c>
      <c r="K228" s="13">
        <v>59.223300970873801</v>
      </c>
      <c r="L228" s="11" t="s">
        <v>12</v>
      </c>
      <c r="M228" s="26"/>
    </row>
    <row r="229" spans="1:13" x14ac:dyDescent="0.25">
      <c r="A229" s="6">
        <v>8.6698852085855008E+16</v>
      </c>
      <c r="B229" s="30" t="s">
        <v>90</v>
      </c>
      <c r="C229" s="32" t="str">
        <f t="shared" si="6"/>
        <v>Nov</v>
      </c>
      <c r="D229" s="11" t="s">
        <v>25</v>
      </c>
      <c r="E229" s="13">
        <v>402103</v>
      </c>
      <c r="F229" s="13">
        <v>7117</v>
      </c>
      <c r="G229" s="13">
        <v>3</v>
      </c>
      <c r="H229" s="13">
        <v>158.252427184466</v>
      </c>
      <c r="I229" s="13">
        <v>4.7475728155339798</v>
      </c>
      <c r="J229" s="13">
        <f t="shared" si="7"/>
        <v>162.99999999999997</v>
      </c>
      <c r="K229" s="13">
        <v>58.252427184466001</v>
      </c>
      <c r="L229" s="11" t="s">
        <v>41</v>
      </c>
      <c r="M229" s="26"/>
    </row>
    <row r="230" spans="1:13" x14ac:dyDescent="0.25">
      <c r="A230" s="6">
        <v>9.4090755095606208E+16</v>
      </c>
      <c r="B230" s="30" t="s">
        <v>81</v>
      </c>
      <c r="C230" s="32" t="str">
        <f t="shared" si="6"/>
        <v>Nov</v>
      </c>
      <c r="D230" s="11" t="s">
        <v>25</v>
      </c>
      <c r="E230" s="13">
        <v>829117</v>
      </c>
      <c r="F230" s="13">
        <v>7117</v>
      </c>
      <c r="G230" s="13">
        <v>3</v>
      </c>
      <c r="H230" s="13">
        <v>161.16504854368901</v>
      </c>
      <c r="I230" s="13">
        <v>4.8349514563106801</v>
      </c>
      <c r="J230" s="13">
        <f t="shared" si="7"/>
        <v>165.99999999999969</v>
      </c>
      <c r="K230" s="13">
        <v>58.252427184466001</v>
      </c>
      <c r="L230" s="11" t="s">
        <v>37</v>
      </c>
      <c r="M230" s="26"/>
    </row>
    <row r="231" spans="1:13" x14ac:dyDescent="0.25">
      <c r="A231" s="6">
        <v>8.9126041554660192E+16</v>
      </c>
      <c r="B231" s="30" t="s">
        <v>78</v>
      </c>
      <c r="C231" s="32" t="str">
        <f t="shared" si="6"/>
        <v>Nov</v>
      </c>
      <c r="D231" s="11" t="s">
        <v>52</v>
      </c>
      <c r="E231" s="13">
        <v>221010</v>
      </c>
      <c r="F231" s="13">
        <v>7117</v>
      </c>
      <c r="G231" s="13">
        <v>3</v>
      </c>
      <c r="H231" s="13">
        <v>150.485436893203</v>
      </c>
      <c r="I231" s="13">
        <v>4.8058252427184502</v>
      </c>
      <c r="J231" s="13">
        <f t="shared" si="7"/>
        <v>155.29126213592144</v>
      </c>
      <c r="K231" s="13">
        <v>49.514563106796103</v>
      </c>
      <c r="L231" s="11" t="s">
        <v>10</v>
      </c>
      <c r="M231" s="26"/>
    </row>
    <row r="232" spans="1:13" x14ac:dyDescent="0.25">
      <c r="A232" s="6">
        <v>8.6756588597679392E+16</v>
      </c>
      <c r="B232" s="30" t="s">
        <v>90</v>
      </c>
      <c r="C232" s="32" t="str">
        <f t="shared" si="6"/>
        <v>Nov</v>
      </c>
      <c r="D232" s="11" t="s">
        <v>25</v>
      </c>
      <c r="E232" s="13">
        <v>431203</v>
      </c>
      <c r="F232" s="13">
        <v>7117</v>
      </c>
      <c r="G232" s="13">
        <v>3</v>
      </c>
      <c r="H232" s="13">
        <v>158.252427184466</v>
      </c>
      <c r="I232" s="13">
        <v>4.7475728155339798</v>
      </c>
      <c r="J232" s="13">
        <f t="shared" si="7"/>
        <v>162.99999999999997</v>
      </c>
      <c r="K232" s="13">
        <v>58.252427184466001</v>
      </c>
      <c r="L232" s="11" t="s">
        <v>41</v>
      </c>
      <c r="M232" s="26"/>
    </row>
    <row r="233" spans="1:13" x14ac:dyDescent="0.25">
      <c r="A233" s="6">
        <v>8.50164898246048E+16</v>
      </c>
      <c r="B233" s="30" t="s">
        <v>89</v>
      </c>
      <c r="C233" s="32" t="str">
        <f t="shared" si="6"/>
        <v>Nov</v>
      </c>
      <c r="D233" s="11" t="s">
        <v>16</v>
      </c>
      <c r="E233" s="13">
        <v>110091</v>
      </c>
      <c r="F233" s="13">
        <v>7117</v>
      </c>
      <c r="G233" s="13">
        <v>3</v>
      </c>
      <c r="H233" s="13">
        <v>128.15533980582501</v>
      </c>
      <c r="I233" s="13">
        <v>4.13592233009709</v>
      </c>
      <c r="J233" s="13">
        <f t="shared" si="7"/>
        <v>132.2912621359221</v>
      </c>
      <c r="K233" s="13">
        <v>49.514563106796103</v>
      </c>
      <c r="L233" s="11" t="s">
        <v>28</v>
      </c>
      <c r="M233" s="26"/>
    </row>
    <row r="234" spans="1:13" x14ac:dyDescent="0.25">
      <c r="A234" s="6">
        <v>9.2781445912654704E+16</v>
      </c>
      <c r="B234" s="30" t="s">
        <v>95</v>
      </c>
      <c r="C234" s="32" t="str">
        <f t="shared" si="6"/>
        <v>Nov</v>
      </c>
      <c r="D234" s="11" t="s">
        <v>21</v>
      </c>
      <c r="E234" s="13">
        <v>221306</v>
      </c>
      <c r="F234" s="13">
        <v>7117</v>
      </c>
      <c r="G234" s="13">
        <v>3</v>
      </c>
      <c r="H234" s="13">
        <v>158.252427184466</v>
      </c>
      <c r="I234" s="13">
        <v>5.0388349514563098</v>
      </c>
      <c r="J234" s="13">
        <f t="shared" si="7"/>
        <v>163.29126213592232</v>
      </c>
      <c r="K234" s="13">
        <v>49.514563106796103</v>
      </c>
      <c r="L234" s="11" t="s">
        <v>10</v>
      </c>
      <c r="M234" s="26"/>
    </row>
    <row r="235" spans="1:13" x14ac:dyDescent="0.25">
      <c r="A235" s="6">
        <v>9.3576035716494208E+16</v>
      </c>
      <c r="B235" s="30" t="s">
        <v>86</v>
      </c>
      <c r="C235" s="32" t="str">
        <f t="shared" si="6"/>
        <v>Nov</v>
      </c>
      <c r="D235" s="11" t="s">
        <v>16</v>
      </c>
      <c r="E235" s="13">
        <v>474010</v>
      </c>
      <c r="F235" s="13">
        <v>7117</v>
      </c>
      <c r="G235" s="13">
        <v>3</v>
      </c>
      <c r="H235" s="13">
        <v>162.135922330097</v>
      </c>
      <c r="I235" s="13">
        <v>4.86407766990291</v>
      </c>
      <c r="J235" s="13">
        <f t="shared" si="7"/>
        <v>166.99999999999991</v>
      </c>
      <c r="K235" s="13">
        <v>59.223300970873801</v>
      </c>
      <c r="L235" s="11" t="s">
        <v>26</v>
      </c>
      <c r="M235" s="26"/>
    </row>
    <row r="236" spans="1:13" x14ac:dyDescent="0.25">
      <c r="A236" s="6">
        <v>8.7473244919698704E+16</v>
      </c>
      <c r="B236" s="30" t="s">
        <v>75</v>
      </c>
      <c r="C236" s="32" t="str">
        <f t="shared" si="6"/>
        <v>Nov</v>
      </c>
      <c r="D236" s="11" t="s">
        <v>25</v>
      </c>
      <c r="E236" s="13">
        <v>587101</v>
      </c>
      <c r="F236" s="13">
        <v>340600</v>
      </c>
      <c r="G236" s="13">
        <v>12</v>
      </c>
      <c r="H236" s="13">
        <v>179.46428571428501</v>
      </c>
      <c r="I236" s="13">
        <v>21.535714285714199</v>
      </c>
      <c r="J236" s="13">
        <f t="shared" si="7"/>
        <v>200.9999999999992</v>
      </c>
      <c r="K236" s="13">
        <v>66.964285714285694</v>
      </c>
      <c r="L236" s="11" t="s">
        <v>19</v>
      </c>
      <c r="M236" s="26"/>
    </row>
    <row r="237" spans="1:13" x14ac:dyDescent="0.25">
      <c r="A237" s="6">
        <v>8.8661904223513408E+16</v>
      </c>
      <c r="B237" s="30" t="s">
        <v>69</v>
      </c>
      <c r="C237" s="32" t="str">
        <f t="shared" si="6"/>
        <v>Nov</v>
      </c>
      <c r="D237" s="11" t="s">
        <v>16</v>
      </c>
      <c r="E237" s="13">
        <v>143109</v>
      </c>
      <c r="F237" s="13">
        <v>340600</v>
      </c>
      <c r="G237" s="13">
        <v>12</v>
      </c>
      <c r="H237" s="13">
        <v>161.60714285714201</v>
      </c>
      <c r="I237" s="13">
        <v>20.357142857142801</v>
      </c>
      <c r="J237" s="13">
        <f t="shared" si="7"/>
        <v>181.96428571428481</v>
      </c>
      <c r="K237" s="13">
        <v>58.928571428571402</v>
      </c>
      <c r="L237" s="11" t="s">
        <v>17</v>
      </c>
      <c r="M237" s="26"/>
    </row>
    <row r="238" spans="1:13" x14ac:dyDescent="0.25">
      <c r="A238" s="6">
        <v>8.4682938328427296E+16</v>
      </c>
      <c r="B238" s="30" t="s">
        <v>88</v>
      </c>
      <c r="C238" s="32" t="str">
        <f t="shared" si="6"/>
        <v>Nov</v>
      </c>
      <c r="D238" s="11" t="s">
        <v>52</v>
      </c>
      <c r="E238" s="13">
        <v>495557</v>
      </c>
      <c r="F238" s="13">
        <v>7117</v>
      </c>
      <c r="G238" s="13">
        <v>3</v>
      </c>
      <c r="H238" s="13">
        <v>240.77669902912601</v>
      </c>
      <c r="I238" s="13">
        <v>8.2718446601941693</v>
      </c>
      <c r="J238" s="13">
        <f t="shared" si="7"/>
        <v>249.04854368932018</v>
      </c>
      <c r="K238" s="13">
        <v>81.553398058252398</v>
      </c>
      <c r="L238" s="11" t="s">
        <v>23</v>
      </c>
      <c r="M238" s="26"/>
    </row>
    <row r="239" spans="1:13" x14ac:dyDescent="0.25">
      <c r="A239" s="6">
        <v>9.2487542268107696E+16</v>
      </c>
      <c r="B239" s="30" t="s">
        <v>80</v>
      </c>
      <c r="C239" s="32" t="str">
        <f t="shared" si="6"/>
        <v>Nov</v>
      </c>
      <c r="D239" s="11" t="s">
        <v>16</v>
      </c>
      <c r="E239" s="13">
        <v>211019</v>
      </c>
      <c r="F239" s="13">
        <v>7117</v>
      </c>
      <c r="G239" s="13">
        <v>3</v>
      </c>
      <c r="H239" s="13">
        <v>160.19417475728099</v>
      </c>
      <c r="I239" s="13">
        <v>5.0970873786407802</v>
      </c>
      <c r="J239" s="13">
        <f t="shared" si="7"/>
        <v>165.29126213592178</v>
      </c>
      <c r="K239" s="13">
        <v>48.543689320388303</v>
      </c>
      <c r="L239" s="11" t="s">
        <v>10</v>
      </c>
      <c r="M239" s="26"/>
    </row>
    <row r="240" spans="1:13" x14ac:dyDescent="0.25">
      <c r="A240" s="6">
        <v>8.8318998165049904E+16</v>
      </c>
      <c r="B240" s="30" t="s">
        <v>68</v>
      </c>
      <c r="C240" s="32" t="str">
        <f t="shared" si="6"/>
        <v>Nov</v>
      </c>
      <c r="D240" s="11" t="s">
        <v>16</v>
      </c>
      <c r="E240" s="13">
        <v>844503</v>
      </c>
      <c r="F240" s="13">
        <v>7117</v>
      </c>
      <c r="G240" s="13">
        <v>3</v>
      </c>
      <c r="H240" s="13">
        <v>139.80582524271799</v>
      </c>
      <c r="I240" s="13">
        <v>4.1941747572815498</v>
      </c>
      <c r="J240" s="13">
        <f t="shared" si="7"/>
        <v>143.99999999999955</v>
      </c>
      <c r="K240" s="13">
        <v>58.252427184466001</v>
      </c>
      <c r="L240" s="11" t="s">
        <v>22</v>
      </c>
      <c r="M240" s="26"/>
    </row>
    <row r="241" spans="1:13" x14ac:dyDescent="0.25">
      <c r="A241" s="6">
        <v>9.0660147026494304E+16</v>
      </c>
      <c r="B241" s="30" t="s">
        <v>74</v>
      </c>
      <c r="C241" s="32" t="str">
        <f t="shared" si="6"/>
        <v>Nov</v>
      </c>
      <c r="D241" s="11" t="s">
        <v>25</v>
      </c>
      <c r="E241" s="13">
        <v>824102</v>
      </c>
      <c r="F241" s="13">
        <v>7117</v>
      </c>
      <c r="G241" s="13">
        <v>3</v>
      </c>
      <c r="H241" s="13">
        <v>141.747572815534</v>
      </c>
      <c r="I241" s="13">
        <v>4.8058252427184502</v>
      </c>
      <c r="J241" s="13">
        <f t="shared" si="7"/>
        <v>146.55339805825244</v>
      </c>
      <c r="K241" s="13">
        <v>40.776699029126199</v>
      </c>
      <c r="L241" s="11" t="s">
        <v>22</v>
      </c>
      <c r="M241" s="26"/>
    </row>
    <row r="242" spans="1:13" x14ac:dyDescent="0.25">
      <c r="A242" s="6">
        <v>8.84834089007724E+16</v>
      </c>
      <c r="B242" s="30" t="s">
        <v>69</v>
      </c>
      <c r="C242" s="32" t="str">
        <f t="shared" si="6"/>
        <v>Nov</v>
      </c>
      <c r="D242" s="11" t="s">
        <v>16</v>
      </c>
      <c r="E242" s="13">
        <v>243726</v>
      </c>
      <c r="F242" s="13">
        <v>7117</v>
      </c>
      <c r="G242" s="13">
        <v>3</v>
      </c>
      <c r="H242" s="13">
        <v>156.31067961164999</v>
      </c>
      <c r="I242" s="13">
        <v>4.9805825242718402</v>
      </c>
      <c r="J242" s="13">
        <f t="shared" si="7"/>
        <v>161.29126213592184</v>
      </c>
      <c r="K242" s="13">
        <v>49.514563106796103</v>
      </c>
      <c r="L242" s="11" t="s">
        <v>10</v>
      </c>
      <c r="M242" s="26"/>
    </row>
    <row r="243" spans="1:13" x14ac:dyDescent="0.25">
      <c r="A243" s="6">
        <v>8.6358213464879904E+16</v>
      </c>
      <c r="B243" s="30" t="s">
        <v>94</v>
      </c>
      <c r="C243" s="32" t="str">
        <f t="shared" si="6"/>
        <v>Nov</v>
      </c>
      <c r="D243" s="11" t="s">
        <v>16</v>
      </c>
      <c r="E243" s="13">
        <v>210204</v>
      </c>
      <c r="F243" s="13">
        <v>7117</v>
      </c>
      <c r="G243" s="13">
        <v>3</v>
      </c>
      <c r="H243" s="13">
        <v>165.04854368932001</v>
      </c>
      <c r="I243" s="13">
        <v>5.2427184466019403</v>
      </c>
      <c r="J243" s="13">
        <f t="shared" si="7"/>
        <v>170.29126213592195</v>
      </c>
      <c r="K243" s="13">
        <v>49.514563106796103</v>
      </c>
      <c r="L243" s="11" t="s">
        <v>10</v>
      </c>
      <c r="M243" s="26"/>
    </row>
    <row r="244" spans="1:13" x14ac:dyDescent="0.25">
      <c r="A244" s="6">
        <v>8.8624324156200192E+16</v>
      </c>
      <c r="B244" s="30" t="s">
        <v>69</v>
      </c>
      <c r="C244" s="32" t="str">
        <f t="shared" si="6"/>
        <v>Nov</v>
      </c>
      <c r="D244" s="11" t="s">
        <v>25</v>
      </c>
      <c r="E244" s="13">
        <v>185211</v>
      </c>
      <c r="F244" s="13">
        <v>7117</v>
      </c>
      <c r="G244" s="13">
        <v>3</v>
      </c>
      <c r="H244" s="13">
        <v>158.252427184466</v>
      </c>
      <c r="I244" s="13">
        <v>4.7475728155339798</v>
      </c>
      <c r="J244" s="13">
        <f t="shared" si="7"/>
        <v>162.99999999999997</v>
      </c>
      <c r="K244" s="13">
        <v>58.252427184466001</v>
      </c>
      <c r="L244" s="11" t="s">
        <v>56</v>
      </c>
      <c r="M244" s="26"/>
    </row>
    <row r="245" spans="1:13" x14ac:dyDescent="0.25">
      <c r="A245" s="6">
        <v>8.3817417428047104E+16</v>
      </c>
      <c r="B245" s="30" t="s">
        <v>38</v>
      </c>
      <c r="C245" s="32" t="str">
        <f t="shared" si="6"/>
        <v>Nov</v>
      </c>
      <c r="D245" s="11" t="s">
        <v>16</v>
      </c>
      <c r="E245" s="13">
        <v>791109</v>
      </c>
      <c r="F245" s="13">
        <v>340600</v>
      </c>
      <c r="G245" s="13">
        <v>12</v>
      </c>
      <c r="H245" s="13">
        <v>219.642857142857</v>
      </c>
      <c r="I245" s="13">
        <v>26.357142857142801</v>
      </c>
      <c r="J245" s="13">
        <f t="shared" si="7"/>
        <v>245.9999999999998</v>
      </c>
      <c r="K245" s="13">
        <v>96.428571428571402</v>
      </c>
      <c r="L245" s="11" t="s">
        <v>97</v>
      </c>
      <c r="M245" s="26"/>
    </row>
    <row r="246" spans="1:13" x14ac:dyDescent="0.25">
      <c r="A246" s="6">
        <v>9.3300070548278896E+16</v>
      </c>
      <c r="B246" s="30" t="s">
        <v>93</v>
      </c>
      <c r="C246" s="32" t="str">
        <f t="shared" si="6"/>
        <v>Nov</v>
      </c>
      <c r="D246" s="11" t="s">
        <v>25</v>
      </c>
      <c r="E246" s="13">
        <v>400068</v>
      </c>
      <c r="F246" s="13">
        <v>7117</v>
      </c>
      <c r="G246" s="13">
        <v>3</v>
      </c>
      <c r="H246" s="13">
        <v>136.893203883495</v>
      </c>
      <c r="I246" s="13">
        <v>4.6310679611650496</v>
      </c>
      <c r="J246" s="13">
        <f t="shared" si="7"/>
        <v>141.52427184466006</v>
      </c>
      <c r="K246" s="13">
        <v>57.2815533980583</v>
      </c>
      <c r="L246" s="11" t="s">
        <v>41</v>
      </c>
      <c r="M246" s="26"/>
    </row>
    <row r="247" spans="1:13" x14ac:dyDescent="0.25">
      <c r="A247" s="6">
        <v>8.9664711197070592E+16</v>
      </c>
      <c r="B247" s="30" t="s">
        <v>77</v>
      </c>
      <c r="C247" s="32" t="str">
        <f t="shared" si="6"/>
        <v>Nov</v>
      </c>
      <c r="D247" s="11" t="s">
        <v>16</v>
      </c>
      <c r="E247" s="13">
        <v>122004</v>
      </c>
      <c r="F247" s="13">
        <v>340600</v>
      </c>
      <c r="G247" s="13">
        <v>12</v>
      </c>
      <c r="H247" s="13">
        <v>126.78571428571399</v>
      </c>
      <c r="I247" s="13">
        <v>19.607142857142801</v>
      </c>
      <c r="J247" s="13">
        <f t="shared" si="7"/>
        <v>146.3928571428568</v>
      </c>
      <c r="K247" s="13">
        <v>30.3571428571429</v>
      </c>
      <c r="L247" s="11" t="s">
        <v>63</v>
      </c>
      <c r="M247" s="26"/>
    </row>
    <row r="248" spans="1:13" x14ac:dyDescent="0.25">
      <c r="A248" s="6">
        <v>8.6421417232426592E+16</v>
      </c>
      <c r="B248" s="30" t="s">
        <v>94</v>
      </c>
      <c r="C248" s="32" t="str">
        <f t="shared" si="6"/>
        <v>Nov</v>
      </c>
      <c r="D248" s="11" t="s">
        <v>16</v>
      </c>
      <c r="E248" s="13">
        <v>475671</v>
      </c>
      <c r="F248" s="13">
        <v>7117</v>
      </c>
      <c r="G248" s="13">
        <v>3</v>
      </c>
      <c r="H248" s="13">
        <v>155.339805825242</v>
      </c>
      <c r="I248" s="13">
        <v>4.6601941747572804</v>
      </c>
      <c r="J248" s="13">
        <f t="shared" si="7"/>
        <v>159.99999999999929</v>
      </c>
      <c r="K248" s="13">
        <v>58.252427184466001</v>
      </c>
      <c r="L248" s="11" t="s">
        <v>26</v>
      </c>
      <c r="M248" s="26"/>
    </row>
    <row r="249" spans="1:13" x14ac:dyDescent="0.25">
      <c r="A249" s="6">
        <v>8.7572441255084192E+16</v>
      </c>
      <c r="B249" s="30" t="s">
        <v>75</v>
      </c>
      <c r="C249" s="32" t="str">
        <f t="shared" si="6"/>
        <v>Nov</v>
      </c>
      <c r="D249" s="11" t="s">
        <v>16</v>
      </c>
      <c r="E249" s="13">
        <v>688535</v>
      </c>
      <c r="F249" s="13">
        <v>340600</v>
      </c>
      <c r="G249" s="13">
        <v>12</v>
      </c>
      <c r="H249" s="13">
        <v>179.46428571428501</v>
      </c>
      <c r="I249" s="13">
        <v>21.535714285714199</v>
      </c>
      <c r="J249" s="13">
        <f t="shared" si="7"/>
        <v>200.9999999999992</v>
      </c>
      <c r="K249" s="13">
        <v>66.964285714285694</v>
      </c>
      <c r="L249" s="11" t="s">
        <v>98</v>
      </c>
      <c r="M249" s="26"/>
    </row>
    <row r="250" spans="1:13" x14ac:dyDescent="0.25">
      <c r="A250" s="6">
        <v>8.9806364936383296E+16</v>
      </c>
      <c r="B250" s="30" t="s">
        <v>82</v>
      </c>
      <c r="C250" s="32" t="str">
        <f t="shared" si="6"/>
        <v>Nov</v>
      </c>
      <c r="D250" s="11" t="s">
        <v>16</v>
      </c>
      <c r="E250" s="13">
        <v>110091</v>
      </c>
      <c r="F250" s="13">
        <v>7117</v>
      </c>
      <c r="G250" s="13">
        <v>18</v>
      </c>
      <c r="H250" s="13">
        <v>94.067796610169495</v>
      </c>
      <c r="I250" s="13">
        <v>20.593220338982999</v>
      </c>
      <c r="J250" s="13">
        <f t="shared" si="7"/>
        <v>114.6610169491525</v>
      </c>
      <c r="K250" s="13">
        <v>33.0508474576271</v>
      </c>
      <c r="L250" s="11" t="s">
        <v>28</v>
      </c>
      <c r="M250" s="26"/>
    </row>
    <row r="251" spans="1:13" x14ac:dyDescent="0.25">
      <c r="A251" s="6">
        <v>8.53306949093916E+16</v>
      </c>
      <c r="B251" s="30" t="s">
        <v>96</v>
      </c>
      <c r="C251" s="32" t="str">
        <f t="shared" si="6"/>
        <v>Nov</v>
      </c>
      <c r="D251" s="11" t="s">
        <v>16</v>
      </c>
      <c r="E251" s="13">
        <v>335001</v>
      </c>
      <c r="F251" s="13">
        <v>7117</v>
      </c>
      <c r="G251" s="13">
        <v>3</v>
      </c>
      <c r="H251" s="13">
        <v>137.864077669902</v>
      </c>
      <c r="I251" s="13">
        <v>4.8058252427184502</v>
      </c>
      <c r="J251" s="13">
        <f t="shared" si="7"/>
        <v>142.66990291262044</v>
      </c>
      <c r="K251" s="13">
        <v>36.893203883495197</v>
      </c>
      <c r="L251" s="11" t="s">
        <v>46</v>
      </c>
      <c r="M251" s="26"/>
    </row>
    <row r="252" spans="1:13" x14ac:dyDescent="0.25">
      <c r="A252" s="6">
        <v>8.7155945264256304E+16</v>
      </c>
      <c r="B252" s="30" t="s">
        <v>83</v>
      </c>
      <c r="C252" s="32" t="str">
        <f t="shared" si="6"/>
        <v>Nov</v>
      </c>
      <c r="D252" s="11" t="s">
        <v>16</v>
      </c>
      <c r="E252" s="13">
        <v>412115</v>
      </c>
      <c r="F252" s="13">
        <v>7117</v>
      </c>
      <c r="G252" s="13">
        <v>3</v>
      </c>
      <c r="H252" s="13">
        <v>166.01941747572801</v>
      </c>
      <c r="I252" s="13">
        <v>4.9805825242718402</v>
      </c>
      <c r="J252" s="13">
        <f t="shared" si="7"/>
        <v>170.99999999999986</v>
      </c>
      <c r="K252" s="13">
        <v>59.223300970873801</v>
      </c>
      <c r="L252" s="11" t="s">
        <v>41</v>
      </c>
      <c r="M252" s="26"/>
    </row>
    <row r="253" spans="1:13" x14ac:dyDescent="0.25">
      <c r="A253" s="6">
        <v>8.8246631507394704E+16</v>
      </c>
      <c r="B253" s="30" t="s">
        <v>68</v>
      </c>
      <c r="C253" s="32" t="str">
        <f t="shared" si="6"/>
        <v>Nov</v>
      </c>
      <c r="D253" s="11" t="s">
        <v>16</v>
      </c>
      <c r="E253" s="13">
        <v>208011</v>
      </c>
      <c r="F253" s="13">
        <v>340600</v>
      </c>
      <c r="G253" s="13">
        <v>12</v>
      </c>
      <c r="H253" s="13">
        <v>154.46428571428501</v>
      </c>
      <c r="I253" s="13">
        <v>21.535714285714199</v>
      </c>
      <c r="J253" s="13">
        <f t="shared" si="7"/>
        <v>175.9999999999992</v>
      </c>
      <c r="K253" s="13">
        <v>41.964285714285701</v>
      </c>
      <c r="L253" s="11" t="s">
        <v>10</v>
      </c>
      <c r="M253" s="26"/>
    </row>
    <row r="254" spans="1:13" x14ac:dyDescent="0.25">
      <c r="A254" s="6">
        <v>9.11142292478044E+16</v>
      </c>
      <c r="B254" s="30" t="s">
        <v>99</v>
      </c>
      <c r="C254" s="32" t="str">
        <f t="shared" si="6"/>
        <v>Nov</v>
      </c>
      <c r="D254" s="11" t="s">
        <v>16</v>
      </c>
      <c r="E254" s="13">
        <v>803116</v>
      </c>
      <c r="F254" s="13">
        <v>7117</v>
      </c>
      <c r="G254" s="13">
        <v>3</v>
      </c>
      <c r="H254" s="13">
        <v>165.04854368932001</v>
      </c>
      <c r="I254" s="13">
        <v>4.9514563106796103</v>
      </c>
      <c r="J254" s="13">
        <f t="shared" si="7"/>
        <v>169.99999999999963</v>
      </c>
      <c r="K254" s="13">
        <v>58.252427184466001</v>
      </c>
      <c r="L254" s="11" t="s">
        <v>22</v>
      </c>
      <c r="M254" s="26"/>
    </row>
    <row r="255" spans="1:13" x14ac:dyDescent="0.25">
      <c r="A255" s="6">
        <v>8.7053253587118896E+16</v>
      </c>
      <c r="B255" s="30" t="s">
        <v>83</v>
      </c>
      <c r="C255" s="32" t="str">
        <f t="shared" si="6"/>
        <v>Nov</v>
      </c>
      <c r="D255" s="11" t="s">
        <v>21</v>
      </c>
      <c r="E255" s="13">
        <v>486001</v>
      </c>
      <c r="F255" s="13">
        <v>7117</v>
      </c>
      <c r="G255" s="13">
        <v>3</v>
      </c>
      <c r="H255" s="13">
        <v>155.339805825242</v>
      </c>
      <c r="I255" s="13">
        <v>4.7475728155339798</v>
      </c>
      <c r="J255" s="13">
        <f t="shared" si="7"/>
        <v>160.08737864077597</v>
      </c>
      <c r="K255" s="13">
        <v>55.339805825242699</v>
      </c>
      <c r="L255" s="11" t="s">
        <v>26</v>
      </c>
      <c r="M255" s="26"/>
    </row>
    <row r="256" spans="1:13" x14ac:dyDescent="0.25">
      <c r="A256" s="6">
        <v>9.4352684262130592E+16</v>
      </c>
      <c r="B256" s="30" t="s">
        <v>100</v>
      </c>
      <c r="C256" s="32" t="str">
        <f t="shared" si="6"/>
        <v>Nov</v>
      </c>
      <c r="D256" s="11" t="s">
        <v>33</v>
      </c>
      <c r="E256" s="13">
        <v>110042</v>
      </c>
      <c r="F256" s="13">
        <v>7117</v>
      </c>
      <c r="G256" s="13">
        <v>3</v>
      </c>
      <c r="H256" s="13">
        <v>128.15533980582501</v>
      </c>
      <c r="I256" s="13">
        <v>4.13592233009709</v>
      </c>
      <c r="J256" s="13">
        <f t="shared" si="7"/>
        <v>132.2912621359221</v>
      </c>
      <c r="K256" s="13">
        <v>48.543689320388303</v>
      </c>
      <c r="L256" s="11" t="s">
        <v>28</v>
      </c>
      <c r="M256" s="26"/>
    </row>
    <row r="257" spans="1:13" x14ac:dyDescent="0.25">
      <c r="A257" s="6">
        <v>8.9253134354019104E+16</v>
      </c>
      <c r="B257" s="30" t="s">
        <v>78</v>
      </c>
      <c r="C257" s="32" t="str">
        <f t="shared" si="6"/>
        <v>Nov</v>
      </c>
      <c r="D257" s="11" t="s">
        <v>25</v>
      </c>
      <c r="E257" s="13">
        <v>522101</v>
      </c>
      <c r="F257" s="13">
        <v>7117</v>
      </c>
      <c r="G257" s="13">
        <v>3</v>
      </c>
      <c r="H257" s="13">
        <v>142.718446601941</v>
      </c>
      <c r="I257" s="13">
        <v>4.8058252427184502</v>
      </c>
      <c r="J257" s="13">
        <f t="shared" si="7"/>
        <v>147.52427184465944</v>
      </c>
      <c r="K257" s="13">
        <v>59.223300970873801</v>
      </c>
      <c r="L257" s="11" t="s">
        <v>39</v>
      </c>
      <c r="M257" s="26"/>
    </row>
    <row r="258" spans="1:13" x14ac:dyDescent="0.25">
      <c r="A258" s="6">
        <v>8.9399047795736704E+16</v>
      </c>
      <c r="B258" s="30" t="s">
        <v>78</v>
      </c>
      <c r="C258" s="32" t="str">
        <f t="shared" si="6"/>
        <v>Nov</v>
      </c>
      <c r="D258" s="11" t="s">
        <v>21</v>
      </c>
      <c r="E258" s="13">
        <v>456664</v>
      </c>
      <c r="F258" s="13">
        <v>7117</v>
      </c>
      <c r="G258" s="13">
        <v>3</v>
      </c>
      <c r="H258" s="13">
        <v>158.252427184466</v>
      </c>
      <c r="I258" s="13">
        <v>4.7475728155339798</v>
      </c>
      <c r="J258" s="13">
        <f t="shared" si="7"/>
        <v>162.99999999999997</v>
      </c>
      <c r="K258" s="13">
        <v>58.252427184466001</v>
      </c>
      <c r="L258" s="11" t="s">
        <v>26</v>
      </c>
      <c r="M258" s="26"/>
    </row>
    <row r="259" spans="1:13" x14ac:dyDescent="0.25">
      <c r="A259" s="6">
        <v>8.67056258467432E+16</v>
      </c>
      <c r="B259" s="30" t="s">
        <v>90</v>
      </c>
      <c r="C259" s="32" t="str">
        <f t="shared" ref="C259:C322" si="8">TEXT(B259, "mmm")</f>
        <v>Nov</v>
      </c>
      <c r="D259" s="11" t="s">
        <v>16</v>
      </c>
      <c r="E259" s="13">
        <v>276121</v>
      </c>
      <c r="F259" s="13">
        <v>7117</v>
      </c>
      <c r="G259" s="13">
        <v>3</v>
      </c>
      <c r="H259" s="13">
        <v>113.592233009708</v>
      </c>
      <c r="I259" s="13">
        <v>4.13592233009709</v>
      </c>
      <c r="J259" s="13">
        <f t="shared" ref="J259:J322" si="9">H259+I259</f>
        <v>117.72815533980508</v>
      </c>
      <c r="K259" s="13">
        <v>34.951456310679603</v>
      </c>
      <c r="L259" s="11" t="s">
        <v>10</v>
      </c>
      <c r="M259" s="26"/>
    </row>
    <row r="260" spans="1:13" x14ac:dyDescent="0.25">
      <c r="A260" s="6">
        <v>8.4348433922135296E+16</v>
      </c>
      <c r="B260" s="30" t="s">
        <v>101</v>
      </c>
      <c r="C260" s="32" t="str">
        <f t="shared" si="8"/>
        <v>Nov</v>
      </c>
      <c r="D260" s="11" t="s">
        <v>16</v>
      </c>
      <c r="E260" s="13">
        <v>110059</v>
      </c>
      <c r="F260" s="13">
        <v>340600</v>
      </c>
      <c r="G260" s="13">
        <v>12</v>
      </c>
      <c r="H260" s="13">
        <v>179.46428571428501</v>
      </c>
      <c r="I260" s="13">
        <v>24.321428571428498</v>
      </c>
      <c r="J260" s="13">
        <f t="shared" si="9"/>
        <v>203.78571428571351</v>
      </c>
      <c r="K260" s="13">
        <v>42.857142857142897</v>
      </c>
      <c r="L260" s="11" t="s">
        <v>28</v>
      </c>
      <c r="M260" s="26"/>
    </row>
    <row r="261" spans="1:13" x14ac:dyDescent="0.25">
      <c r="A261" s="6">
        <v>8.99377780833532E+16</v>
      </c>
      <c r="B261" s="30" t="s">
        <v>82</v>
      </c>
      <c r="C261" s="32" t="str">
        <f t="shared" si="8"/>
        <v>Nov</v>
      </c>
      <c r="D261" s="11" t="s">
        <v>16</v>
      </c>
      <c r="E261" s="13">
        <v>344031</v>
      </c>
      <c r="F261" s="13">
        <v>7117</v>
      </c>
      <c r="G261" s="13">
        <v>3</v>
      </c>
      <c r="H261" s="13">
        <v>149.514563106796</v>
      </c>
      <c r="I261" s="13">
        <v>4.6893203883495103</v>
      </c>
      <c r="J261" s="13">
        <f t="shared" si="9"/>
        <v>154.2038834951455</v>
      </c>
      <c r="K261" s="13">
        <v>52.427184466019398</v>
      </c>
      <c r="L261" s="11" t="s">
        <v>46</v>
      </c>
      <c r="M261" s="26"/>
    </row>
    <row r="262" spans="1:13" x14ac:dyDescent="0.25">
      <c r="A262" s="6">
        <v>8.8575543008171296E+16</v>
      </c>
      <c r="B262" s="30" t="s">
        <v>69</v>
      </c>
      <c r="C262" s="32" t="str">
        <f t="shared" si="8"/>
        <v>Nov</v>
      </c>
      <c r="D262" s="11" t="s">
        <v>16</v>
      </c>
      <c r="E262" s="13">
        <v>848502</v>
      </c>
      <c r="F262" s="13">
        <v>7117</v>
      </c>
      <c r="G262" s="13">
        <v>3</v>
      </c>
      <c r="H262" s="13">
        <v>149.514563106796</v>
      </c>
      <c r="I262" s="13">
        <v>4.4854368932038797</v>
      </c>
      <c r="J262" s="13">
        <f t="shared" si="9"/>
        <v>153.99999999999989</v>
      </c>
      <c r="K262" s="13">
        <v>59.223300970873801</v>
      </c>
      <c r="L262" s="11" t="s">
        <v>22</v>
      </c>
      <c r="M262" s="26"/>
    </row>
    <row r="263" spans="1:13" x14ac:dyDescent="0.25">
      <c r="A263" s="6">
        <v>8.8340256583832096E+16</v>
      </c>
      <c r="B263" s="30" t="s">
        <v>69</v>
      </c>
      <c r="C263" s="32" t="str">
        <f t="shared" si="8"/>
        <v>Nov</v>
      </c>
      <c r="D263" s="11" t="s">
        <v>52</v>
      </c>
      <c r="E263" s="13">
        <v>400055</v>
      </c>
      <c r="F263" s="13">
        <v>340600</v>
      </c>
      <c r="G263" s="13">
        <v>12</v>
      </c>
      <c r="H263" s="13">
        <v>145.53571428571399</v>
      </c>
      <c r="I263" s="13">
        <v>19.071428571428498</v>
      </c>
      <c r="J263" s="13">
        <f t="shared" si="9"/>
        <v>164.60714285714249</v>
      </c>
      <c r="K263" s="13">
        <v>40.178571428571402</v>
      </c>
      <c r="L263" s="11" t="s">
        <v>41</v>
      </c>
      <c r="M263" s="26"/>
    </row>
    <row r="264" spans="1:13" x14ac:dyDescent="0.25">
      <c r="A264" s="6">
        <v>9.0375782853804896E+16</v>
      </c>
      <c r="B264" s="30" t="s">
        <v>84</v>
      </c>
      <c r="C264" s="32" t="str">
        <f t="shared" si="8"/>
        <v>Nov</v>
      </c>
      <c r="D264" s="11" t="s">
        <v>52</v>
      </c>
      <c r="E264" s="13">
        <v>184121</v>
      </c>
      <c r="F264" s="13">
        <v>340600</v>
      </c>
      <c r="G264" s="13">
        <v>12</v>
      </c>
      <c r="H264" s="13">
        <v>319.642857142857</v>
      </c>
      <c r="I264" s="13">
        <v>44.142857142857103</v>
      </c>
      <c r="J264" s="13">
        <f t="shared" si="9"/>
        <v>363.78571428571411</v>
      </c>
      <c r="K264" s="13">
        <v>105.35714285714199</v>
      </c>
      <c r="L264" s="11" t="s">
        <v>56</v>
      </c>
      <c r="M264" s="26"/>
    </row>
    <row r="265" spans="1:13" x14ac:dyDescent="0.25">
      <c r="A265" s="6">
        <v>8.9834376300524304E+16</v>
      </c>
      <c r="B265" s="30" t="s">
        <v>82</v>
      </c>
      <c r="C265" s="32" t="str">
        <f t="shared" si="8"/>
        <v>Nov</v>
      </c>
      <c r="D265" s="11" t="s">
        <v>16</v>
      </c>
      <c r="E265" s="13">
        <v>410210</v>
      </c>
      <c r="F265" s="13">
        <v>7117</v>
      </c>
      <c r="G265" s="13">
        <v>3</v>
      </c>
      <c r="H265" s="13">
        <v>86.407766990291293</v>
      </c>
      <c r="I265" s="13">
        <v>3.1456310679611699</v>
      </c>
      <c r="J265" s="13">
        <f t="shared" si="9"/>
        <v>89.553398058252469</v>
      </c>
      <c r="K265" s="13">
        <v>41.747572815533999</v>
      </c>
      <c r="L265" s="11" t="s">
        <v>41</v>
      </c>
      <c r="M265" s="26"/>
    </row>
    <row r="266" spans="1:13" x14ac:dyDescent="0.25">
      <c r="A266" s="6">
        <v>9.1114509565565792E+16</v>
      </c>
      <c r="B266" s="30" t="s">
        <v>99</v>
      </c>
      <c r="C266" s="32" t="str">
        <f t="shared" si="8"/>
        <v>Nov</v>
      </c>
      <c r="D266" s="11" t="s">
        <v>25</v>
      </c>
      <c r="E266" s="13">
        <v>803116</v>
      </c>
      <c r="F266" s="13">
        <v>7117</v>
      </c>
      <c r="G266" s="13">
        <v>3</v>
      </c>
      <c r="H266" s="13">
        <v>165.04854368932001</v>
      </c>
      <c r="I266" s="13">
        <v>4.9514563106796103</v>
      </c>
      <c r="J266" s="13">
        <f t="shared" si="9"/>
        <v>169.99999999999963</v>
      </c>
      <c r="K266" s="13">
        <v>58.252427184466001</v>
      </c>
      <c r="L266" s="11" t="s">
        <v>22</v>
      </c>
      <c r="M266" s="26"/>
    </row>
    <row r="267" spans="1:13" x14ac:dyDescent="0.25">
      <c r="A267" s="6">
        <v>8.6834580222371504E+16</v>
      </c>
      <c r="B267" s="30" t="s">
        <v>90</v>
      </c>
      <c r="C267" s="32" t="str">
        <f t="shared" si="8"/>
        <v>Nov</v>
      </c>
      <c r="D267" s="11" t="s">
        <v>21</v>
      </c>
      <c r="E267" s="13">
        <v>791110</v>
      </c>
      <c r="F267" s="13">
        <v>7117</v>
      </c>
      <c r="G267" s="13">
        <v>3</v>
      </c>
      <c r="H267" s="13">
        <v>178.640776699029</v>
      </c>
      <c r="I267" s="13">
        <v>5.3592233009708696</v>
      </c>
      <c r="J267" s="13">
        <f t="shared" si="9"/>
        <v>183.99999999999989</v>
      </c>
      <c r="K267" s="13">
        <v>78.640776699029104</v>
      </c>
      <c r="L267" s="11" t="s">
        <v>97</v>
      </c>
      <c r="M267" s="26"/>
    </row>
    <row r="268" spans="1:13" x14ac:dyDescent="0.25">
      <c r="A268" s="6">
        <v>8.8890575012688704E+16</v>
      </c>
      <c r="B268" s="30" t="s">
        <v>70</v>
      </c>
      <c r="C268" s="32" t="str">
        <f t="shared" si="8"/>
        <v>Nov</v>
      </c>
      <c r="D268" s="11" t="s">
        <v>16</v>
      </c>
      <c r="E268" s="13">
        <v>752055</v>
      </c>
      <c r="F268" s="13">
        <v>7117</v>
      </c>
      <c r="G268" s="13">
        <v>3</v>
      </c>
      <c r="H268" s="13">
        <v>148.54368932038801</v>
      </c>
      <c r="I268" s="13">
        <v>4.9805825242718402</v>
      </c>
      <c r="J268" s="13">
        <f t="shared" si="9"/>
        <v>153.52427184465986</v>
      </c>
      <c r="K268" s="13">
        <v>41.747572815533999</v>
      </c>
      <c r="L268" s="11" t="s">
        <v>54</v>
      </c>
      <c r="M268" s="26"/>
    </row>
    <row r="269" spans="1:13" x14ac:dyDescent="0.25">
      <c r="A269" s="6">
        <v>8.71024784616292E+16</v>
      </c>
      <c r="B269" s="30" t="s">
        <v>83</v>
      </c>
      <c r="C269" s="32" t="str">
        <f t="shared" si="8"/>
        <v>Nov</v>
      </c>
      <c r="D269" s="11" t="s">
        <v>16</v>
      </c>
      <c r="E269" s="13">
        <v>751024</v>
      </c>
      <c r="F269" s="13">
        <v>340600</v>
      </c>
      <c r="G269" s="13">
        <v>12</v>
      </c>
      <c r="H269" s="13">
        <v>179.46428571428501</v>
      </c>
      <c r="I269" s="13">
        <v>21.535714285714199</v>
      </c>
      <c r="J269" s="13">
        <f t="shared" si="9"/>
        <v>200.9999999999992</v>
      </c>
      <c r="K269" s="13">
        <v>66.964285714285694</v>
      </c>
      <c r="L269" s="11" t="s">
        <v>54</v>
      </c>
      <c r="M269" s="26"/>
    </row>
    <row r="270" spans="1:13" x14ac:dyDescent="0.25">
      <c r="A270" s="6">
        <v>8.9023742776374E+16</v>
      </c>
      <c r="B270" s="30" t="s">
        <v>70</v>
      </c>
      <c r="C270" s="32" t="str">
        <f t="shared" si="8"/>
        <v>Nov</v>
      </c>
      <c r="D270" s="11" t="s">
        <v>25</v>
      </c>
      <c r="E270" s="13">
        <v>140603</v>
      </c>
      <c r="F270" s="13">
        <v>7117</v>
      </c>
      <c r="G270" s="13">
        <v>3</v>
      </c>
      <c r="H270" s="13">
        <v>150.485436893203</v>
      </c>
      <c r="I270" s="13">
        <v>4.8058252427184502</v>
      </c>
      <c r="J270" s="13">
        <f t="shared" si="9"/>
        <v>155.29126213592144</v>
      </c>
      <c r="K270" s="13">
        <v>59.223300970873801</v>
      </c>
      <c r="L270" s="11" t="s">
        <v>17</v>
      </c>
      <c r="M270" s="26"/>
    </row>
    <row r="271" spans="1:13" x14ac:dyDescent="0.25">
      <c r="A271" s="6">
        <v>8.9228002497390208E+16</v>
      </c>
      <c r="B271" s="30" t="s">
        <v>78</v>
      </c>
      <c r="C271" s="32" t="str">
        <f t="shared" si="8"/>
        <v>Nov</v>
      </c>
      <c r="D271" s="11" t="s">
        <v>16</v>
      </c>
      <c r="E271" s="13">
        <v>211006</v>
      </c>
      <c r="F271" s="13">
        <v>340600</v>
      </c>
      <c r="G271" s="13">
        <v>12</v>
      </c>
      <c r="H271" s="13">
        <v>138.392857142857</v>
      </c>
      <c r="I271" s="13">
        <v>19.071428571428498</v>
      </c>
      <c r="J271" s="13">
        <f t="shared" si="9"/>
        <v>157.4642857142855</v>
      </c>
      <c r="K271" s="13">
        <v>33.035714285714299</v>
      </c>
      <c r="L271" s="11" t="s">
        <v>10</v>
      </c>
      <c r="M271" s="26"/>
    </row>
    <row r="272" spans="1:13" x14ac:dyDescent="0.25">
      <c r="A272" s="6">
        <v>9.0698834830304496E+16</v>
      </c>
      <c r="B272" s="30" t="s">
        <v>74</v>
      </c>
      <c r="C272" s="32" t="str">
        <f t="shared" si="8"/>
        <v>Nov</v>
      </c>
      <c r="D272" s="11" t="s">
        <v>25</v>
      </c>
      <c r="E272" s="13">
        <v>751009</v>
      </c>
      <c r="F272" s="13">
        <v>340600</v>
      </c>
      <c r="G272" s="13">
        <v>12</v>
      </c>
      <c r="H272" s="13">
        <v>187.5</v>
      </c>
      <c r="I272" s="13">
        <v>22.5</v>
      </c>
      <c r="J272" s="13">
        <f t="shared" si="9"/>
        <v>210</v>
      </c>
      <c r="K272" s="13">
        <v>66.964285714285694</v>
      </c>
      <c r="L272" s="11" t="s">
        <v>54</v>
      </c>
      <c r="M272" s="26"/>
    </row>
    <row r="273" spans="1:13" x14ac:dyDescent="0.25">
      <c r="A273" s="6">
        <v>9.11405761626448E+16</v>
      </c>
      <c r="B273" s="30" t="s">
        <v>99</v>
      </c>
      <c r="C273" s="32" t="str">
        <f t="shared" si="8"/>
        <v>Nov</v>
      </c>
      <c r="D273" s="11" t="s">
        <v>16</v>
      </c>
      <c r="E273" s="13">
        <v>560098</v>
      </c>
      <c r="F273" s="13">
        <v>7117</v>
      </c>
      <c r="G273" s="13">
        <v>3</v>
      </c>
      <c r="H273" s="13">
        <v>148.54368932038801</v>
      </c>
      <c r="I273" s="13">
        <v>4.4563106796116498</v>
      </c>
      <c r="J273" s="13">
        <f t="shared" si="9"/>
        <v>152.99999999999966</v>
      </c>
      <c r="K273" s="13">
        <v>58.252427184466001</v>
      </c>
      <c r="L273" s="11" t="s">
        <v>19</v>
      </c>
      <c r="M273" s="26"/>
    </row>
    <row r="274" spans="1:13" x14ac:dyDescent="0.25">
      <c r="A274" s="6">
        <v>8.9820803000103696E+16</v>
      </c>
      <c r="B274" s="30" t="s">
        <v>82</v>
      </c>
      <c r="C274" s="32" t="str">
        <f t="shared" si="8"/>
        <v>Nov</v>
      </c>
      <c r="D274" s="11" t="s">
        <v>16</v>
      </c>
      <c r="E274" s="13">
        <v>261135</v>
      </c>
      <c r="F274" s="13">
        <v>340600</v>
      </c>
      <c r="G274" s="13">
        <v>12</v>
      </c>
      <c r="H274" s="13">
        <v>167.85714285714201</v>
      </c>
      <c r="I274" s="13">
        <v>21.214285714285701</v>
      </c>
      <c r="J274" s="13">
        <f t="shared" si="9"/>
        <v>189.0714285714277</v>
      </c>
      <c r="K274" s="13">
        <v>44.642857142857103</v>
      </c>
      <c r="L274" s="11" t="s">
        <v>10</v>
      </c>
      <c r="M274" s="26"/>
    </row>
    <row r="275" spans="1:13" x14ac:dyDescent="0.25">
      <c r="A275" s="6">
        <v>8.7495557813102208E+16</v>
      </c>
      <c r="B275" s="30" t="s">
        <v>75</v>
      </c>
      <c r="C275" s="32" t="str">
        <f t="shared" si="8"/>
        <v>Nov</v>
      </c>
      <c r="D275" s="11" t="s">
        <v>25</v>
      </c>
      <c r="E275" s="13">
        <v>744101</v>
      </c>
      <c r="F275" s="13">
        <v>340600</v>
      </c>
      <c r="G275" s="13">
        <v>12</v>
      </c>
      <c r="H275" s="13">
        <v>162.5</v>
      </c>
      <c r="I275" s="13">
        <v>23.25</v>
      </c>
      <c r="J275" s="13">
        <f t="shared" si="9"/>
        <v>185.75</v>
      </c>
      <c r="K275" s="13">
        <v>66.071428571428598</v>
      </c>
      <c r="L275" s="11" t="s">
        <v>102</v>
      </c>
      <c r="M275" s="26"/>
    </row>
    <row r="276" spans="1:13" x14ac:dyDescent="0.25">
      <c r="A276" s="6">
        <v>8.4222461328982208E+16</v>
      </c>
      <c r="B276" s="30" t="s">
        <v>101</v>
      </c>
      <c r="C276" s="32" t="str">
        <f t="shared" si="8"/>
        <v>Nov</v>
      </c>
      <c r="D276" s="11" t="s">
        <v>21</v>
      </c>
      <c r="E276" s="13">
        <v>509338</v>
      </c>
      <c r="F276" s="13">
        <v>7117</v>
      </c>
      <c r="G276" s="13">
        <v>3</v>
      </c>
      <c r="H276" s="13">
        <v>160.19417475728099</v>
      </c>
      <c r="I276" s="13">
        <v>4.8058252427184502</v>
      </c>
      <c r="J276" s="13">
        <f t="shared" si="9"/>
        <v>164.99999999999943</v>
      </c>
      <c r="K276" s="13">
        <v>59.223300970873801</v>
      </c>
      <c r="L276" s="11" t="s">
        <v>53</v>
      </c>
      <c r="M276" s="26"/>
    </row>
    <row r="277" spans="1:13" x14ac:dyDescent="0.25">
      <c r="A277" s="6">
        <v>8.8967154468901504E+16</v>
      </c>
      <c r="B277" s="30" t="s">
        <v>70</v>
      </c>
      <c r="C277" s="32" t="str">
        <f t="shared" si="8"/>
        <v>Nov</v>
      </c>
      <c r="D277" s="11" t="s">
        <v>16</v>
      </c>
      <c r="E277" s="13">
        <v>221712</v>
      </c>
      <c r="F277" s="13">
        <v>7117</v>
      </c>
      <c r="G277" s="13">
        <v>3</v>
      </c>
      <c r="H277" s="13">
        <v>158.252427184466</v>
      </c>
      <c r="I277" s="13">
        <v>5.0388349514563098</v>
      </c>
      <c r="J277" s="13">
        <f t="shared" si="9"/>
        <v>163.29126213592232</v>
      </c>
      <c r="K277" s="13">
        <v>49.514563106796103</v>
      </c>
      <c r="L277" s="11" t="s">
        <v>10</v>
      </c>
      <c r="M277" s="26"/>
    </row>
    <row r="278" spans="1:13" x14ac:dyDescent="0.25">
      <c r="A278" s="6">
        <v>8.8689315053299296E+16</v>
      </c>
      <c r="B278" s="30" t="s">
        <v>69</v>
      </c>
      <c r="C278" s="32" t="str">
        <f t="shared" si="8"/>
        <v>Nov</v>
      </c>
      <c r="D278" s="11" t="s">
        <v>21</v>
      </c>
      <c r="E278" s="13">
        <v>324008</v>
      </c>
      <c r="F278" s="13">
        <v>340600</v>
      </c>
      <c r="G278" s="13">
        <v>12</v>
      </c>
      <c r="H278" s="13">
        <v>150.892857142857</v>
      </c>
      <c r="I278" s="13">
        <v>19.607142857142801</v>
      </c>
      <c r="J278" s="13">
        <f t="shared" si="9"/>
        <v>170.4999999999998</v>
      </c>
      <c r="K278" s="13">
        <v>54.464285714285701</v>
      </c>
      <c r="L278" s="11" t="s">
        <v>46</v>
      </c>
      <c r="M278" s="26"/>
    </row>
    <row r="279" spans="1:13" x14ac:dyDescent="0.25">
      <c r="A279" s="6">
        <v>9.1772681091423104E+16</v>
      </c>
      <c r="B279" s="30" t="s">
        <v>72</v>
      </c>
      <c r="C279" s="32" t="str">
        <f t="shared" si="8"/>
        <v>Nov</v>
      </c>
      <c r="D279" s="11" t="s">
        <v>52</v>
      </c>
      <c r="E279" s="13">
        <v>800010</v>
      </c>
      <c r="F279" s="13">
        <v>7117</v>
      </c>
      <c r="G279" s="13">
        <v>3</v>
      </c>
      <c r="H279" s="13">
        <v>163.106796116504</v>
      </c>
      <c r="I279" s="13">
        <v>4.9514563106796103</v>
      </c>
      <c r="J279" s="13">
        <f t="shared" si="9"/>
        <v>168.05825242718362</v>
      </c>
      <c r="K279" s="13">
        <v>56.3106796116505</v>
      </c>
      <c r="L279" s="11" t="s">
        <v>22</v>
      </c>
      <c r="M279" s="26"/>
    </row>
    <row r="280" spans="1:13" x14ac:dyDescent="0.25">
      <c r="A280" s="6">
        <v>8.9538239175207808E+16</v>
      </c>
      <c r="B280" s="30" t="s">
        <v>77</v>
      </c>
      <c r="C280" s="32" t="str">
        <f t="shared" si="8"/>
        <v>Nov</v>
      </c>
      <c r="D280" s="11" t="s">
        <v>25</v>
      </c>
      <c r="E280" s="13">
        <v>412312</v>
      </c>
      <c r="F280" s="13">
        <v>7117</v>
      </c>
      <c r="G280" s="13">
        <v>3</v>
      </c>
      <c r="H280" s="13">
        <v>151.45631067961099</v>
      </c>
      <c r="I280" s="13">
        <v>4.5436893203883502</v>
      </c>
      <c r="J280" s="13">
        <f t="shared" si="9"/>
        <v>155.99999999999935</v>
      </c>
      <c r="K280" s="13">
        <v>59.223300970873801</v>
      </c>
      <c r="L280" s="11" t="s">
        <v>41</v>
      </c>
      <c r="M280" s="26"/>
    </row>
    <row r="281" spans="1:13" x14ac:dyDescent="0.25">
      <c r="A281" s="6">
        <v>8.75929608919504E+16</v>
      </c>
      <c r="B281" s="30" t="s">
        <v>75</v>
      </c>
      <c r="C281" s="32" t="str">
        <f t="shared" si="8"/>
        <v>Nov</v>
      </c>
      <c r="D281" s="11" t="s">
        <v>16</v>
      </c>
      <c r="E281" s="13">
        <v>500020</v>
      </c>
      <c r="F281" s="13">
        <v>7117</v>
      </c>
      <c r="G281" s="13">
        <v>3</v>
      </c>
      <c r="H281" s="13">
        <v>145.631067961165</v>
      </c>
      <c r="I281" s="13">
        <v>4.86407766990291</v>
      </c>
      <c r="J281" s="13">
        <f t="shared" si="9"/>
        <v>150.49514563106791</v>
      </c>
      <c r="K281" s="13">
        <v>42.7184466019418</v>
      </c>
      <c r="L281" s="11" t="s">
        <v>53</v>
      </c>
      <c r="M281" s="26"/>
    </row>
    <row r="282" spans="1:13" x14ac:dyDescent="0.25">
      <c r="A282" s="6">
        <v>8.92286999849796E+16</v>
      </c>
      <c r="B282" s="30" t="s">
        <v>78</v>
      </c>
      <c r="C282" s="32" t="str">
        <f t="shared" si="8"/>
        <v>Nov</v>
      </c>
      <c r="D282" s="11" t="s">
        <v>25</v>
      </c>
      <c r="E282" s="13">
        <v>225403</v>
      </c>
      <c r="F282" s="13">
        <v>7117</v>
      </c>
      <c r="G282" s="13">
        <v>3</v>
      </c>
      <c r="H282" s="13">
        <v>128.15533980582501</v>
      </c>
      <c r="I282" s="13">
        <v>4.13592233009709</v>
      </c>
      <c r="J282" s="13">
        <f t="shared" si="9"/>
        <v>132.2912621359221</v>
      </c>
      <c r="K282" s="13">
        <v>59.223300970873801</v>
      </c>
      <c r="L282" s="11" t="s">
        <v>10</v>
      </c>
      <c r="M282" s="26"/>
    </row>
    <row r="283" spans="1:13" x14ac:dyDescent="0.25">
      <c r="A283" s="6">
        <v>8.3792324538331904E+16</v>
      </c>
      <c r="B283" s="30" t="s">
        <v>38</v>
      </c>
      <c r="C283" s="32" t="str">
        <f t="shared" si="8"/>
        <v>Nov</v>
      </c>
      <c r="D283" s="11" t="s">
        <v>16</v>
      </c>
      <c r="E283" s="13">
        <v>273212</v>
      </c>
      <c r="F283" s="13">
        <v>7117</v>
      </c>
      <c r="G283" s="13">
        <v>3</v>
      </c>
      <c r="H283" s="13">
        <v>150.485436893203</v>
      </c>
      <c r="I283" s="13">
        <v>4.8058252427184502</v>
      </c>
      <c r="J283" s="13">
        <f t="shared" si="9"/>
        <v>155.29126213592144</v>
      </c>
      <c r="K283" s="13">
        <v>49.514563106796103</v>
      </c>
      <c r="L283" s="11" t="s">
        <v>10</v>
      </c>
      <c r="M283" s="26"/>
    </row>
    <row r="284" spans="1:13" x14ac:dyDescent="0.25">
      <c r="A284" s="6">
        <v>8.90569689668048E+16</v>
      </c>
      <c r="B284" s="30" t="s">
        <v>70</v>
      </c>
      <c r="C284" s="32" t="str">
        <f t="shared" si="8"/>
        <v>Nov</v>
      </c>
      <c r="D284" s="11" t="s">
        <v>25</v>
      </c>
      <c r="E284" s="13">
        <v>110043</v>
      </c>
      <c r="F284" s="13">
        <v>7117</v>
      </c>
      <c r="G284" s="13">
        <v>3</v>
      </c>
      <c r="H284" s="13">
        <v>128.15533980582501</v>
      </c>
      <c r="I284" s="13">
        <v>4.13592233009709</v>
      </c>
      <c r="J284" s="13">
        <f t="shared" si="9"/>
        <v>132.2912621359221</v>
      </c>
      <c r="K284" s="13">
        <v>59.223300970873801</v>
      </c>
      <c r="L284" s="11" t="s">
        <v>28</v>
      </c>
      <c r="M284" s="26"/>
    </row>
    <row r="285" spans="1:13" x14ac:dyDescent="0.25">
      <c r="A285" s="6">
        <v>8.6046346247279904E+16</v>
      </c>
      <c r="B285" s="30" t="s">
        <v>73</v>
      </c>
      <c r="C285" s="32" t="str">
        <f t="shared" si="8"/>
        <v>Nov</v>
      </c>
      <c r="D285" s="11" t="s">
        <v>21</v>
      </c>
      <c r="E285" s="13">
        <v>752038</v>
      </c>
      <c r="F285" s="13">
        <v>7117</v>
      </c>
      <c r="G285" s="13">
        <v>3</v>
      </c>
      <c r="H285" s="13">
        <v>158.252427184466</v>
      </c>
      <c r="I285" s="13">
        <v>4.7475728155339798</v>
      </c>
      <c r="J285" s="13">
        <f t="shared" si="9"/>
        <v>162.99999999999997</v>
      </c>
      <c r="K285" s="13">
        <v>58.252427184466001</v>
      </c>
      <c r="L285" s="11" t="s">
        <v>54</v>
      </c>
      <c r="M285" s="26"/>
    </row>
    <row r="286" spans="1:13" x14ac:dyDescent="0.25">
      <c r="A286" s="6">
        <v>9.1111234992741296E+16</v>
      </c>
      <c r="B286" s="30" t="s">
        <v>99</v>
      </c>
      <c r="C286" s="32" t="str">
        <f t="shared" si="8"/>
        <v>Nov</v>
      </c>
      <c r="D286" s="11" t="s">
        <v>16</v>
      </c>
      <c r="E286" s="13">
        <v>845401</v>
      </c>
      <c r="F286" s="13">
        <v>7117</v>
      </c>
      <c r="G286" s="13">
        <v>3</v>
      </c>
      <c r="H286" s="13">
        <v>165.04854368932001</v>
      </c>
      <c r="I286" s="13">
        <v>5.0097087378640799</v>
      </c>
      <c r="J286" s="13">
        <f t="shared" si="9"/>
        <v>170.0582524271841</v>
      </c>
      <c r="K286" s="13">
        <v>56.3106796116505</v>
      </c>
      <c r="L286" s="11" t="s">
        <v>22</v>
      </c>
      <c r="M286" s="26"/>
    </row>
    <row r="287" spans="1:13" x14ac:dyDescent="0.25">
      <c r="A287" s="6">
        <v>9.4011951287317408E+16</v>
      </c>
      <c r="B287" s="30" t="s">
        <v>81</v>
      </c>
      <c r="C287" s="32" t="str">
        <f t="shared" si="8"/>
        <v>Nov</v>
      </c>
      <c r="D287" s="11" t="s">
        <v>9</v>
      </c>
      <c r="E287" s="13">
        <v>110091</v>
      </c>
      <c r="F287" s="13">
        <v>7117</v>
      </c>
      <c r="G287" s="13">
        <v>3</v>
      </c>
      <c r="H287" s="13">
        <v>193.20388349514499</v>
      </c>
      <c r="I287" s="13">
        <v>6.5825242718446599</v>
      </c>
      <c r="J287" s="13">
        <f t="shared" si="9"/>
        <v>199.78640776698964</v>
      </c>
      <c r="K287" s="13">
        <v>37.864077669902898</v>
      </c>
      <c r="L287" s="11" t="s">
        <v>28</v>
      </c>
      <c r="M287" s="26"/>
    </row>
    <row r="288" spans="1:13" x14ac:dyDescent="0.25">
      <c r="A288" s="6">
        <v>8.8689315053299296E+16</v>
      </c>
      <c r="B288" s="30" t="s">
        <v>69</v>
      </c>
      <c r="C288" s="32" t="str">
        <f t="shared" si="8"/>
        <v>Nov</v>
      </c>
      <c r="D288" s="11" t="s">
        <v>21</v>
      </c>
      <c r="E288" s="13">
        <v>324008</v>
      </c>
      <c r="F288" s="13">
        <v>340600</v>
      </c>
      <c r="G288" s="13">
        <v>12</v>
      </c>
      <c r="H288" s="13">
        <v>140.17857142857099</v>
      </c>
      <c r="I288" s="13">
        <v>17.464285714285701</v>
      </c>
      <c r="J288" s="13">
        <f t="shared" si="9"/>
        <v>157.64285714285668</v>
      </c>
      <c r="K288" s="13">
        <v>48.214285714285701</v>
      </c>
      <c r="L288" s="11" t="s">
        <v>46</v>
      </c>
      <c r="M288" s="26"/>
    </row>
    <row r="289" spans="1:13" x14ac:dyDescent="0.25">
      <c r="A289" s="6">
        <v>8.7061694488646896E+16</v>
      </c>
      <c r="B289" s="30" t="s">
        <v>83</v>
      </c>
      <c r="C289" s="32" t="str">
        <f t="shared" si="8"/>
        <v>Nov</v>
      </c>
      <c r="D289" s="11" t="s">
        <v>52</v>
      </c>
      <c r="E289" s="13">
        <v>700040</v>
      </c>
      <c r="F289" s="13">
        <v>340600</v>
      </c>
      <c r="G289" s="13">
        <v>12</v>
      </c>
      <c r="H289" s="13">
        <v>172.32142857142799</v>
      </c>
      <c r="I289" s="13">
        <v>20.678571428571399</v>
      </c>
      <c r="J289" s="13">
        <f t="shared" si="9"/>
        <v>192.99999999999937</v>
      </c>
      <c r="K289" s="13">
        <v>66.964285714285694</v>
      </c>
      <c r="L289" s="11" t="s">
        <v>14</v>
      </c>
      <c r="M289" s="26"/>
    </row>
    <row r="290" spans="1:13" x14ac:dyDescent="0.25">
      <c r="A290" s="6">
        <v>8.9639066338470704E+16</v>
      </c>
      <c r="B290" s="30" t="s">
        <v>77</v>
      </c>
      <c r="C290" s="32" t="str">
        <f t="shared" si="8"/>
        <v>Nov</v>
      </c>
      <c r="D290" s="11" t="s">
        <v>16</v>
      </c>
      <c r="E290" s="13">
        <v>798620</v>
      </c>
      <c r="F290" s="13">
        <v>340600</v>
      </c>
      <c r="G290" s="13">
        <v>12</v>
      </c>
      <c r="H290" s="13">
        <v>163.392857142857</v>
      </c>
      <c r="I290" s="13">
        <v>19.607142857142801</v>
      </c>
      <c r="J290" s="13">
        <f t="shared" si="9"/>
        <v>182.9999999999998</v>
      </c>
      <c r="K290" s="13">
        <v>66.964285714285694</v>
      </c>
      <c r="L290" s="11" t="s">
        <v>103</v>
      </c>
      <c r="M290" s="26"/>
    </row>
    <row r="291" spans="1:13" x14ac:dyDescent="0.25">
      <c r="A291" s="6">
        <v>9.0690182374366096E+16</v>
      </c>
      <c r="B291" s="30" t="s">
        <v>74</v>
      </c>
      <c r="C291" s="32" t="str">
        <f t="shared" si="8"/>
        <v>Nov</v>
      </c>
      <c r="D291" s="11" t="s">
        <v>16</v>
      </c>
      <c r="E291" s="13">
        <v>824102</v>
      </c>
      <c r="F291" s="13">
        <v>7117</v>
      </c>
      <c r="G291" s="13">
        <v>3</v>
      </c>
      <c r="H291" s="13">
        <v>135.92233009708701</v>
      </c>
      <c r="I291" s="13">
        <v>4.13592233009709</v>
      </c>
      <c r="J291" s="13">
        <f t="shared" si="9"/>
        <v>140.0582524271841</v>
      </c>
      <c r="K291" s="13">
        <v>57.2815533980583</v>
      </c>
      <c r="L291" s="11" t="s">
        <v>22</v>
      </c>
      <c r="M291" s="26"/>
    </row>
    <row r="292" spans="1:13" x14ac:dyDescent="0.25">
      <c r="A292" s="6">
        <v>9.3233047290023504E+16</v>
      </c>
      <c r="B292" s="30" t="s">
        <v>93</v>
      </c>
      <c r="C292" s="32" t="str">
        <f t="shared" si="8"/>
        <v>Nov</v>
      </c>
      <c r="D292" s="11" t="s">
        <v>16</v>
      </c>
      <c r="E292" s="13">
        <v>804407</v>
      </c>
      <c r="F292" s="13">
        <v>7117</v>
      </c>
      <c r="G292" s="13">
        <v>3</v>
      </c>
      <c r="H292" s="13">
        <v>169.90291262135901</v>
      </c>
      <c r="I292" s="13">
        <v>5.0970873786407802</v>
      </c>
      <c r="J292" s="13">
        <f t="shared" si="9"/>
        <v>174.9999999999998</v>
      </c>
      <c r="K292" s="13">
        <v>58.252427184466001</v>
      </c>
      <c r="L292" s="11" t="s">
        <v>22</v>
      </c>
      <c r="M292" s="26"/>
    </row>
    <row r="293" spans="1:13" x14ac:dyDescent="0.25">
      <c r="A293" s="6">
        <v>8.75171706295748E+16</v>
      </c>
      <c r="B293" s="30" t="s">
        <v>75</v>
      </c>
      <c r="C293" s="32" t="str">
        <f t="shared" si="8"/>
        <v>Nov</v>
      </c>
      <c r="D293" s="11" t="s">
        <v>21</v>
      </c>
      <c r="E293" s="13">
        <v>212601</v>
      </c>
      <c r="F293" s="13">
        <v>7117</v>
      </c>
      <c r="G293" s="13">
        <v>3</v>
      </c>
      <c r="H293" s="13">
        <v>165.04854368932001</v>
      </c>
      <c r="I293" s="13">
        <v>5.2427184466019403</v>
      </c>
      <c r="J293" s="13">
        <f t="shared" si="9"/>
        <v>170.29126213592195</v>
      </c>
      <c r="K293" s="13">
        <v>49.514563106796103</v>
      </c>
      <c r="L293" s="11" t="s">
        <v>10</v>
      </c>
      <c r="M293" s="26"/>
    </row>
    <row r="294" spans="1:13" x14ac:dyDescent="0.25">
      <c r="A294" s="6">
        <v>8.6756016521183392E+16</v>
      </c>
      <c r="B294" s="30" t="s">
        <v>90</v>
      </c>
      <c r="C294" s="32" t="str">
        <f t="shared" si="8"/>
        <v>Nov</v>
      </c>
      <c r="D294" s="11" t="s">
        <v>16</v>
      </c>
      <c r="E294" s="13">
        <v>110040</v>
      </c>
      <c r="F294" s="13">
        <v>7117</v>
      </c>
      <c r="G294" s="13">
        <v>3</v>
      </c>
      <c r="H294" s="13">
        <v>150.485436893203</v>
      </c>
      <c r="I294" s="13">
        <v>4.8058252427184502</v>
      </c>
      <c r="J294" s="13">
        <f t="shared" si="9"/>
        <v>155.29126213592144</v>
      </c>
      <c r="K294" s="13">
        <v>49.514563106796103</v>
      </c>
      <c r="L294" s="11" t="s">
        <v>28</v>
      </c>
      <c r="M294" s="26"/>
    </row>
    <row r="295" spans="1:13" x14ac:dyDescent="0.25">
      <c r="A295" s="6">
        <v>9.06631754913884E+16</v>
      </c>
      <c r="B295" s="30" t="s">
        <v>74</v>
      </c>
      <c r="C295" s="32" t="str">
        <f t="shared" si="8"/>
        <v>Nov</v>
      </c>
      <c r="D295" s="11" t="s">
        <v>16</v>
      </c>
      <c r="E295" s="13">
        <v>223226</v>
      </c>
      <c r="F295" s="13">
        <v>7117</v>
      </c>
      <c r="G295" s="13">
        <v>3</v>
      </c>
      <c r="H295" s="13">
        <v>127.184466019417</v>
      </c>
      <c r="I295" s="13">
        <v>4.5436893203883502</v>
      </c>
      <c r="J295" s="13">
        <f t="shared" si="9"/>
        <v>131.72815533980534</v>
      </c>
      <c r="K295" s="13">
        <v>34.951456310679603</v>
      </c>
      <c r="L295" s="11" t="s">
        <v>10</v>
      </c>
      <c r="M295" s="26"/>
    </row>
    <row r="296" spans="1:13" x14ac:dyDescent="0.25">
      <c r="A296" s="6">
        <v>8.8582461495374592E+16</v>
      </c>
      <c r="B296" s="30" t="s">
        <v>69</v>
      </c>
      <c r="C296" s="32" t="str">
        <f t="shared" si="8"/>
        <v>Nov</v>
      </c>
      <c r="D296" s="11" t="s">
        <v>16</v>
      </c>
      <c r="E296" s="13">
        <v>802312</v>
      </c>
      <c r="F296" s="13">
        <v>7117</v>
      </c>
      <c r="G296" s="13">
        <v>3</v>
      </c>
      <c r="H296" s="13">
        <v>155.339805825242</v>
      </c>
      <c r="I296" s="13">
        <v>4.7475728155339798</v>
      </c>
      <c r="J296" s="13">
        <f t="shared" si="9"/>
        <v>160.08737864077597</v>
      </c>
      <c r="K296" s="13">
        <v>55.339805825242699</v>
      </c>
      <c r="L296" s="11" t="s">
        <v>22</v>
      </c>
      <c r="M296" s="26"/>
    </row>
    <row r="297" spans="1:13" x14ac:dyDescent="0.25">
      <c r="A297" s="6">
        <v>9.0691937850131296E+16</v>
      </c>
      <c r="B297" s="30" t="s">
        <v>74</v>
      </c>
      <c r="C297" s="32" t="str">
        <f t="shared" si="8"/>
        <v>Nov</v>
      </c>
      <c r="D297" s="11" t="s">
        <v>71</v>
      </c>
      <c r="E297" s="13">
        <v>711106</v>
      </c>
      <c r="F297" s="13">
        <v>7117</v>
      </c>
      <c r="G297" s="13">
        <v>3</v>
      </c>
      <c r="H297" s="13">
        <v>137.864077669902</v>
      </c>
      <c r="I297" s="13">
        <v>4.13592233009709</v>
      </c>
      <c r="J297" s="13">
        <f t="shared" si="9"/>
        <v>141.99999999999909</v>
      </c>
      <c r="K297" s="13">
        <v>59.223300970873801</v>
      </c>
      <c r="L297" s="11" t="s">
        <v>14</v>
      </c>
      <c r="M297" s="26"/>
    </row>
    <row r="298" spans="1:13" x14ac:dyDescent="0.25">
      <c r="A298" s="6">
        <v>8.9927123490974496E+16</v>
      </c>
      <c r="B298" s="30" t="s">
        <v>82</v>
      </c>
      <c r="C298" s="32" t="str">
        <f t="shared" si="8"/>
        <v>Nov</v>
      </c>
      <c r="D298" s="11" t="s">
        <v>16</v>
      </c>
      <c r="E298" s="13">
        <v>313027</v>
      </c>
      <c r="F298" s="13">
        <v>7117</v>
      </c>
      <c r="G298" s="13">
        <v>18</v>
      </c>
      <c r="H298" s="13">
        <v>135.593220338983</v>
      </c>
      <c r="I298" s="13">
        <v>28.220338983050802</v>
      </c>
      <c r="J298" s="13">
        <f t="shared" si="9"/>
        <v>163.8135593220338</v>
      </c>
      <c r="K298" s="13">
        <v>32.203389830508499</v>
      </c>
      <c r="L298" s="11" t="s">
        <v>46</v>
      </c>
      <c r="M298" s="26"/>
    </row>
    <row r="299" spans="1:13" x14ac:dyDescent="0.25">
      <c r="A299" s="6">
        <v>8.78186791034008E+16</v>
      </c>
      <c r="B299" s="30" t="s">
        <v>76</v>
      </c>
      <c r="C299" s="32" t="str">
        <f t="shared" si="8"/>
        <v>Nov</v>
      </c>
      <c r="D299" s="11" t="s">
        <v>16</v>
      </c>
      <c r="E299" s="13">
        <v>683110</v>
      </c>
      <c r="F299" s="13">
        <v>340600</v>
      </c>
      <c r="G299" s="13">
        <v>12</v>
      </c>
      <c r="H299" s="13">
        <v>154.46428571428501</v>
      </c>
      <c r="I299" s="13">
        <v>20.464285714285701</v>
      </c>
      <c r="J299" s="13">
        <f t="shared" si="9"/>
        <v>174.92857142857071</v>
      </c>
      <c r="K299" s="13">
        <v>51.785714285714299</v>
      </c>
      <c r="L299" s="11" t="s">
        <v>98</v>
      </c>
      <c r="M299" s="26"/>
    </row>
    <row r="300" spans="1:13" x14ac:dyDescent="0.25">
      <c r="A300" s="6">
        <v>8.9411142611096096E+16</v>
      </c>
      <c r="B300" s="30" t="s">
        <v>78</v>
      </c>
      <c r="C300" s="32" t="str">
        <f t="shared" si="8"/>
        <v>Nov</v>
      </c>
      <c r="D300" s="11" t="s">
        <v>16</v>
      </c>
      <c r="E300" s="13">
        <v>144601</v>
      </c>
      <c r="F300" s="13">
        <v>7117</v>
      </c>
      <c r="G300" s="13">
        <v>3</v>
      </c>
      <c r="H300" s="13">
        <v>112.621359223301</v>
      </c>
      <c r="I300" s="13">
        <v>3.6699029126213598</v>
      </c>
      <c r="J300" s="13">
        <f t="shared" si="9"/>
        <v>116.29126213592235</v>
      </c>
      <c r="K300" s="13">
        <v>50.485436893203897</v>
      </c>
      <c r="L300" s="11" t="s">
        <v>17</v>
      </c>
      <c r="M300" s="26"/>
    </row>
    <row r="301" spans="1:13" x14ac:dyDescent="0.25">
      <c r="A301" s="6">
        <v>8.9661408568660608E+16</v>
      </c>
      <c r="B301" s="30" t="s">
        <v>77</v>
      </c>
      <c r="C301" s="32" t="str">
        <f t="shared" si="8"/>
        <v>Nov</v>
      </c>
      <c r="D301" s="11" t="s">
        <v>16</v>
      </c>
      <c r="E301" s="13">
        <v>600112</v>
      </c>
      <c r="F301" s="13">
        <v>340600</v>
      </c>
      <c r="G301" s="13">
        <v>12</v>
      </c>
      <c r="H301" s="13">
        <v>163.392857142857</v>
      </c>
      <c r="I301" s="13">
        <v>19.607142857142801</v>
      </c>
      <c r="J301" s="13">
        <f t="shared" si="9"/>
        <v>182.9999999999998</v>
      </c>
      <c r="K301" s="13">
        <v>66.964285714285694</v>
      </c>
      <c r="L301" s="11" t="s">
        <v>27</v>
      </c>
      <c r="M301" s="26"/>
    </row>
    <row r="302" spans="1:13" x14ac:dyDescent="0.25">
      <c r="A302" s="6">
        <v>8.6159935742399104E+16</v>
      </c>
      <c r="B302" s="30" t="s">
        <v>73</v>
      </c>
      <c r="C302" s="32" t="str">
        <f t="shared" si="8"/>
        <v>Nov</v>
      </c>
      <c r="D302" s="11" t="s">
        <v>25</v>
      </c>
      <c r="E302" s="13">
        <v>522101</v>
      </c>
      <c r="F302" s="13">
        <v>7117</v>
      </c>
      <c r="G302" s="13">
        <v>3</v>
      </c>
      <c r="H302" s="13">
        <v>142.718446601941</v>
      </c>
      <c r="I302" s="13">
        <v>4.8058252427184502</v>
      </c>
      <c r="J302" s="13">
        <f t="shared" si="9"/>
        <v>147.52427184465944</v>
      </c>
      <c r="K302" s="13">
        <v>59.223300970873801</v>
      </c>
      <c r="L302" s="11" t="s">
        <v>39</v>
      </c>
      <c r="M302" s="26"/>
    </row>
    <row r="303" spans="1:13" x14ac:dyDescent="0.25">
      <c r="A303" s="6">
        <v>8.6839575577817904E+16</v>
      </c>
      <c r="B303" s="30" t="s">
        <v>90</v>
      </c>
      <c r="C303" s="32" t="str">
        <f t="shared" si="8"/>
        <v>Nov</v>
      </c>
      <c r="D303" s="11" t="s">
        <v>16</v>
      </c>
      <c r="E303" s="13">
        <v>245304</v>
      </c>
      <c r="F303" s="13">
        <v>7117</v>
      </c>
      <c r="G303" s="13">
        <v>3</v>
      </c>
      <c r="H303" s="13">
        <v>151.45631067961099</v>
      </c>
      <c r="I303" s="13">
        <v>4.7475728155339798</v>
      </c>
      <c r="J303" s="13">
        <f t="shared" si="9"/>
        <v>156.20388349514496</v>
      </c>
      <c r="K303" s="13">
        <v>51.456310679611697</v>
      </c>
      <c r="L303" s="11" t="s">
        <v>10</v>
      </c>
      <c r="M303" s="26"/>
    </row>
    <row r="304" spans="1:13" x14ac:dyDescent="0.25">
      <c r="A304" s="6">
        <v>9.3994970043578704E+16</v>
      </c>
      <c r="B304" s="30" t="s">
        <v>81</v>
      </c>
      <c r="C304" s="32" t="str">
        <f t="shared" si="8"/>
        <v>Nov</v>
      </c>
      <c r="D304" s="11" t="s">
        <v>9</v>
      </c>
      <c r="E304" s="13">
        <v>282007</v>
      </c>
      <c r="F304" s="13">
        <v>7117</v>
      </c>
      <c r="G304" s="13">
        <v>3</v>
      </c>
      <c r="H304" s="13">
        <v>146.601941747572</v>
      </c>
      <c r="I304" s="13">
        <v>4.6893203883495103</v>
      </c>
      <c r="J304" s="13">
        <f t="shared" si="9"/>
        <v>151.2912621359215</v>
      </c>
      <c r="K304" s="13">
        <v>49.514563106796103</v>
      </c>
      <c r="L304" s="11" t="s">
        <v>10</v>
      </c>
      <c r="M304" s="26"/>
    </row>
    <row r="305" spans="1:13" x14ac:dyDescent="0.25">
      <c r="A305" s="6">
        <v>9.0774362342261792E+16</v>
      </c>
      <c r="B305" s="30" t="s">
        <v>74</v>
      </c>
      <c r="C305" s="32" t="str">
        <f t="shared" si="8"/>
        <v>Nov</v>
      </c>
      <c r="D305" s="11" t="s">
        <v>16</v>
      </c>
      <c r="E305" s="13">
        <v>425502</v>
      </c>
      <c r="F305" s="13">
        <v>7117</v>
      </c>
      <c r="G305" s="13">
        <v>3</v>
      </c>
      <c r="H305" s="13">
        <v>149.514563106796</v>
      </c>
      <c r="I305" s="13">
        <v>4.4854368932038797</v>
      </c>
      <c r="J305" s="13">
        <f t="shared" si="9"/>
        <v>153.99999999999989</v>
      </c>
      <c r="K305" s="13">
        <v>59.223300970873801</v>
      </c>
      <c r="L305" s="11" t="s">
        <v>41</v>
      </c>
      <c r="M305" s="26"/>
    </row>
    <row r="306" spans="1:13" x14ac:dyDescent="0.25">
      <c r="A306" s="6">
        <v>8.8353827145258304E+16</v>
      </c>
      <c r="B306" s="30" t="s">
        <v>69</v>
      </c>
      <c r="C306" s="32" t="str">
        <f t="shared" si="8"/>
        <v>Nov</v>
      </c>
      <c r="D306" s="11" t="s">
        <v>16</v>
      </c>
      <c r="E306" s="13">
        <v>263148</v>
      </c>
      <c r="F306" s="13">
        <v>340600</v>
      </c>
      <c r="G306" s="13">
        <v>12</v>
      </c>
      <c r="H306" s="13">
        <v>299.99999999999898</v>
      </c>
      <c r="I306" s="13">
        <v>38.142857142857103</v>
      </c>
      <c r="J306" s="13">
        <f t="shared" si="9"/>
        <v>338.14285714285609</v>
      </c>
      <c r="K306" s="13">
        <v>89.285714285714306</v>
      </c>
      <c r="L306" s="11" t="s">
        <v>49</v>
      </c>
      <c r="M306" s="26"/>
    </row>
    <row r="307" spans="1:13" x14ac:dyDescent="0.25">
      <c r="A307" s="6">
        <v>8.9440471605717792E+16</v>
      </c>
      <c r="B307" s="30" t="s">
        <v>77</v>
      </c>
      <c r="C307" s="32" t="str">
        <f t="shared" si="8"/>
        <v>Nov</v>
      </c>
      <c r="D307" s="11" t="s">
        <v>16</v>
      </c>
      <c r="E307" s="13">
        <v>500034</v>
      </c>
      <c r="F307" s="13">
        <v>340600</v>
      </c>
      <c r="G307" s="13">
        <v>12</v>
      </c>
      <c r="H307" s="13">
        <v>159.82142857142799</v>
      </c>
      <c r="I307" s="13">
        <v>19.178571428571399</v>
      </c>
      <c r="J307" s="13">
        <f t="shared" si="9"/>
        <v>178.99999999999937</v>
      </c>
      <c r="K307" s="13">
        <v>54.464285714285701</v>
      </c>
      <c r="L307" s="11" t="s">
        <v>53</v>
      </c>
      <c r="M307" s="26"/>
    </row>
    <row r="308" spans="1:13" x14ac:dyDescent="0.25">
      <c r="A308" s="6">
        <v>8.6997469663035504E+16</v>
      </c>
      <c r="B308" s="30" t="s">
        <v>83</v>
      </c>
      <c r="C308" s="32" t="str">
        <f t="shared" si="8"/>
        <v>Nov</v>
      </c>
      <c r="D308" s="11" t="s">
        <v>25</v>
      </c>
      <c r="E308" s="13">
        <v>277213</v>
      </c>
      <c r="F308" s="13">
        <v>7117</v>
      </c>
      <c r="G308" s="13">
        <v>3</v>
      </c>
      <c r="H308" s="13">
        <v>150.485436893203</v>
      </c>
      <c r="I308" s="13">
        <v>4.8058252427184502</v>
      </c>
      <c r="J308" s="13">
        <f t="shared" si="9"/>
        <v>155.29126213592144</v>
      </c>
      <c r="K308" s="13">
        <v>49.514563106796103</v>
      </c>
      <c r="L308" s="11" t="s">
        <v>10</v>
      </c>
      <c r="M308" s="26"/>
    </row>
    <row r="309" spans="1:13" x14ac:dyDescent="0.25">
      <c r="A309" s="6">
        <v>8.8947396949540992E+16</v>
      </c>
      <c r="B309" s="30" t="s">
        <v>70</v>
      </c>
      <c r="C309" s="32" t="str">
        <f t="shared" si="8"/>
        <v>Nov</v>
      </c>
      <c r="D309" s="11" t="s">
        <v>16</v>
      </c>
      <c r="E309" s="13">
        <v>202135</v>
      </c>
      <c r="F309" s="13">
        <v>7117</v>
      </c>
      <c r="G309" s="13">
        <v>3</v>
      </c>
      <c r="H309" s="13">
        <v>139.80582524271799</v>
      </c>
      <c r="I309" s="13">
        <v>4.4854368932038797</v>
      </c>
      <c r="J309" s="13">
        <f t="shared" si="9"/>
        <v>144.29126213592187</v>
      </c>
      <c r="K309" s="13">
        <v>49.514563106796103</v>
      </c>
      <c r="L309" s="11" t="s">
        <v>10</v>
      </c>
      <c r="M309" s="26"/>
    </row>
    <row r="310" spans="1:13" x14ac:dyDescent="0.25">
      <c r="A310" s="6">
        <v>8.8159918817416496E+16</v>
      </c>
      <c r="B310" s="30" t="s">
        <v>68</v>
      </c>
      <c r="C310" s="32" t="str">
        <f t="shared" si="8"/>
        <v>Nov</v>
      </c>
      <c r="D310" s="11" t="s">
        <v>16</v>
      </c>
      <c r="E310" s="13">
        <v>803116</v>
      </c>
      <c r="F310" s="13">
        <v>7117</v>
      </c>
      <c r="G310" s="13">
        <v>3</v>
      </c>
      <c r="H310" s="13">
        <v>156.31067961164999</v>
      </c>
      <c r="I310" s="13">
        <v>4.6893203883495103</v>
      </c>
      <c r="J310" s="13">
        <f t="shared" si="9"/>
        <v>160.99999999999949</v>
      </c>
      <c r="K310" s="13">
        <v>59.223300970873801</v>
      </c>
      <c r="L310" s="11" t="s">
        <v>22</v>
      </c>
      <c r="M310" s="26"/>
    </row>
    <row r="311" spans="1:13" x14ac:dyDescent="0.25">
      <c r="A311" s="6">
        <v>9.0110590195827696E+16</v>
      </c>
      <c r="B311" s="30" t="s">
        <v>82</v>
      </c>
      <c r="C311" s="32" t="str">
        <f t="shared" si="8"/>
        <v>Nov</v>
      </c>
      <c r="D311" s="11" t="s">
        <v>52</v>
      </c>
      <c r="E311" s="13">
        <v>224201</v>
      </c>
      <c r="F311" s="13">
        <v>7117</v>
      </c>
      <c r="G311" s="13">
        <v>3</v>
      </c>
      <c r="H311" s="13">
        <v>148.54368932038801</v>
      </c>
      <c r="I311" s="13">
        <v>4.7475728155339798</v>
      </c>
      <c r="J311" s="13">
        <f t="shared" si="9"/>
        <v>153.29126213592198</v>
      </c>
      <c r="K311" s="13">
        <v>48.543689320388303</v>
      </c>
      <c r="L311" s="11" t="s">
        <v>10</v>
      </c>
      <c r="M311" s="26"/>
    </row>
    <row r="312" spans="1:13" x14ac:dyDescent="0.25">
      <c r="A312" s="6">
        <v>8.8533583334615904E+16</v>
      </c>
      <c r="B312" s="30" t="s">
        <v>69</v>
      </c>
      <c r="C312" s="32" t="str">
        <f t="shared" si="8"/>
        <v>Nov</v>
      </c>
      <c r="D312" s="11" t="s">
        <v>52</v>
      </c>
      <c r="E312" s="13">
        <v>585401</v>
      </c>
      <c r="F312" s="13">
        <v>7117</v>
      </c>
      <c r="G312" s="13">
        <v>3</v>
      </c>
      <c r="H312" s="13">
        <v>158.252427184466</v>
      </c>
      <c r="I312" s="13">
        <v>4.7475728155339798</v>
      </c>
      <c r="J312" s="13">
        <f t="shared" si="9"/>
        <v>162.99999999999997</v>
      </c>
      <c r="K312" s="13">
        <v>58.252427184466001</v>
      </c>
      <c r="L312" s="11" t="s">
        <v>19</v>
      </c>
      <c r="M312" s="26"/>
    </row>
    <row r="313" spans="1:13" x14ac:dyDescent="0.25">
      <c r="A313" s="6">
        <v>8.6167057700891504E+16</v>
      </c>
      <c r="B313" s="30" t="s">
        <v>94</v>
      </c>
      <c r="C313" s="32" t="str">
        <f t="shared" si="8"/>
        <v>Nov</v>
      </c>
      <c r="D313" s="11" t="s">
        <v>16</v>
      </c>
      <c r="E313" s="13">
        <v>250004</v>
      </c>
      <c r="F313" s="13">
        <v>340600</v>
      </c>
      <c r="G313" s="13">
        <v>12</v>
      </c>
      <c r="H313" s="13">
        <v>150</v>
      </c>
      <c r="I313" s="13">
        <v>20.678571428571399</v>
      </c>
      <c r="J313" s="13">
        <f t="shared" si="9"/>
        <v>170.67857142857139</v>
      </c>
      <c r="K313" s="13">
        <v>44.642857142857103</v>
      </c>
      <c r="L313" s="11" t="s">
        <v>10</v>
      </c>
      <c r="M313" s="26"/>
    </row>
    <row r="314" spans="1:13" x14ac:dyDescent="0.25">
      <c r="A314" s="6">
        <v>8.5777557726884608E+16</v>
      </c>
      <c r="B314" s="30" t="s">
        <v>87</v>
      </c>
      <c r="C314" s="32" t="str">
        <f t="shared" si="8"/>
        <v>Nov</v>
      </c>
      <c r="D314" s="11" t="s">
        <v>16</v>
      </c>
      <c r="E314" s="13">
        <v>788720</v>
      </c>
      <c r="F314" s="13">
        <v>7117</v>
      </c>
      <c r="G314" s="13">
        <v>3</v>
      </c>
      <c r="H314" s="13">
        <v>180.58252427184399</v>
      </c>
      <c r="I314" s="13">
        <v>5.4174757281553401</v>
      </c>
      <c r="J314" s="13">
        <f t="shared" si="9"/>
        <v>185.99999999999935</v>
      </c>
      <c r="K314" s="13">
        <v>80.582524271844704</v>
      </c>
      <c r="L314" s="11" t="s">
        <v>35</v>
      </c>
      <c r="M314" s="26"/>
    </row>
    <row r="315" spans="1:13" x14ac:dyDescent="0.25">
      <c r="A315" s="6">
        <v>8.9279899135365696E+16</v>
      </c>
      <c r="B315" s="30" t="s">
        <v>78</v>
      </c>
      <c r="C315" s="32" t="str">
        <f t="shared" si="8"/>
        <v>Nov</v>
      </c>
      <c r="D315" s="11" t="s">
        <v>16</v>
      </c>
      <c r="E315" s="13">
        <v>673014</v>
      </c>
      <c r="F315" s="13">
        <v>340600</v>
      </c>
      <c r="G315" s="13">
        <v>12</v>
      </c>
      <c r="H315" s="13">
        <v>132.142857142857</v>
      </c>
      <c r="I315" s="13">
        <v>17.464285714285701</v>
      </c>
      <c r="J315" s="13">
        <f t="shared" si="9"/>
        <v>149.60714285714269</v>
      </c>
      <c r="K315" s="13">
        <v>40.178571428571402</v>
      </c>
      <c r="L315" s="11" t="s">
        <v>98</v>
      </c>
      <c r="M315" s="26"/>
    </row>
    <row r="316" spans="1:13" x14ac:dyDescent="0.25">
      <c r="A316" s="6">
        <v>8.9440471605717792E+16</v>
      </c>
      <c r="B316" s="30" t="s">
        <v>77</v>
      </c>
      <c r="C316" s="32" t="str">
        <f t="shared" si="8"/>
        <v>Nov</v>
      </c>
      <c r="D316" s="11" t="s">
        <v>16</v>
      </c>
      <c r="E316" s="13">
        <v>500034</v>
      </c>
      <c r="F316" s="13">
        <v>340600</v>
      </c>
      <c r="G316" s="13">
        <v>12</v>
      </c>
      <c r="H316" s="13">
        <v>191.07142857142799</v>
      </c>
      <c r="I316" s="13">
        <v>22.928571428571399</v>
      </c>
      <c r="J316" s="13">
        <f t="shared" si="9"/>
        <v>213.99999999999937</v>
      </c>
      <c r="K316" s="13">
        <v>54.464285714285701</v>
      </c>
      <c r="L316" s="11" t="s">
        <v>53</v>
      </c>
      <c r="M316" s="26"/>
    </row>
    <row r="317" spans="1:13" x14ac:dyDescent="0.25">
      <c r="A317" s="6">
        <v>9.2330314466886496E+16</v>
      </c>
      <c r="B317" s="30" t="s">
        <v>80</v>
      </c>
      <c r="C317" s="32" t="str">
        <f t="shared" si="8"/>
        <v>Nov</v>
      </c>
      <c r="D317" s="11" t="s">
        <v>9</v>
      </c>
      <c r="E317" s="13">
        <v>402103</v>
      </c>
      <c r="F317" s="13">
        <v>7117</v>
      </c>
      <c r="G317" s="13">
        <v>3</v>
      </c>
      <c r="H317" s="13">
        <v>157.28155339805801</v>
      </c>
      <c r="I317" s="13">
        <v>4.7184466019417499</v>
      </c>
      <c r="J317" s="13">
        <f t="shared" si="9"/>
        <v>161.99999999999977</v>
      </c>
      <c r="K317" s="13">
        <v>57.2815533980583</v>
      </c>
      <c r="L317" s="11" t="s">
        <v>41</v>
      </c>
      <c r="M317" s="26"/>
    </row>
    <row r="318" spans="1:13" x14ac:dyDescent="0.25">
      <c r="A318" s="6">
        <v>9.04299455212516E+16</v>
      </c>
      <c r="B318" s="30" t="s">
        <v>84</v>
      </c>
      <c r="C318" s="32" t="str">
        <f t="shared" si="8"/>
        <v>Nov</v>
      </c>
      <c r="D318" s="11" t="s">
        <v>16</v>
      </c>
      <c r="E318" s="13">
        <v>621701</v>
      </c>
      <c r="F318" s="13">
        <v>7117</v>
      </c>
      <c r="G318" s="13">
        <v>3</v>
      </c>
      <c r="H318" s="13">
        <v>158.252427184466</v>
      </c>
      <c r="I318" s="13">
        <v>4.7475728155339798</v>
      </c>
      <c r="J318" s="13">
        <f t="shared" si="9"/>
        <v>162.99999999999997</v>
      </c>
      <c r="K318" s="13">
        <v>58.252427184466001</v>
      </c>
      <c r="L318" s="11" t="s">
        <v>27</v>
      </c>
      <c r="M318" s="26"/>
    </row>
    <row r="319" spans="1:13" x14ac:dyDescent="0.25">
      <c r="A319" s="6">
        <v>8.9366837535634208E+16</v>
      </c>
      <c r="B319" s="30" t="s">
        <v>78</v>
      </c>
      <c r="C319" s="32" t="str">
        <f t="shared" si="8"/>
        <v>Nov</v>
      </c>
      <c r="D319" s="11" t="s">
        <v>52</v>
      </c>
      <c r="E319" s="13">
        <v>244231</v>
      </c>
      <c r="F319" s="13">
        <v>7117</v>
      </c>
      <c r="G319" s="13">
        <v>3</v>
      </c>
      <c r="H319" s="13">
        <v>146.601941747572</v>
      </c>
      <c r="I319" s="13">
        <v>4.6893203883495103</v>
      </c>
      <c r="J319" s="13">
        <f t="shared" si="9"/>
        <v>151.2912621359215</v>
      </c>
      <c r="K319" s="13">
        <v>49.514563106796103</v>
      </c>
      <c r="L319" s="11" t="s">
        <v>10</v>
      </c>
      <c r="M319" s="26"/>
    </row>
    <row r="320" spans="1:13" x14ac:dyDescent="0.25">
      <c r="A320" s="6">
        <v>8.6759472160821792E+16</v>
      </c>
      <c r="B320" s="30" t="s">
        <v>90</v>
      </c>
      <c r="C320" s="32" t="str">
        <f t="shared" si="8"/>
        <v>Nov</v>
      </c>
      <c r="D320" s="11" t="s">
        <v>16</v>
      </c>
      <c r="E320" s="13">
        <v>328001</v>
      </c>
      <c r="F320" s="13">
        <v>7117</v>
      </c>
      <c r="G320" s="13">
        <v>3</v>
      </c>
      <c r="H320" s="13">
        <v>125.242718446601</v>
      </c>
      <c r="I320" s="13">
        <v>4.4854368932038797</v>
      </c>
      <c r="J320" s="13">
        <f t="shared" si="9"/>
        <v>129.72815533980489</v>
      </c>
      <c r="K320" s="13">
        <v>34.951456310679603</v>
      </c>
      <c r="L320" s="11" t="s">
        <v>46</v>
      </c>
      <c r="M320" s="26"/>
    </row>
    <row r="321" spans="1:13" x14ac:dyDescent="0.25">
      <c r="A321" s="6">
        <v>8.9575348435036992E+16</v>
      </c>
      <c r="B321" s="30" t="s">
        <v>77</v>
      </c>
      <c r="C321" s="32" t="str">
        <f t="shared" si="8"/>
        <v>Nov</v>
      </c>
      <c r="D321" s="11" t="s">
        <v>16</v>
      </c>
      <c r="E321" s="13">
        <v>412312</v>
      </c>
      <c r="F321" s="13">
        <v>7117</v>
      </c>
      <c r="G321" s="13">
        <v>3</v>
      </c>
      <c r="H321" s="13">
        <v>151.45631067961099</v>
      </c>
      <c r="I321" s="13">
        <v>4.5436893203883502</v>
      </c>
      <c r="J321" s="13">
        <f t="shared" si="9"/>
        <v>155.99999999999935</v>
      </c>
      <c r="K321" s="13">
        <v>59.223300970873801</v>
      </c>
      <c r="L321" s="11" t="s">
        <v>41</v>
      </c>
      <c r="M321" s="26"/>
    </row>
    <row r="322" spans="1:13" x14ac:dyDescent="0.25">
      <c r="A322" s="6">
        <v>8.67951942313904E+16</v>
      </c>
      <c r="B322" s="30" t="s">
        <v>90</v>
      </c>
      <c r="C322" s="32" t="str">
        <f t="shared" si="8"/>
        <v>Nov</v>
      </c>
      <c r="D322" s="11" t="s">
        <v>52</v>
      </c>
      <c r="E322" s="13">
        <v>735220</v>
      </c>
      <c r="F322" s="13">
        <v>7117</v>
      </c>
      <c r="G322" s="13">
        <v>3</v>
      </c>
      <c r="H322" s="13">
        <v>158.252427184466</v>
      </c>
      <c r="I322" s="13">
        <v>4.7475728155339798</v>
      </c>
      <c r="J322" s="13">
        <f t="shared" si="9"/>
        <v>162.99999999999997</v>
      </c>
      <c r="K322" s="13">
        <v>58.252427184466001</v>
      </c>
      <c r="L322" s="11" t="s">
        <v>14</v>
      </c>
      <c r="M322" s="26"/>
    </row>
    <row r="323" spans="1:13" x14ac:dyDescent="0.25">
      <c r="A323" s="6">
        <v>8.9104589971751104E+16</v>
      </c>
      <c r="B323" s="30" t="s">
        <v>78</v>
      </c>
      <c r="C323" s="32" t="str">
        <f t="shared" ref="C323:C386" si="10">TEXT(B323, "mmm")</f>
        <v>Nov</v>
      </c>
      <c r="D323" s="11" t="s">
        <v>16</v>
      </c>
      <c r="E323" s="13">
        <v>131001</v>
      </c>
      <c r="F323" s="13">
        <v>7117</v>
      </c>
      <c r="G323" s="13">
        <v>3</v>
      </c>
      <c r="H323" s="13">
        <v>109.70873786407699</v>
      </c>
      <c r="I323" s="13">
        <v>3.5825242718446599</v>
      </c>
      <c r="J323" s="13">
        <f t="shared" ref="J323:J386" si="11">H323+I323</f>
        <v>113.29126213592166</v>
      </c>
      <c r="K323" s="13">
        <v>50.485436893203897</v>
      </c>
      <c r="L323" s="11" t="s">
        <v>63</v>
      </c>
      <c r="M323" s="26"/>
    </row>
    <row r="324" spans="1:13" x14ac:dyDescent="0.25">
      <c r="A324" s="6">
        <v>9.1492765561134E+16</v>
      </c>
      <c r="B324" s="30" t="s">
        <v>92</v>
      </c>
      <c r="C324" s="32" t="str">
        <f t="shared" si="10"/>
        <v>Nov</v>
      </c>
      <c r="D324" s="11" t="s">
        <v>25</v>
      </c>
      <c r="E324" s="13">
        <v>852214</v>
      </c>
      <c r="F324" s="13">
        <v>7117</v>
      </c>
      <c r="G324" s="13">
        <v>3</v>
      </c>
      <c r="H324" s="13">
        <v>160.19417475728099</v>
      </c>
      <c r="I324" s="13">
        <v>4.8058252427184502</v>
      </c>
      <c r="J324" s="13">
        <f t="shared" si="11"/>
        <v>164.99999999999943</v>
      </c>
      <c r="K324" s="13">
        <v>59.223300970873801</v>
      </c>
      <c r="L324" s="11" t="s">
        <v>22</v>
      </c>
      <c r="M324" s="26"/>
    </row>
    <row r="325" spans="1:13" x14ac:dyDescent="0.25">
      <c r="A325" s="6">
        <v>9.2510853938512896E+16</v>
      </c>
      <c r="B325" s="30" t="s">
        <v>80</v>
      </c>
      <c r="C325" s="32" t="str">
        <f t="shared" si="10"/>
        <v>Nov</v>
      </c>
      <c r="D325" s="11" t="s">
        <v>9</v>
      </c>
      <c r="E325" s="13">
        <v>243201</v>
      </c>
      <c r="F325" s="13">
        <v>7117</v>
      </c>
      <c r="G325" s="13">
        <v>3</v>
      </c>
      <c r="H325" s="13">
        <v>144.66019417475701</v>
      </c>
      <c r="I325" s="13">
        <v>4.6310679611650496</v>
      </c>
      <c r="J325" s="13">
        <f t="shared" si="11"/>
        <v>149.29126213592207</v>
      </c>
      <c r="K325" s="13">
        <v>47.572815533980602</v>
      </c>
      <c r="L325" s="11" t="s">
        <v>10</v>
      </c>
      <c r="M325" s="26"/>
    </row>
    <row r="326" spans="1:13" x14ac:dyDescent="0.25">
      <c r="A326" s="6">
        <v>8.7460421212706096E+16</v>
      </c>
      <c r="B326" s="30" t="s">
        <v>75</v>
      </c>
      <c r="C326" s="32" t="str">
        <f t="shared" si="10"/>
        <v>Nov</v>
      </c>
      <c r="D326" s="11" t="s">
        <v>52</v>
      </c>
      <c r="E326" s="13">
        <v>802132</v>
      </c>
      <c r="F326" s="13">
        <v>7117</v>
      </c>
      <c r="G326" s="13">
        <v>3</v>
      </c>
      <c r="H326" s="13">
        <v>157.28155339805801</v>
      </c>
      <c r="I326" s="13">
        <v>5.2427184466019403</v>
      </c>
      <c r="J326" s="13">
        <f t="shared" si="11"/>
        <v>162.52427184465995</v>
      </c>
      <c r="K326" s="13">
        <v>41.747572815533999</v>
      </c>
      <c r="L326" s="11" t="s">
        <v>22</v>
      </c>
      <c r="M326" s="26"/>
    </row>
    <row r="327" spans="1:13" x14ac:dyDescent="0.25">
      <c r="A327" s="6">
        <v>9.0302275847488496E+16</v>
      </c>
      <c r="B327" s="30" t="s">
        <v>84</v>
      </c>
      <c r="C327" s="32" t="str">
        <f t="shared" si="10"/>
        <v>Nov</v>
      </c>
      <c r="D327" s="11" t="s">
        <v>25</v>
      </c>
      <c r="E327" s="13">
        <v>362266</v>
      </c>
      <c r="F327" s="13">
        <v>340600</v>
      </c>
      <c r="G327" s="13">
        <v>12</v>
      </c>
      <c r="H327" s="13">
        <v>169.642857142857</v>
      </c>
      <c r="I327" s="13">
        <v>20.357142857142801</v>
      </c>
      <c r="J327" s="13">
        <f t="shared" si="11"/>
        <v>189.9999999999998</v>
      </c>
      <c r="K327" s="13">
        <v>66.964285714285694</v>
      </c>
      <c r="L327" s="11" t="s">
        <v>12</v>
      </c>
      <c r="M327" s="26"/>
    </row>
    <row r="328" spans="1:13" x14ac:dyDescent="0.25">
      <c r="A328" s="6">
        <v>8.68392470883172E+16</v>
      </c>
      <c r="B328" s="30" t="s">
        <v>90</v>
      </c>
      <c r="C328" s="32" t="str">
        <f t="shared" si="10"/>
        <v>Nov</v>
      </c>
      <c r="D328" s="11" t="s">
        <v>25</v>
      </c>
      <c r="E328" s="13">
        <v>143001</v>
      </c>
      <c r="F328" s="13">
        <v>7117</v>
      </c>
      <c r="G328" s="13">
        <v>3</v>
      </c>
      <c r="H328" s="13">
        <v>156.31067961164999</v>
      </c>
      <c r="I328" s="13">
        <v>4.9805825242718402</v>
      </c>
      <c r="J328" s="13">
        <f t="shared" si="11"/>
        <v>161.29126213592184</v>
      </c>
      <c r="K328" s="13">
        <v>49.514563106796103</v>
      </c>
      <c r="L328" s="11" t="s">
        <v>17</v>
      </c>
      <c r="M328" s="26"/>
    </row>
    <row r="329" spans="1:13" x14ac:dyDescent="0.25">
      <c r="A329" s="6">
        <v>8.7389530655167808E+16</v>
      </c>
      <c r="B329" s="30" t="s">
        <v>75</v>
      </c>
      <c r="C329" s="32" t="str">
        <f t="shared" si="10"/>
        <v>Nov</v>
      </c>
      <c r="D329" s="11" t="s">
        <v>21</v>
      </c>
      <c r="E329" s="13">
        <v>843313</v>
      </c>
      <c r="F329" s="13">
        <v>7117</v>
      </c>
      <c r="G329" s="13">
        <v>3</v>
      </c>
      <c r="H329" s="13">
        <v>139.80582524271799</v>
      </c>
      <c r="I329" s="13">
        <v>4.1941747572815498</v>
      </c>
      <c r="J329" s="13">
        <f t="shared" si="11"/>
        <v>143.99999999999955</v>
      </c>
      <c r="K329" s="13">
        <v>58.252427184466001</v>
      </c>
      <c r="L329" s="11" t="s">
        <v>22</v>
      </c>
      <c r="M329" s="26"/>
    </row>
    <row r="330" spans="1:13" x14ac:dyDescent="0.25">
      <c r="A330" s="6">
        <v>8.8630739731474096E+16</v>
      </c>
      <c r="B330" s="30" t="s">
        <v>69</v>
      </c>
      <c r="C330" s="32" t="str">
        <f t="shared" si="10"/>
        <v>Nov</v>
      </c>
      <c r="D330" s="11" t="s">
        <v>16</v>
      </c>
      <c r="E330" s="13">
        <v>281004</v>
      </c>
      <c r="F330" s="13">
        <v>7117</v>
      </c>
      <c r="G330" s="13">
        <v>3</v>
      </c>
      <c r="H330" s="13">
        <v>148.54368932038801</v>
      </c>
      <c r="I330" s="13">
        <v>4.7475728155339798</v>
      </c>
      <c r="J330" s="13">
        <f t="shared" si="11"/>
        <v>153.29126213592198</v>
      </c>
      <c r="K330" s="13">
        <v>48.543689320388303</v>
      </c>
      <c r="L330" s="11" t="s">
        <v>10</v>
      </c>
      <c r="M330" s="26"/>
    </row>
    <row r="331" spans="1:13" x14ac:dyDescent="0.25">
      <c r="A331" s="6">
        <v>8.9755784381956192E+16</v>
      </c>
      <c r="B331" s="30" t="s">
        <v>77</v>
      </c>
      <c r="C331" s="32" t="str">
        <f t="shared" si="10"/>
        <v>Nov</v>
      </c>
      <c r="D331" s="11" t="s">
        <v>16</v>
      </c>
      <c r="E331" s="13">
        <v>400037</v>
      </c>
      <c r="F331" s="13">
        <v>340600</v>
      </c>
      <c r="G331" s="13">
        <v>12</v>
      </c>
      <c r="H331" s="13">
        <v>190.17857142857099</v>
      </c>
      <c r="I331" s="13">
        <v>22.821428571428498</v>
      </c>
      <c r="J331" s="13">
        <f t="shared" si="11"/>
        <v>212.99999999999949</v>
      </c>
      <c r="K331" s="13">
        <v>53.571428571428598</v>
      </c>
      <c r="L331" s="11" t="s">
        <v>41</v>
      </c>
      <c r="M331" s="26"/>
    </row>
    <row r="332" spans="1:13" x14ac:dyDescent="0.25">
      <c r="A332" s="6">
        <v>8.7436760967795296E+16</v>
      </c>
      <c r="B332" s="30" t="s">
        <v>75</v>
      </c>
      <c r="C332" s="32" t="str">
        <f t="shared" si="10"/>
        <v>Nov</v>
      </c>
      <c r="D332" s="11" t="s">
        <v>16</v>
      </c>
      <c r="E332" s="13">
        <v>560064</v>
      </c>
      <c r="F332" s="13">
        <v>7117</v>
      </c>
      <c r="G332" s="13">
        <v>3</v>
      </c>
      <c r="H332" s="13">
        <v>120.388349514563</v>
      </c>
      <c r="I332" s="13">
        <v>4.13592233009709</v>
      </c>
      <c r="J332" s="13">
        <f t="shared" si="11"/>
        <v>124.52427184466009</v>
      </c>
      <c r="K332" s="13">
        <v>40.776699029126199</v>
      </c>
      <c r="L332" s="11" t="s">
        <v>19</v>
      </c>
      <c r="M332" s="26"/>
    </row>
    <row r="333" spans="1:13" x14ac:dyDescent="0.25">
      <c r="A333" s="6">
        <v>8.79469208919192E+16</v>
      </c>
      <c r="B333" s="30" t="s">
        <v>76</v>
      </c>
      <c r="C333" s="32" t="str">
        <f t="shared" si="10"/>
        <v>Nov</v>
      </c>
      <c r="D333" s="11" t="s">
        <v>16</v>
      </c>
      <c r="E333" s="13">
        <v>403720</v>
      </c>
      <c r="F333" s="13">
        <v>340600</v>
      </c>
      <c r="G333" s="13">
        <v>12</v>
      </c>
      <c r="H333" s="13">
        <v>179.46428571428501</v>
      </c>
      <c r="I333" s="13">
        <v>21.535714285714199</v>
      </c>
      <c r="J333" s="13">
        <f t="shared" si="11"/>
        <v>200.9999999999992</v>
      </c>
      <c r="K333" s="13">
        <v>66.964285714285694</v>
      </c>
      <c r="L333" s="11" t="s">
        <v>104</v>
      </c>
      <c r="M333" s="26"/>
    </row>
    <row r="334" spans="1:13" x14ac:dyDescent="0.25">
      <c r="A334" s="6">
        <v>8.8984112085529408E+16</v>
      </c>
      <c r="B334" s="30" t="s">
        <v>70</v>
      </c>
      <c r="C334" s="32" t="str">
        <f t="shared" si="10"/>
        <v>Nov</v>
      </c>
      <c r="D334" s="11" t="s">
        <v>16</v>
      </c>
      <c r="E334" s="13">
        <v>110029</v>
      </c>
      <c r="F334" s="13">
        <v>7117</v>
      </c>
      <c r="G334" s="13">
        <v>3</v>
      </c>
      <c r="H334" s="13">
        <v>198.05825242718399</v>
      </c>
      <c r="I334" s="13">
        <v>6.6407766990291304</v>
      </c>
      <c r="J334" s="13">
        <f t="shared" si="11"/>
        <v>204.69902912621311</v>
      </c>
      <c r="K334" s="13">
        <v>36.893203883495197</v>
      </c>
      <c r="L334" s="11" t="s">
        <v>28</v>
      </c>
      <c r="M334" s="26"/>
    </row>
    <row r="335" spans="1:13" x14ac:dyDescent="0.25">
      <c r="A335" s="6">
        <v>9.11850528432792E+16</v>
      </c>
      <c r="B335" s="30" t="s">
        <v>99</v>
      </c>
      <c r="C335" s="32" t="str">
        <f t="shared" si="10"/>
        <v>Nov</v>
      </c>
      <c r="D335" s="11" t="s">
        <v>16</v>
      </c>
      <c r="E335" s="13">
        <v>110019</v>
      </c>
      <c r="F335" s="13">
        <v>7117</v>
      </c>
      <c r="G335" s="13">
        <v>3</v>
      </c>
      <c r="H335" s="13">
        <v>150.485436893203</v>
      </c>
      <c r="I335" s="13">
        <v>4.8058252427184502</v>
      </c>
      <c r="J335" s="13">
        <f t="shared" si="11"/>
        <v>155.29126213592144</v>
      </c>
      <c r="K335" s="13">
        <v>47.572815533980602</v>
      </c>
      <c r="L335" s="11" t="s">
        <v>28</v>
      </c>
      <c r="M335" s="26"/>
    </row>
    <row r="336" spans="1:13" x14ac:dyDescent="0.25">
      <c r="A336" s="6">
        <v>8.5027316368900192E+16</v>
      </c>
      <c r="B336" s="30" t="s">
        <v>89</v>
      </c>
      <c r="C336" s="32" t="str">
        <f t="shared" si="10"/>
        <v>Nov</v>
      </c>
      <c r="D336" s="11" t="s">
        <v>21</v>
      </c>
      <c r="E336" s="13">
        <v>140507</v>
      </c>
      <c r="F336" s="13">
        <v>7117</v>
      </c>
      <c r="G336" s="13">
        <v>3</v>
      </c>
      <c r="H336" s="13">
        <v>147.57281553397999</v>
      </c>
      <c r="I336" s="13">
        <v>4.7184466019417499</v>
      </c>
      <c r="J336" s="13">
        <f t="shared" si="11"/>
        <v>152.29126213592173</v>
      </c>
      <c r="K336" s="13">
        <v>49.514563106796103</v>
      </c>
      <c r="L336" s="11" t="s">
        <v>17</v>
      </c>
      <c r="M336" s="26"/>
    </row>
    <row r="337" spans="1:13" x14ac:dyDescent="0.25">
      <c r="A337" s="6">
        <v>8.89474887335216E+16</v>
      </c>
      <c r="B337" s="30" t="s">
        <v>70</v>
      </c>
      <c r="C337" s="32" t="str">
        <f t="shared" si="10"/>
        <v>Nov</v>
      </c>
      <c r="D337" s="11" t="s">
        <v>16</v>
      </c>
      <c r="E337" s="13">
        <v>110084</v>
      </c>
      <c r="F337" s="13">
        <v>7117</v>
      </c>
      <c r="G337" s="13">
        <v>3</v>
      </c>
      <c r="H337" s="13">
        <v>127.184466019417</v>
      </c>
      <c r="I337" s="13">
        <v>4.4854368932038797</v>
      </c>
      <c r="J337" s="13">
        <f t="shared" si="11"/>
        <v>131.66990291262087</v>
      </c>
      <c r="K337" s="13">
        <v>36.893203883495197</v>
      </c>
      <c r="L337" s="11" t="s">
        <v>28</v>
      </c>
      <c r="M337" s="26"/>
    </row>
    <row r="338" spans="1:13" x14ac:dyDescent="0.25">
      <c r="A338" s="6">
        <v>8.9440471605717792E+16</v>
      </c>
      <c r="B338" s="30" t="s">
        <v>77</v>
      </c>
      <c r="C338" s="32" t="str">
        <f t="shared" si="10"/>
        <v>Nov</v>
      </c>
      <c r="D338" s="11" t="s">
        <v>16</v>
      </c>
      <c r="E338" s="13">
        <v>500034</v>
      </c>
      <c r="F338" s="13">
        <v>340600</v>
      </c>
      <c r="G338" s="13">
        <v>12</v>
      </c>
      <c r="H338" s="13">
        <v>181.25</v>
      </c>
      <c r="I338" s="13">
        <v>21.75</v>
      </c>
      <c r="J338" s="13">
        <f t="shared" si="11"/>
        <v>203</v>
      </c>
      <c r="K338" s="13">
        <v>68.75</v>
      </c>
      <c r="L338" s="11" t="s">
        <v>53</v>
      </c>
      <c r="M338" s="26"/>
    </row>
    <row r="339" spans="1:13" x14ac:dyDescent="0.25">
      <c r="A339" s="6">
        <v>9.3539328912716608E+16</v>
      </c>
      <c r="B339" s="30" t="s">
        <v>86</v>
      </c>
      <c r="C339" s="32" t="str">
        <f t="shared" si="10"/>
        <v>Nov</v>
      </c>
      <c r="D339" s="11" t="s">
        <v>9</v>
      </c>
      <c r="E339" s="13">
        <v>497220</v>
      </c>
      <c r="F339" s="13">
        <v>7117</v>
      </c>
      <c r="G339" s="13">
        <v>3</v>
      </c>
      <c r="H339" s="13">
        <v>160.19417475728099</v>
      </c>
      <c r="I339" s="13">
        <v>4.8058252427184502</v>
      </c>
      <c r="J339" s="13">
        <f t="shared" si="11"/>
        <v>164.99999999999943</v>
      </c>
      <c r="K339" s="13">
        <v>57.2815533980583</v>
      </c>
      <c r="L339" s="11" t="s">
        <v>23</v>
      </c>
      <c r="M339" s="26"/>
    </row>
    <row r="340" spans="1:13" x14ac:dyDescent="0.25">
      <c r="A340" s="6">
        <v>8.8258744971919504E+16</v>
      </c>
      <c r="B340" s="30" t="s">
        <v>68</v>
      </c>
      <c r="C340" s="32" t="str">
        <f t="shared" si="10"/>
        <v>Nov</v>
      </c>
      <c r="D340" s="11" t="s">
        <v>21</v>
      </c>
      <c r="E340" s="13">
        <v>122001</v>
      </c>
      <c r="F340" s="13">
        <v>7117</v>
      </c>
      <c r="G340" s="13">
        <v>3</v>
      </c>
      <c r="H340" s="13">
        <v>156.31067961164999</v>
      </c>
      <c r="I340" s="13">
        <v>4.9805825242718402</v>
      </c>
      <c r="J340" s="13">
        <f t="shared" si="11"/>
        <v>161.29126213592184</v>
      </c>
      <c r="K340" s="13">
        <v>49.514563106796103</v>
      </c>
      <c r="L340" s="11" t="s">
        <v>63</v>
      </c>
      <c r="M340" s="26"/>
    </row>
    <row r="341" spans="1:13" x14ac:dyDescent="0.25">
      <c r="A341" s="6">
        <v>8.9925866835928704E+16</v>
      </c>
      <c r="B341" s="30" t="s">
        <v>82</v>
      </c>
      <c r="C341" s="32" t="str">
        <f t="shared" si="10"/>
        <v>Nov</v>
      </c>
      <c r="D341" s="11" t="s">
        <v>16</v>
      </c>
      <c r="E341" s="13">
        <v>244412</v>
      </c>
      <c r="F341" s="13">
        <v>7117</v>
      </c>
      <c r="G341" s="13">
        <v>3</v>
      </c>
      <c r="H341" s="13">
        <v>158.252427184466</v>
      </c>
      <c r="I341" s="13">
        <v>5.0388349514563098</v>
      </c>
      <c r="J341" s="13">
        <f t="shared" si="11"/>
        <v>163.29126213592232</v>
      </c>
      <c r="K341" s="13">
        <v>49.514563106796103</v>
      </c>
      <c r="L341" s="11" t="s">
        <v>10</v>
      </c>
      <c r="M341" s="26"/>
    </row>
    <row r="342" spans="1:13" x14ac:dyDescent="0.25">
      <c r="A342" s="6">
        <v>9.15056309930628E+16</v>
      </c>
      <c r="B342" s="30" t="s">
        <v>92</v>
      </c>
      <c r="C342" s="32" t="str">
        <f t="shared" si="10"/>
        <v>Nov</v>
      </c>
      <c r="D342" s="11" t="s">
        <v>16</v>
      </c>
      <c r="E342" s="13">
        <v>233303</v>
      </c>
      <c r="F342" s="13">
        <v>7117</v>
      </c>
      <c r="G342" s="13">
        <v>3</v>
      </c>
      <c r="H342" s="13">
        <v>147.57281553397999</v>
      </c>
      <c r="I342" s="13">
        <v>4.7184466019417499</v>
      </c>
      <c r="J342" s="13">
        <f t="shared" si="11"/>
        <v>152.29126213592173</v>
      </c>
      <c r="K342" s="13">
        <v>47.572815533980602</v>
      </c>
      <c r="L342" s="11" t="s">
        <v>10</v>
      </c>
      <c r="M342" s="26"/>
    </row>
    <row r="343" spans="1:13" x14ac:dyDescent="0.25">
      <c r="A343" s="6">
        <v>8.6369948575721104E+16</v>
      </c>
      <c r="B343" s="30" t="s">
        <v>94</v>
      </c>
      <c r="C343" s="32" t="str">
        <f t="shared" si="10"/>
        <v>Nov</v>
      </c>
      <c r="D343" s="11" t="s">
        <v>25</v>
      </c>
      <c r="E343" s="13">
        <v>232102</v>
      </c>
      <c r="F343" s="13">
        <v>7117</v>
      </c>
      <c r="G343" s="13">
        <v>3</v>
      </c>
      <c r="H343" s="13">
        <v>156.31067961164999</v>
      </c>
      <c r="I343" s="13">
        <v>4.9805825242718402</v>
      </c>
      <c r="J343" s="13">
        <f t="shared" si="11"/>
        <v>161.29126213592184</v>
      </c>
      <c r="K343" s="13">
        <v>59.223300970873801</v>
      </c>
      <c r="L343" s="11" t="s">
        <v>10</v>
      </c>
      <c r="M343" s="26"/>
    </row>
    <row r="344" spans="1:13" x14ac:dyDescent="0.25">
      <c r="A344" s="6">
        <v>1.0480269417545699E+17</v>
      </c>
      <c r="B344" s="30" t="s">
        <v>105</v>
      </c>
      <c r="C344" s="32" t="str">
        <f t="shared" si="10"/>
        <v>Dec</v>
      </c>
      <c r="D344" s="11" t="s">
        <v>33</v>
      </c>
      <c r="E344" s="13">
        <v>502110</v>
      </c>
      <c r="F344" s="13">
        <v>7117</v>
      </c>
      <c r="G344" s="13">
        <v>3</v>
      </c>
      <c r="H344" s="13">
        <v>210.67961165048499</v>
      </c>
      <c r="I344" s="13">
        <v>6.5825242718446599</v>
      </c>
      <c r="J344" s="13">
        <f t="shared" si="11"/>
        <v>217.26213592232963</v>
      </c>
      <c r="K344" s="13">
        <v>49.514563106796103</v>
      </c>
      <c r="L344" s="11" t="s">
        <v>53</v>
      </c>
      <c r="M344" s="26"/>
    </row>
    <row r="345" spans="1:13" x14ac:dyDescent="0.25">
      <c r="A345" s="6">
        <v>9.7927382061319808E+16</v>
      </c>
      <c r="B345" s="30" t="s">
        <v>106</v>
      </c>
      <c r="C345" s="32" t="str">
        <f t="shared" si="10"/>
        <v>Dec</v>
      </c>
      <c r="D345" s="11" t="s">
        <v>16</v>
      </c>
      <c r="E345" s="13">
        <v>273402</v>
      </c>
      <c r="F345" s="13">
        <v>7117</v>
      </c>
      <c r="G345" s="13">
        <v>3</v>
      </c>
      <c r="H345" s="13">
        <v>151.45631067961099</v>
      </c>
      <c r="I345" s="13">
        <v>4.8058252427184502</v>
      </c>
      <c r="J345" s="13">
        <f t="shared" si="11"/>
        <v>156.26213592232943</v>
      </c>
      <c r="K345" s="13">
        <v>48.543689320388303</v>
      </c>
      <c r="L345" s="11" t="s">
        <v>10</v>
      </c>
      <c r="M345" s="26"/>
    </row>
    <row r="346" spans="1:13" x14ac:dyDescent="0.25">
      <c r="A346" s="6">
        <v>1.00070552321848E+17</v>
      </c>
      <c r="B346" s="30" t="s">
        <v>107</v>
      </c>
      <c r="C346" s="32" t="str">
        <f t="shared" si="10"/>
        <v>Dec</v>
      </c>
      <c r="D346" s="11" t="s">
        <v>16</v>
      </c>
      <c r="E346" s="13">
        <v>761009</v>
      </c>
      <c r="F346" s="13">
        <v>7117</v>
      </c>
      <c r="G346" s="13">
        <v>3</v>
      </c>
      <c r="H346" s="13">
        <v>147.57281553397999</v>
      </c>
      <c r="I346" s="13">
        <v>4.42718446601942</v>
      </c>
      <c r="J346" s="13">
        <f t="shared" si="11"/>
        <v>151.9999999999994</v>
      </c>
      <c r="K346" s="13">
        <v>59.223300970873801</v>
      </c>
      <c r="L346" s="11" t="s">
        <v>54</v>
      </c>
      <c r="M346" s="26"/>
    </row>
    <row r="347" spans="1:13" x14ac:dyDescent="0.25">
      <c r="A347" s="6">
        <v>1.01613131184366E+17</v>
      </c>
      <c r="B347" s="30" t="s">
        <v>108</v>
      </c>
      <c r="C347" s="32" t="str">
        <f t="shared" si="10"/>
        <v>Dec</v>
      </c>
      <c r="D347" s="11" t="s">
        <v>16</v>
      </c>
      <c r="E347" s="13">
        <v>500064</v>
      </c>
      <c r="F347" s="13">
        <v>7117</v>
      </c>
      <c r="G347" s="13">
        <v>3</v>
      </c>
      <c r="H347" s="13">
        <v>153.39805825242701</v>
      </c>
      <c r="I347" s="13">
        <v>5.1262135922330101</v>
      </c>
      <c r="J347" s="13">
        <f t="shared" si="11"/>
        <v>158.52427184466001</v>
      </c>
      <c r="K347" s="13">
        <v>42.7184466019418</v>
      </c>
      <c r="L347" s="11" t="s">
        <v>53</v>
      </c>
      <c r="M347" s="26"/>
    </row>
    <row r="348" spans="1:13" x14ac:dyDescent="0.25">
      <c r="A348" s="6">
        <v>1.0450165419665E+17</v>
      </c>
      <c r="B348" s="30" t="s">
        <v>109</v>
      </c>
      <c r="C348" s="32" t="str">
        <f t="shared" si="10"/>
        <v>Dec</v>
      </c>
      <c r="D348" s="11" t="s">
        <v>16</v>
      </c>
      <c r="E348" s="13">
        <v>222303</v>
      </c>
      <c r="F348" s="13">
        <v>7117</v>
      </c>
      <c r="G348" s="13">
        <v>3</v>
      </c>
      <c r="H348" s="13">
        <v>140.77669902912601</v>
      </c>
      <c r="I348" s="13">
        <v>4.6601941747572804</v>
      </c>
      <c r="J348" s="13">
        <f t="shared" si="11"/>
        <v>145.4368932038833</v>
      </c>
      <c r="K348" s="13">
        <v>42.7184466019418</v>
      </c>
      <c r="L348" s="11" t="s">
        <v>10</v>
      </c>
      <c r="M348" s="26"/>
    </row>
    <row r="349" spans="1:13" x14ac:dyDescent="0.25">
      <c r="A349" s="6">
        <v>9.5395989931620704E+16</v>
      </c>
      <c r="B349" s="30" t="s">
        <v>110</v>
      </c>
      <c r="C349" s="32" t="str">
        <f t="shared" si="10"/>
        <v>Dec</v>
      </c>
      <c r="D349" s="11" t="s">
        <v>21</v>
      </c>
      <c r="E349" s="13">
        <v>752111</v>
      </c>
      <c r="F349" s="13">
        <v>7117</v>
      </c>
      <c r="G349" s="13">
        <v>3</v>
      </c>
      <c r="H349" s="13">
        <v>165.04854368932001</v>
      </c>
      <c r="I349" s="13">
        <v>4.9514563106796103</v>
      </c>
      <c r="J349" s="13">
        <f t="shared" si="11"/>
        <v>169.99999999999963</v>
      </c>
      <c r="K349" s="13">
        <v>59.223300970873801</v>
      </c>
      <c r="L349" s="11" t="s">
        <v>54</v>
      </c>
      <c r="M349" s="26"/>
    </row>
    <row r="350" spans="1:13" x14ac:dyDescent="0.25">
      <c r="A350" s="6">
        <v>9.76101756590464E+16</v>
      </c>
      <c r="B350" s="30" t="s">
        <v>111</v>
      </c>
      <c r="C350" s="32" t="str">
        <f t="shared" si="10"/>
        <v>Dec</v>
      </c>
      <c r="D350" s="11" t="s">
        <v>16</v>
      </c>
      <c r="E350" s="13">
        <v>854202</v>
      </c>
      <c r="F350" s="13">
        <v>7117</v>
      </c>
      <c r="G350" s="13">
        <v>3</v>
      </c>
      <c r="H350" s="13">
        <v>148.54368932038801</v>
      </c>
      <c r="I350" s="13">
        <v>4.4563106796116498</v>
      </c>
      <c r="J350" s="13">
        <f t="shared" si="11"/>
        <v>152.99999999999966</v>
      </c>
      <c r="K350" s="13">
        <v>58.252427184466001</v>
      </c>
      <c r="L350" s="11" t="s">
        <v>22</v>
      </c>
      <c r="M350" s="26"/>
    </row>
    <row r="351" spans="1:13" x14ac:dyDescent="0.25">
      <c r="A351" s="6">
        <v>9.55748475519968E+16</v>
      </c>
      <c r="B351" s="30" t="s">
        <v>110</v>
      </c>
      <c r="C351" s="32" t="str">
        <f t="shared" si="10"/>
        <v>Dec</v>
      </c>
      <c r="D351" s="11" t="s">
        <v>25</v>
      </c>
      <c r="E351" s="13">
        <v>829144</v>
      </c>
      <c r="F351" s="13">
        <v>7117</v>
      </c>
      <c r="G351" s="13">
        <v>18</v>
      </c>
      <c r="H351" s="13">
        <v>172.88135593220301</v>
      </c>
      <c r="I351" s="13">
        <v>34.016949152542303</v>
      </c>
      <c r="J351" s="13">
        <f t="shared" si="11"/>
        <v>206.89830508474532</v>
      </c>
      <c r="K351" s="13">
        <v>37.288135593220296</v>
      </c>
      <c r="L351" s="11" t="s">
        <v>37</v>
      </c>
      <c r="M351" s="26"/>
    </row>
    <row r="352" spans="1:13" x14ac:dyDescent="0.25">
      <c r="A352" s="6">
        <v>9.50147226480936E+16</v>
      </c>
      <c r="B352" s="30" t="s">
        <v>112</v>
      </c>
      <c r="C352" s="32" t="str">
        <f t="shared" si="10"/>
        <v>Dec</v>
      </c>
      <c r="D352" s="11" t="s">
        <v>16</v>
      </c>
      <c r="E352" s="13">
        <v>572101</v>
      </c>
      <c r="F352" s="13">
        <v>7117</v>
      </c>
      <c r="G352" s="13">
        <v>3</v>
      </c>
      <c r="H352" s="13">
        <v>179.611650485436</v>
      </c>
      <c r="I352" s="13">
        <v>5.3883495145631102</v>
      </c>
      <c r="J352" s="13">
        <f t="shared" si="11"/>
        <v>184.99999999999912</v>
      </c>
      <c r="K352" s="13">
        <v>59.223300970873801</v>
      </c>
      <c r="L352" s="11" t="s">
        <v>19</v>
      </c>
      <c r="M352" s="26"/>
    </row>
    <row r="353" spans="1:13" x14ac:dyDescent="0.25">
      <c r="A353" s="6">
        <v>9.6516365373863296E+16</v>
      </c>
      <c r="B353" s="30" t="s">
        <v>113</v>
      </c>
      <c r="C353" s="32" t="str">
        <f t="shared" si="10"/>
        <v>Dec</v>
      </c>
      <c r="D353" s="11" t="s">
        <v>25</v>
      </c>
      <c r="E353" s="13">
        <v>229202</v>
      </c>
      <c r="F353" s="13">
        <v>7117</v>
      </c>
      <c r="G353" s="13">
        <v>3</v>
      </c>
      <c r="H353" s="13">
        <v>138.83495145630999</v>
      </c>
      <c r="I353" s="13">
        <v>4.4563106796116498</v>
      </c>
      <c r="J353" s="13">
        <f t="shared" si="11"/>
        <v>143.29126213592164</v>
      </c>
      <c r="K353" s="13">
        <v>48.543689320388303</v>
      </c>
      <c r="L353" s="11" t="s">
        <v>10</v>
      </c>
      <c r="M353" s="26"/>
    </row>
    <row r="354" spans="1:13" x14ac:dyDescent="0.25">
      <c r="A354" s="6">
        <v>9.91538612228932E+16</v>
      </c>
      <c r="B354" s="30" t="s">
        <v>114</v>
      </c>
      <c r="C354" s="32" t="str">
        <f t="shared" si="10"/>
        <v>Dec</v>
      </c>
      <c r="D354" s="11" t="s">
        <v>52</v>
      </c>
      <c r="E354" s="13">
        <v>581118</v>
      </c>
      <c r="F354" s="13">
        <v>7117</v>
      </c>
      <c r="G354" s="13">
        <v>3</v>
      </c>
      <c r="H354" s="13">
        <v>151.45631067961099</v>
      </c>
      <c r="I354" s="13">
        <v>5.0679611650485397</v>
      </c>
      <c r="J354" s="13">
        <f t="shared" si="11"/>
        <v>156.52427184465952</v>
      </c>
      <c r="K354" s="13">
        <v>39.805825242718498</v>
      </c>
      <c r="L354" s="11" t="s">
        <v>19</v>
      </c>
      <c r="M354" s="26"/>
    </row>
    <row r="355" spans="1:13" x14ac:dyDescent="0.25">
      <c r="A355" s="6">
        <v>9.7595403572016608E+16</v>
      </c>
      <c r="B355" s="30" t="s">
        <v>111</v>
      </c>
      <c r="C355" s="32" t="str">
        <f t="shared" si="10"/>
        <v>Dec</v>
      </c>
      <c r="D355" s="11" t="s">
        <v>25</v>
      </c>
      <c r="E355" s="13">
        <v>413112</v>
      </c>
      <c r="F355" s="13">
        <v>7117</v>
      </c>
      <c r="G355" s="13">
        <v>3</v>
      </c>
      <c r="H355" s="13">
        <v>189.32038834951399</v>
      </c>
      <c r="I355" s="13">
        <v>5.6796116504854401</v>
      </c>
      <c r="J355" s="13">
        <f t="shared" si="11"/>
        <v>194.99999999999943</v>
      </c>
      <c r="K355" s="13">
        <v>59.223300970873801</v>
      </c>
      <c r="L355" s="11" t="s">
        <v>41</v>
      </c>
      <c r="M355" s="26"/>
    </row>
    <row r="356" spans="1:13" x14ac:dyDescent="0.25">
      <c r="A356" s="6">
        <v>9.5457450271897904E+16</v>
      </c>
      <c r="B356" s="30" t="s">
        <v>110</v>
      </c>
      <c r="C356" s="32" t="str">
        <f t="shared" si="10"/>
        <v>Dec</v>
      </c>
      <c r="D356" s="11" t="s">
        <v>16</v>
      </c>
      <c r="E356" s="13">
        <v>828130</v>
      </c>
      <c r="F356" s="13">
        <v>7117</v>
      </c>
      <c r="G356" s="13">
        <v>3</v>
      </c>
      <c r="H356" s="13">
        <v>179.611650485436</v>
      </c>
      <c r="I356" s="13">
        <v>5.3883495145631102</v>
      </c>
      <c r="J356" s="13">
        <f t="shared" si="11"/>
        <v>184.99999999999912</v>
      </c>
      <c r="K356" s="13">
        <v>59.223300970873801</v>
      </c>
      <c r="L356" s="11" t="s">
        <v>37</v>
      </c>
      <c r="M356" s="26"/>
    </row>
    <row r="357" spans="1:13" x14ac:dyDescent="0.25">
      <c r="A357" s="6">
        <v>1.0115808220115E+17</v>
      </c>
      <c r="B357" s="30" t="s">
        <v>116</v>
      </c>
      <c r="C357" s="32" t="str">
        <f t="shared" si="10"/>
        <v>Dec</v>
      </c>
      <c r="D357" s="11" t="s">
        <v>16</v>
      </c>
      <c r="E357" s="13">
        <v>488333</v>
      </c>
      <c r="F357" s="13">
        <v>7117</v>
      </c>
      <c r="G357" s="13">
        <v>3</v>
      </c>
      <c r="H357" s="13">
        <v>156.31067961164999</v>
      </c>
      <c r="I357" s="13">
        <v>4.8058252427184502</v>
      </c>
      <c r="J357" s="13">
        <f t="shared" si="11"/>
        <v>161.11650485436843</v>
      </c>
      <c r="K357" s="13">
        <v>55.339805825242699</v>
      </c>
      <c r="L357" s="11" t="s">
        <v>26</v>
      </c>
      <c r="M357" s="26"/>
    </row>
    <row r="358" spans="1:13" x14ac:dyDescent="0.25">
      <c r="A358" s="6">
        <v>1.00485662525816E+17</v>
      </c>
      <c r="B358" s="30" t="s">
        <v>117</v>
      </c>
      <c r="C358" s="32" t="str">
        <f t="shared" si="10"/>
        <v>Dec</v>
      </c>
      <c r="D358" s="11" t="s">
        <v>16</v>
      </c>
      <c r="E358" s="13">
        <v>440022</v>
      </c>
      <c r="F358" s="13">
        <v>7117</v>
      </c>
      <c r="G358" s="13">
        <v>3</v>
      </c>
      <c r="H358" s="13">
        <v>129.126213592233</v>
      </c>
      <c r="I358" s="13">
        <v>4.42718446601942</v>
      </c>
      <c r="J358" s="13">
        <f t="shared" si="11"/>
        <v>133.55339805825241</v>
      </c>
      <c r="K358" s="13">
        <v>40.776699029126199</v>
      </c>
      <c r="L358" s="11" t="s">
        <v>41</v>
      </c>
      <c r="M358" s="26"/>
    </row>
    <row r="359" spans="1:13" x14ac:dyDescent="0.25">
      <c r="A359" s="6">
        <v>9.6438336572290592E+16</v>
      </c>
      <c r="B359" s="30" t="s">
        <v>113</v>
      </c>
      <c r="C359" s="32" t="str">
        <f t="shared" si="10"/>
        <v>Dec</v>
      </c>
      <c r="D359" s="11" t="s">
        <v>21</v>
      </c>
      <c r="E359" s="13">
        <v>805107</v>
      </c>
      <c r="F359" s="13">
        <v>7117</v>
      </c>
      <c r="G359" s="13">
        <v>3</v>
      </c>
      <c r="H359" s="13">
        <v>181.55339805825199</v>
      </c>
      <c r="I359" s="13">
        <v>5.44660194174757</v>
      </c>
      <c r="J359" s="13">
        <f t="shared" si="11"/>
        <v>186.99999999999955</v>
      </c>
      <c r="K359" s="13">
        <v>59.223300970873801</v>
      </c>
      <c r="L359" s="11" t="s">
        <v>22</v>
      </c>
      <c r="M359" s="26"/>
    </row>
    <row r="360" spans="1:13" x14ac:dyDescent="0.25">
      <c r="A360" s="6">
        <v>9.52007153344316E+16</v>
      </c>
      <c r="B360" s="30" t="s">
        <v>112</v>
      </c>
      <c r="C360" s="32" t="str">
        <f t="shared" si="10"/>
        <v>Dec</v>
      </c>
      <c r="D360" s="11" t="s">
        <v>16</v>
      </c>
      <c r="E360" s="13">
        <v>305801</v>
      </c>
      <c r="F360" s="13">
        <v>7117</v>
      </c>
      <c r="G360" s="13">
        <v>3</v>
      </c>
      <c r="H360" s="13">
        <v>163.106796116504</v>
      </c>
      <c r="I360" s="13">
        <v>5.0679611650485397</v>
      </c>
      <c r="J360" s="13">
        <f t="shared" si="11"/>
        <v>168.17475728155253</v>
      </c>
      <c r="K360" s="13">
        <v>52.427184466019398</v>
      </c>
      <c r="L360" s="11" t="s">
        <v>46</v>
      </c>
      <c r="M360" s="26"/>
    </row>
    <row r="361" spans="1:13" x14ac:dyDescent="0.25">
      <c r="A361" s="6">
        <v>9.9874292992722304E+16</v>
      </c>
      <c r="B361" s="30" t="s">
        <v>118</v>
      </c>
      <c r="C361" s="32" t="str">
        <f t="shared" si="10"/>
        <v>Dec</v>
      </c>
      <c r="D361" s="11" t="s">
        <v>16</v>
      </c>
      <c r="E361" s="13">
        <v>700018</v>
      </c>
      <c r="F361" s="13">
        <v>7117</v>
      </c>
      <c r="G361" s="13">
        <v>3</v>
      </c>
      <c r="H361" s="13">
        <v>159.223300970873</v>
      </c>
      <c r="I361" s="13">
        <v>4.7766990291262097</v>
      </c>
      <c r="J361" s="13">
        <f t="shared" si="11"/>
        <v>163.9999999999992</v>
      </c>
      <c r="K361" s="13">
        <v>57.2815533980583</v>
      </c>
      <c r="L361" s="11" t="s">
        <v>14</v>
      </c>
      <c r="M361" s="26"/>
    </row>
    <row r="362" spans="1:13" x14ac:dyDescent="0.25">
      <c r="A362" s="6">
        <v>9.5093555023786896E+16</v>
      </c>
      <c r="B362" s="30" t="s">
        <v>112</v>
      </c>
      <c r="C362" s="32" t="str">
        <f t="shared" si="10"/>
        <v>Dec</v>
      </c>
      <c r="D362" s="11" t="s">
        <v>21</v>
      </c>
      <c r="E362" s="13">
        <v>302029</v>
      </c>
      <c r="F362" s="13">
        <v>7117</v>
      </c>
      <c r="G362" s="13">
        <v>3</v>
      </c>
      <c r="H362" s="13">
        <v>179.611650485436</v>
      </c>
      <c r="I362" s="13">
        <v>5.6796116504854401</v>
      </c>
      <c r="J362" s="13">
        <f t="shared" si="11"/>
        <v>185.29126213592144</v>
      </c>
      <c r="K362" s="13">
        <v>49.514563106796103</v>
      </c>
      <c r="L362" s="11" t="s">
        <v>46</v>
      </c>
      <c r="M362" s="26"/>
    </row>
    <row r="363" spans="1:13" x14ac:dyDescent="0.25">
      <c r="A363" s="6">
        <v>9.5463692717455808E+16</v>
      </c>
      <c r="B363" s="30" t="s">
        <v>110</v>
      </c>
      <c r="C363" s="32" t="str">
        <f t="shared" si="10"/>
        <v>Dec</v>
      </c>
      <c r="D363" s="11" t="s">
        <v>16</v>
      </c>
      <c r="E363" s="13">
        <v>563127</v>
      </c>
      <c r="F363" s="13">
        <v>7117</v>
      </c>
      <c r="G363" s="13">
        <v>3</v>
      </c>
      <c r="H363" s="13">
        <v>181.55339805825199</v>
      </c>
      <c r="I363" s="13">
        <v>5.44660194174757</v>
      </c>
      <c r="J363" s="13">
        <f t="shared" si="11"/>
        <v>186.99999999999955</v>
      </c>
      <c r="K363" s="13">
        <v>59.223300970873801</v>
      </c>
      <c r="L363" s="11" t="s">
        <v>19</v>
      </c>
      <c r="M363" s="26"/>
    </row>
    <row r="364" spans="1:13" x14ac:dyDescent="0.25">
      <c r="A364" s="6">
        <v>9.5904244185363904E+16</v>
      </c>
      <c r="B364" s="30" t="s">
        <v>119</v>
      </c>
      <c r="C364" s="32" t="str">
        <f t="shared" si="10"/>
        <v>Dec</v>
      </c>
      <c r="D364" s="11" t="s">
        <v>16</v>
      </c>
      <c r="E364" s="13">
        <v>444806</v>
      </c>
      <c r="F364" s="13">
        <v>7117</v>
      </c>
      <c r="G364" s="13">
        <v>3</v>
      </c>
      <c r="H364" s="13">
        <v>166.990291262135</v>
      </c>
      <c r="I364" s="13">
        <v>5.0097087378640799</v>
      </c>
      <c r="J364" s="13">
        <f t="shared" si="11"/>
        <v>171.99999999999909</v>
      </c>
      <c r="K364" s="13">
        <v>58.252427184466001</v>
      </c>
      <c r="L364" s="11" t="s">
        <v>41</v>
      </c>
      <c r="M364" s="26"/>
    </row>
    <row r="365" spans="1:13" x14ac:dyDescent="0.25">
      <c r="A365" s="6">
        <v>9.7573064620848096E+16</v>
      </c>
      <c r="B365" s="30" t="s">
        <v>111</v>
      </c>
      <c r="C365" s="32" t="str">
        <f t="shared" si="10"/>
        <v>Dec</v>
      </c>
      <c r="D365" s="11" t="s">
        <v>16</v>
      </c>
      <c r="E365" s="13">
        <v>221304</v>
      </c>
      <c r="F365" s="13">
        <v>7117</v>
      </c>
      <c r="G365" s="13">
        <v>3</v>
      </c>
      <c r="H365" s="13">
        <v>171.844660194174</v>
      </c>
      <c r="I365" s="13">
        <v>5.44660194174757</v>
      </c>
      <c r="J365" s="13">
        <f t="shared" si="11"/>
        <v>177.29126213592156</v>
      </c>
      <c r="K365" s="13">
        <v>49.514563106796103</v>
      </c>
      <c r="L365" s="11" t="s">
        <v>10</v>
      </c>
      <c r="M365" s="26"/>
    </row>
    <row r="366" spans="1:13" x14ac:dyDescent="0.25">
      <c r="A366" s="6">
        <v>9.7382439304754592E+16</v>
      </c>
      <c r="B366" s="30" t="s">
        <v>121</v>
      </c>
      <c r="C366" s="32" t="str">
        <f t="shared" si="10"/>
        <v>Dec</v>
      </c>
      <c r="D366" s="11" t="s">
        <v>25</v>
      </c>
      <c r="E366" s="13">
        <v>804432</v>
      </c>
      <c r="F366" s="13">
        <v>7117</v>
      </c>
      <c r="G366" s="13">
        <v>3</v>
      </c>
      <c r="H366" s="13">
        <v>157.28155339805801</v>
      </c>
      <c r="I366" s="13">
        <v>4.7184466019417499</v>
      </c>
      <c r="J366" s="13">
        <f t="shared" si="11"/>
        <v>161.99999999999977</v>
      </c>
      <c r="K366" s="13">
        <v>59.223300970873801</v>
      </c>
      <c r="L366" s="11" t="s">
        <v>22</v>
      </c>
      <c r="M366" s="26"/>
    </row>
    <row r="367" spans="1:13" x14ac:dyDescent="0.25">
      <c r="A367" s="6">
        <v>9.952999168062E+16</v>
      </c>
      <c r="B367" s="30" t="s">
        <v>115</v>
      </c>
      <c r="C367" s="32" t="str">
        <f t="shared" si="10"/>
        <v>Dec</v>
      </c>
      <c r="D367" s="11" t="s">
        <v>71</v>
      </c>
      <c r="E367" s="13">
        <v>824211</v>
      </c>
      <c r="F367" s="13">
        <v>7117</v>
      </c>
      <c r="G367" s="13">
        <v>3</v>
      </c>
      <c r="H367" s="13">
        <v>142.718446601941</v>
      </c>
      <c r="I367" s="13">
        <v>4.42718446601942</v>
      </c>
      <c r="J367" s="13">
        <f t="shared" si="11"/>
        <v>147.14563106796041</v>
      </c>
      <c r="K367" s="13">
        <v>52.427184466019398</v>
      </c>
      <c r="L367" s="11" t="s">
        <v>22</v>
      </c>
      <c r="M367" s="26"/>
    </row>
    <row r="368" spans="1:13" x14ac:dyDescent="0.25">
      <c r="A368" s="6">
        <v>9.6515865974863296E+16</v>
      </c>
      <c r="B368" s="30" t="s">
        <v>113</v>
      </c>
      <c r="C368" s="32" t="str">
        <f t="shared" si="10"/>
        <v>Dec</v>
      </c>
      <c r="D368" s="11" t="s">
        <v>21</v>
      </c>
      <c r="E368" s="13">
        <v>474006</v>
      </c>
      <c r="F368" s="13">
        <v>7117</v>
      </c>
      <c r="G368" s="13">
        <v>3</v>
      </c>
      <c r="H368" s="13">
        <v>168.93203883495099</v>
      </c>
      <c r="I368" s="13">
        <v>5.1262135922330101</v>
      </c>
      <c r="J368" s="13">
        <f t="shared" si="11"/>
        <v>174.05825242718399</v>
      </c>
      <c r="K368" s="13">
        <v>57.2815533980583</v>
      </c>
      <c r="L368" s="11" t="s">
        <v>26</v>
      </c>
      <c r="M368" s="26"/>
    </row>
    <row r="369" spans="1:13" x14ac:dyDescent="0.25">
      <c r="A369" s="6">
        <v>9.68038178613016E+16</v>
      </c>
      <c r="B369" s="30" t="s">
        <v>122</v>
      </c>
      <c r="C369" s="32" t="str">
        <f t="shared" si="10"/>
        <v>Dec</v>
      </c>
      <c r="D369" s="11" t="s">
        <v>25</v>
      </c>
      <c r="E369" s="13">
        <v>524322</v>
      </c>
      <c r="F369" s="13">
        <v>7117</v>
      </c>
      <c r="G369" s="13">
        <v>3</v>
      </c>
      <c r="H369" s="13">
        <v>151.45631067961099</v>
      </c>
      <c r="I369" s="13">
        <v>4.5436893203883502</v>
      </c>
      <c r="J369" s="13">
        <f t="shared" si="11"/>
        <v>155.99999999999935</v>
      </c>
      <c r="K369" s="13">
        <v>59.223300970873801</v>
      </c>
      <c r="L369" s="11" t="s">
        <v>39</v>
      </c>
      <c r="M369" s="26"/>
    </row>
    <row r="370" spans="1:13" x14ac:dyDescent="0.25">
      <c r="A370" s="6">
        <v>9.7343712723879296E+16</v>
      </c>
      <c r="B370" s="30" t="s">
        <v>121</v>
      </c>
      <c r="C370" s="32" t="str">
        <f t="shared" si="10"/>
        <v>Dec</v>
      </c>
      <c r="D370" s="11" t="s">
        <v>25</v>
      </c>
      <c r="E370" s="13">
        <v>802218</v>
      </c>
      <c r="F370" s="13">
        <v>7117</v>
      </c>
      <c r="G370" s="13">
        <v>3</v>
      </c>
      <c r="H370" s="13">
        <v>155.339805825242</v>
      </c>
      <c r="I370" s="13">
        <v>4.7184466019417499</v>
      </c>
      <c r="J370" s="13">
        <f t="shared" si="11"/>
        <v>160.05825242718373</v>
      </c>
      <c r="K370" s="13">
        <v>57.2815533980583</v>
      </c>
      <c r="L370" s="11" t="s">
        <v>22</v>
      </c>
      <c r="M370" s="26"/>
    </row>
    <row r="371" spans="1:13" x14ac:dyDescent="0.25">
      <c r="A371" s="6">
        <v>1.0449941857035501E+17</v>
      </c>
      <c r="B371" s="30" t="s">
        <v>109</v>
      </c>
      <c r="C371" s="32" t="str">
        <f t="shared" si="10"/>
        <v>Dec</v>
      </c>
      <c r="D371" s="11" t="s">
        <v>9</v>
      </c>
      <c r="E371" s="13">
        <v>766018</v>
      </c>
      <c r="F371" s="13">
        <v>7117</v>
      </c>
      <c r="G371" s="13">
        <v>3</v>
      </c>
      <c r="H371" s="13">
        <v>267.96116504854302</v>
      </c>
      <c r="I371" s="13">
        <v>8.2718446601941693</v>
      </c>
      <c r="J371" s="13">
        <f t="shared" si="11"/>
        <v>276.2330097087372</v>
      </c>
      <c r="K371" s="13">
        <v>49.514563106796103</v>
      </c>
      <c r="L371" s="11" t="s">
        <v>54</v>
      </c>
      <c r="M371" s="26"/>
    </row>
    <row r="372" spans="1:13" x14ac:dyDescent="0.25">
      <c r="A372" s="6">
        <v>1.0445798745600499E+17</v>
      </c>
      <c r="B372" s="30" t="s">
        <v>109</v>
      </c>
      <c r="C372" s="32" t="str">
        <f t="shared" si="10"/>
        <v>Dec</v>
      </c>
      <c r="D372" s="11" t="s">
        <v>9</v>
      </c>
      <c r="E372" s="13">
        <v>232110</v>
      </c>
      <c r="F372" s="13">
        <v>7117</v>
      </c>
      <c r="G372" s="13">
        <v>3</v>
      </c>
      <c r="H372" s="13">
        <v>268.93203883495102</v>
      </c>
      <c r="I372" s="13">
        <v>8.3300970873786397</v>
      </c>
      <c r="J372" s="13">
        <f t="shared" si="11"/>
        <v>277.26213592232966</v>
      </c>
      <c r="K372" s="13">
        <v>50.485436893203897</v>
      </c>
      <c r="L372" s="11" t="s">
        <v>10</v>
      </c>
      <c r="M372" s="26"/>
    </row>
    <row r="373" spans="1:13" x14ac:dyDescent="0.25">
      <c r="A373" s="6">
        <v>1.0082887613908301E+17</v>
      </c>
      <c r="B373" s="30" t="s">
        <v>123</v>
      </c>
      <c r="C373" s="32" t="str">
        <f t="shared" si="10"/>
        <v>Dec</v>
      </c>
      <c r="D373" s="11" t="s">
        <v>52</v>
      </c>
      <c r="E373" s="13">
        <v>700145</v>
      </c>
      <c r="F373" s="13">
        <v>7117</v>
      </c>
      <c r="G373" s="13">
        <v>3</v>
      </c>
      <c r="H373" s="13">
        <v>140.77669902912601</v>
      </c>
      <c r="I373" s="13">
        <v>4.7766990291262097</v>
      </c>
      <c r="J373" s="13">
        <f t="shared" si="11"/>
        <v>145.55339805825221</v>
      </c>
      <c r="K373" s="13">
        <v>39.805825242718498</v>
      </c>
      <c r="L373" s="11" t="s">
        <v>14</v>
      </c>
      <c r="M373" s="26"/>
    </row>
    <row r="374" spans="1:13" x14ac:dyDescent="0.25">
      <c r="A374" s="6">
        <v>9.7197157270718096E+16</v>
      </c>
      <c r="B374" s="30" t="s">
        <v>121</v>
      </c>
      <c r="C374" s="32" t="str">
        <f t="shared" si="10"/>
        <v>Dec</v>
      </c>
      <c r="D374" s="11" t="s">
        <v>25</v>
      </c>
      <c r="E374" s="13">
        <v>825412</v>
      </c>
      <c r="F374" s="13">
        <v>7117</v>
      </c>
      <c r="G374" s="13">
        <v>3</v>
      </c>
      <c r="H374" s="13">
        <v>166.990291262135</v>
      </c>
      <c r="I374" s="13">
        <v>5.0097087378640799</v>
      </c>
      <c r="J374" s="13">
        <f t="shared" si="11"/>
        <v>171.99999999999909</v>
      </c>
      <c r="K374" s="13">
        <v>58.252427184466001</v>
      </c>
      <c r="L374" s="11" t="s">
        <v>37</v>
      </c>
      <c r="M374" s="26"/>
    </row>
    <row r="375" spans="1:13" x14ac:dyDescent="0.25">
      <c r="A375" s="6">
        <v>9.7932638381093904E+16</v>
      </c>
      <c r="B375" s="30" t="s">
        <v>106</v>
      </c>
      <c r="C375" s="32" t="str">
        <f t="shared" si="10"/>
        <v>Dec</v>
      </c>
      <c r="D375" s="11" t="s">
        <v>16</v>
      </c>
      <c r="E375" s="13">
        <v>847115</v>
      </c>
      <c r="F375" s="13">
        <v>7117</v>
      </c>
      <c r="G375" s="13">
        <v>3</v>
      </c>
      <c r="H375" s="13">
        <v>179.611650485436</v>
      </c>
      <c r="I375" s="13">
        <v>5.3883495145631102</v>
      </c>
      <c r="J375" s="13">
        <f t="shared" si="11"/>
        <v>184.99999999999912</v>
      </c>
      <c r="K375" s="13">
        <v>59.223300970873801</v>
      </c>
      <c r="L375" s="11" t="s">
        <v>22</v>
      </c>
      <c r="M375" s="26"/>
    </row>
    <row r="376" spans="1:13" x14ac:dyDescent="0.25">
      <c r="A376" s="6">
        <v>1.0452658133011299E+17</v>
      </c>
      <c r="B376" s="30" t="s">
        <v>109</v>
      </c>
      <c r="C376" s="32" t="str">
        <f t="shared" si="10"/>
        <v>Dec</v>
      </c>
      <c r="D376" s="11" t="s">
        <v>9</v>
      </c>
      <c r="E376" s="13">
        <v>560026</v>
      </c>
      <c r="F376" s="13">
        <v>7117</v>
      </c>
      <c r="G376" s="13">
        <v>3</v>
      </c>
      <c r="H376" s="13">
        <v>174.757281553398</v>
      </c>
      <c r="I376" s="13">
        <v>5.2427184466019403</v>
      </c>
      <c r="J376" s="13">
        <f t="shared" si="11"/>
        <v>179.99999999999994</v>
      </c>
      <c r="K376" s="13">
        <v>58.252427184466001</v>
      </c>
      <c r="L376" s="11" t="s">
        <v>19</v>
      </c>
      <c r="M376" s="26"/>
    </row>
    <row r="377" spans="1:13" x14ac:dyDescent="0.25">
      <c r="A377" s="6">
        <v>1.00019153718424E+17</v>
      </c>
      <c r="B377" s="30" t="s">
        <v>107</v>
      </c>
      <c r="C377" s="32" t="str">
        <f t="shared" si="10"/>
        <v>Dec</v>
      </c>
      <c r="D377" s="11" t="s">
        <v>16</v>
      </c>
      <c r="E377" s="13">
        <v>641654</v>
      </c>
      <c r="F377" s="13">
        <v>7117</v>
      </c>
      <c r="G377" s="13">
        <v>3</v>
      </c>
      <c r="H377" s="13">
        <v>166.01941747572801</v>
      </c>
      <c r="I377" s="13">
        <v>4.9805825242718402</v>
      </c>
      <c r="J377" s="13">
        <f t="shared" si="11"/>
        <v>170.99999999999986</v>
      </c>
      <c r="K377" s="13">
        <v>57.2815533980583</v>
      </c>
      <c r="L377" s="11" t="s">
        <v>27</v>
      </c>
      <c r="M377" s="26"/>
    </row>
    <row r="378" spans="1:13" x14ac:dyDescent="0.25">
      <c r="A378" s="6">
        <v>9.6556086941484704E+16</v>
      </c>
      <c r="B378" s="30" t="s">
        <v>113</v>
      </c>
      <c r="C378" s="32" t="str">
        <f t="shared" si="10"/>
        <v>Dec</v>
      </c>
      <c r="D378" s="11" t="s">
        <v>16</v>
      </c>
      <c r="E378" s="13">
        <v>282007</v>
      </c>
      <c r="F378" s="13">
        <v>7117</v>
      </c>
      <c r="G378" s="13">
        <v>3</v>
      </c>
      <c r="H378" s="13">
        <v>169.90291262135901</v>
      </c>
      <c r="I378" s="13">
        <v>5.3883495145631102</v>
      </c>
      <c r="J378" s="13">
        <f t="shared" si="11"/>
        <v>175.29126213592212</v>
      </c>
      <c r="K378" s="13">
        <v>49.514563106796103</v>
      </c>
      <c r="L378" s="11" t="s">
        <v>10</v>
      </c>
      <c r="M378" s="26"/>
    </row>
    <row r="379" spans="1:13" x14ac:dyDescent="0.25">
      <c r="A379" s="6">
        <v>1.01908670335352E+17</v>
      </c>
      <c r="B379" s="30" t="s">
        <v>124</v>
      </c>
      <c r="C379" s="32" t="str">
        <f t="shared" si="10"/>
        <v>Dec</v>
      </c>
      <c r="D379" s="11" t="s">
        <v>9</v>
      </c>
      <c r="E379" s="13">
        <v>285122</v>
      </c>
      <c r="F379" s="13">
        <v>7117</v>
      </c>
      <c r="G379" s="13">
        <v>3</v>
      </c>
      <c r="H379" s="13">
        <v>151.45631067961099</v>
      </c>
      <c r="I379" s="13">
        <v>4.8058252427184502</v>
      </c>
      <c r="J379" s="13">
        <f t="shared" si="11"/>
        <v>156.26213592232943</v>
      </c>
      <c r="K379" s="13">
        <v>48.543689320388303</v>
      </c>
      <c r="L379" s="11" t="s">
        <v>10</v>
      </c>
      <c r="M379" s="26"/>
    </row>
    <row r="380" spans="1:13" x14ac:dyDescent="0.25">
      <c r="A380" s="6">
        <v>9.53775238245892E+16</v>
      </c>
      <c r="B380" s="30" t="s">
        <v>110</v>
      </c>
      <c r="C380" s="32" t="str">
        <f t="shared" si="10"/>
        <v>Dec</v>
      </c>
      <c r="D380" s="11" t="s">
        <v>16</v>
      </c>
      <c r="E380" s="13">
        <v>522257</v>
      </c>
      <c r="F380" s="13">
        <v>7117</v>
      </c>
      <c r="G380" s="13">
        <v>3</v>
      </c>
      <c r="H380" s="13">
        <v>165.04854368932001</v>
      </c>
      <c r="I380" s="13">
        <v>4.9514563106796103</v>
      </c>
      <c r="J380" s="13">
        <f t="shared" si="11"/>
        <v>169.99999999999963</v>
      </c>
      <c r="K380" s="13">
        <v>59.223300970873801</v>
      </c>
      <c r="L380" s="11" t="s">
        <v>39</v>
      </c>
      <c r="M380" s="26"/>
    </row>
    <row r="381" spans="1:13" x14ac:dyDescent="0.25">
      <c r="A381" s="6">
        <v>9.7990609349834096E+16</v>
      </c>
      <c r="B381" s="30" t="s">
        <v>106</v>
      </c>
      <c r="C381" s="32" t="str">
        <f t="shared" si="10"/>
        <v>Dec</v>
      </c>
      <c r="D381" s="11" t="s">
        <v>25</v>
      </c>
      <c r="E381" s="13">
        <v>413112</v>
      </c>
      <c r="F381" s="13">
        <v>7117</v>
      </c>
      <c r="G381" s="13">
        <v>3</v>
      </c>
      <c r="H381" s="13">
        <v>179.611650485436</v>
      </c>
      <c r="I381" s="13">
        <v>5.3883495145631102</v>
      </c>
      <c r="J381" s="13">
        <f t="shared" si="11"/>
        <v>184.99999999999912</v>
      </c>
      <c r="K381" s="13">
        <v>59.223300970873801</v>
      </c>
      <c r="L381" s="11" t="s">
        <v>41</v>
      </c>
      <c r="M381" s="26"/>
    </row>
    <row r="382" spans="1:13" x14ac:dyDescent="0.25">
      <c r="A382" s="6">
        <v>9.9772223276921904E+16</v>
      </c>
      <c r="B382" s="30" t="s">
        <v>118</v>
      </c>
      <c r="C382" s="32" t="str">
        <f t="shared" si="10"/>
        <v>Dec</v>
      </c>
      <c r="D382" s="11" t="s">
        <v>16</v>
      </c>
      <c r="E382" s="13">
        <v>841428</v>
      </c>
      <c r="F382" s="13">
        <v>7117</v>
      </c>
      <c r="G382" s="13">
        <v>3</v>
      </c>
      <c r="H382" s="13">
        <v>142.718446601941</v>
      </c>
      <c r="I382" s="13">
        <v>4.3980582524271803</v>
      </c>
      <c r="J382" s="13">
        <f t="shared" si="11"/>
        <v>147.11650485436817</v>
      </c>
      <c r="K382" s="13">
        <v>55.339805825242699</v>
      </c>
      <c r="L382" s="11" t="s">
        <v>22</v>
      </c>
      <c r="M382" s="26"/>
    </row>
    <row r="383" spans="1:13" x14ac:dyDescent="0.25">
      <c r="A383" s="6">
        <v>9.5325343695274896E+16</v>
      </c>
      <c r="B383" s="30" t="s">
        <v>110</v>
      </c>
      <c r="C383" s="32" t="str">
        <f t="shared" si="10"/>
        <v>Dec</v>
      </c>
      <c r="D383" s="11" t="s">
        <v>16</v>
      </c>
      <c r="E383" s="13">
        <v>273304</v>
      </c>
      <c r="F383" s="13">
        <v>7117</v>
      </c>
      <c r="G383" s="13">
        <v>3</v>
      </c>
      <c r="H383" s="13">
        <v>169.90291262135901</v>
      </c>
      <c r="I383" s="13">
        <v>5.3883495145631102</v>
      </c>
      <c r="J383" s="13">
        <f t="shared" si="11"/>
        <v>175.29126213592212</v>
      </c>
      <c r="K383" s="13">
        <v>49.514563106796103</v>
      </c>
      <c r="L383" s="11" t="s">
        <v>10</v>
      </c>
      <c r="M383" s="26"/>
    </row>
    <row r="384" spans="1:13" x14ac:dyDescent="0.25">
      <c r="A384" s="6">
        <v>9.6516943649736304E+16</v>
      </c>
      <c r="B384" s="30" t="s">
        <v>113</v>
      </c>
      <c r="C384" s="32" t="str">
        <f t="shared" si="10"/>
        <v>Dec</v>
      </c>
      <c r="D384" s="11" t="s">
        <v>16</v>
      </c>
      <c r="E384" s="13">
        <v>805111</v>
      </c>
      <c r="F384" s="13">
        <v>7117</v>
      </c>
      <c r="G384" s="13">
        <v>3</v>
      </c>
      <c r="H384" s="13">
        <v>168.93203883495099</v>
      </c>
      <c r="I384" s="13">
        <v>5.0679611650485397</v>
      </c>
      <c r="J384" s="13">
        <f t="shared" si="11"/>
        <v>173.99999999999952</v>
      </c>
      <c r="K384" s="13">
        <v>58.252427184466001</v>
      </c>
      <c r="L384" s="11" t="s">
        <v>22</v>
      </c>
      <c r="M384" s="26"/>
    </row>
    <row r="385" spans="1:13" x14ac:dyDescent="0.25">
      <c r="A385" s="6">
        <v>9.5432182538893696E+16</v>
      </c>
      <c r="B385" s="30" t="s">
        <v>110</v>
      </c>
      <c r="C385" s="32" t="str">
        <f t="shared" si="10"/>
        <v>Dec</v>
      </c>
      <c r="D385" s="11" t="s">
        <v>21</v>
      </c>
      <c r="E385" s="13">
        <v>562138</v>
      </c>
      <c r="F385" s="13">
        <v>7117</v>
      </c>
      <c r="G385" s="13">
        <v>3</v>
      </c>
      <c r="H385" s="13">
        <v>151.45631067961099</v>
      </c>
      <c r="I385" s="13">
        <v>4.5436893203883502</v>
      </c>
      <c r="J385" s="13">
        <f t="shared" si="11"/>
        <v>155.99999999999935</v>
      </c>
      <c r="K385" s="13">
        <v>59.223300970873801</v>
      </c>
      <c r="L385" s="11" t="s">
        <v>19</v>
      </c>
      <c r="M385" s="26"/>
    </row>
    <row r="386" spans="1:13" x14ac:dyDescent="0.25">
      <c r="A386" s="6">
        <v>1.04455113406742E+17</v>
      </c>
      <c r="B386" s="30" t="s">
        <v>109</v>
      </c>
      <c r="C386" s="32" t="str">
        <f t="shared" si="10"/>
        <v>Dec</v>
      </c>
      <c r="D386" s="11" t="s">
        <v>9</v>
      </c>
      <c r="E386" s="13">
        <v>843334</v>
      </c>
      <c r="F386" s="13">
        <v>7117</v>
      </c>
      <c r="G386" s="13">
        <v>3</v>
      </c>
      <c r="H386" s="13">
        <v>174.757281553398</v>
      </c>
      <c r="I386" s="13">
        <v>5.2427184466019403</v>
      </c>
      <c r="J386" s="13">
        <f t="shared" si="11"/>
        <v>179.99999999999994</v>
      </c>
      <c r="K386" s="13">
        <v>58.252427184466001</v>
      </c>
      <c r="L386" s="11" t="s">
        <v>22</v>
      </c>
      <c r="M386" s="26"/>
    </row>
    <row r="387" spans="1:13" x14ac:dyDescent="0.25">
      <c r="A387" s="6">
        <v>9.7393014915150896E+16</v>
      </c>
      <c r="B387" s="30" t="s">
        <v>121</v>
      </c>
      <c r="C387" s="32" t="str">
        <f t="shared" ref="C387:C450" si="12">TEXT(B387, "mmm")</f>
        <v>Dec</v>
      </c>
      <c r="D387" s="11" t="s">
        <v>71</v>
      </c>
      <c r="E387" s="13">
        <v>222136</v>
      </c>
      <c r="F387" s="13">
        <v>7117</v>
      </c>
      <c r="G387" s="13">
        <v>3</v>
      </c>
      <c r="H387" s="13">
        <v>171.844660194174</v>
      </c>
      <c r="I387" s="13">
        <v>5.44660194174757</v>
      </c>
      <c r="J387" s="13">
        <f t="shared" ref="J387:J450" si="13">H387+I387</f>
        <v>177.29126213592156</v>
      </c>
      <c r="K387" s="13">
        <v>49.514563106796103</v>
      </c>
      <c r="L387" s="11" t="s">
        <v>10</v>
      </c>
      <c r="M387" s="26"/>
    </row>
    <row r="388" spans="1:13" x14ac:dyDescent="0.25">
      <c r="A388" s="6">
        <v>9.9516257121793408E+16</v>
      </c>
      <c r="B388" s="30" t="s">
        <v>115</v>
      </c>
      <c r="C388" s="32" t="str">
        <f t="shared" si="12"/>
        <v>Dec</v>
      </c>
      <c r="D388" s="11" t="s">
        <v>71</v>
      </c>
      <c r="E388" s="13">
        <v>581402</v>
      </c>
      <c r="F388" s="13">
        <v>7117</v>
      </c>
      <c r="G388" s="13">
        <v>3</v>
      </c>
      <c r="H388" s="13">
        <v>159.223300970873</v>
      </c>
      <c r="I388" s="13">
        <v>4.7766990291262097</v>
      </c>
      <c r="J388" s="13">
        <f t="shared" si="13"/>
        <v>163.9999999999992</v>
      </c>
      <c r="K388" s="13">
        <v>58.252427184466001</v>
      </c>
      <c r="L388" s="11" t="s">
        <v>19</v>
      </c>
      <c r="M388" s="26"/>
    </row>
    <row r="389" spans="1:13" x14ac:dyDescent="0.25">
      <c r="A389" s="6">
        <v>9.5907101504648192E+16</v>
      </c>
      <c r="B389" s="30" t="s">
        <v>119</v>
      </c>
      <c r="C389" s="32" t="str">
        <f t="shared" si="12"/>
        <v>Dec</v>
      </c>
      <c r="D389" s="11" t="s">
        <v>21</v>
      </c>
      <c r="E389" s="13">
        <v>400607</v>
      </c>
      <c r="F389" s="13">
        <v>7117</v>
      </c>
      <c r="G389" s="13">
        <v>3</v>
      </c>
      <c r="H389" s="13">
        <v>181.55339805825199</v>
      </c>
      <c r="I389" s="13">
        <v>5.44660194174757</v>
      </c>
      <c r="J389" s="13">
        <f t="shared" si="13"/>
        <v>186.99999999999955</v>
      </c>
      <c r="K389" s="13">
        <v>59.223300970873801</v>
      </c>
      <c r="L389" s="11" t="s">
        <v>41</v>
      </c>
      <c r="M389" s="26"/>
    </row>
    <row r="390" spans="1:13" x14ac:dyDescent="0.25">
      <c r="A390" s="6">
        <v>9.5199678682837904E+16</v>
      </c>
      <c r="B390" s="30" t="s">
        <v>112</v>
      </c>
      <c r="C390" s="32" t="str">
        <f t="shared" si="12"/>
        <v>Dec</v>
      </c>
      <c r="D390" s="11" t="s">
        <v>16</v>
      </c>
      <c r="E390" s="13">
        <v>522402</v>
      </c>
      <c r="F390" s="13">
        <v>7117</v>
      </c>
      <c r="G390" s="13">
        <v>3</v>
      </c>
      <c r="H390" s="13">
        <v>165.04854368932001</v>
      </c>
      <c r="I390" s="13">
        <v>4.9514563106796103</v>
      </c>
      <c r="J390" s="13">
        <f t="shared" si="13"/>
        <v>169.99999999999963</v>
      </c>
      <c r="K390" s="13">
        <v>59.223300970873801</v>
      </c>
      <c r="L390" s="11" t="s">
        <v>39</v>
      </c>
      <c r="M390" s="26"/>
    </row>
    <row r="391" spans="1:13" x14ac:dyDescent="0.25">
      <c r="A391" s="6">
        <v>9.5175923684276608E+16</v>
      </c>
      <c r="B391" s="30" t="s">
        <v>112</v>
      </c>
      <c r="C391" s="32" t="str">
        <f t="shared" si="12"/>
        <v>Dec</v>
      </c>
      <c r="D391" s="11" t="s">
        <v>16</v>
      </c>
      <c r="E391" s="13">
        <v>516454</v>
      </c>
      <c r="F391" s="13">
        <v>7117</v>
      </c>
      <c r="G391" s="13">
        <v>3</v>
      </c>
      <c r="H391" s="13">
        <v>179.611650485436</v>
      </c>
      <c r="I391" s="13">
        <v>5.3883495145631102</v>
      </c>
      <c r="J391" s="13">
        <f t="shared" si="13"/>
        <v>184.99999999999912</v>
      </c>
      <c r="K391" s="13">
        <v>59.223300970873801</v>
      </c>
      <c r="L391" s="11" t="s">
        <v>39</v>
      </c>
      <c r="M391" s="26"/>
    </row>
    <row r="392" spans="1:13" x14ac:dyDescent="0.25">
      <c r="A392" s="6">
        <v>9.76689529559628E+16</v>
      </c>
      <c r="B392" s="30" t="s">
        <v>111</v>
      </c>
      <c r="C392" s="32" t="str">
        <f t="shared" si="12"/>
        <v>Dec</v>
      </c>
      <c r="D392" s="11" t="s">
        <v>16</v>
      </c>
      <c r="E392" s="13">
        <v>533105</v>
      </c>
      <c r="F392" s="13">
        <v>7117</v>
      </c>
      <c r="G392" s="13">
        <v>3</v>
      </c>
      <c r="H392" s="13">
        <v>158.252427184466</v>
      </c>
      <c r="I392" s="13">
        <v>4.7475728155339798</v>
      </c>
      <c r="J392" s="13">
        <f t="shared" si="13"/>
        <v>162.99999999999997</v>
      </c>
      <c r="K392" s="13">
        <v>58.252427184466001</v>
      </c>
      <c r="L392" s="11" t="s">
        <v>39</v>
      </c>
      <c r="M392" s="26"/>
    </row>
    <row r="393" spans="1:13" x14ac:dyDescent="0.25">
      <c r="A393" s="6">
        <v>1.0407042389720701E+17</v>
      </c>
      <c r="B393" s="30" t="s">
        <v>125</v>
      </c>
      <c r="C393" s="32" t="str">
        <f t="shared" si="12"/>
        <v>Dec</v>
      </c>
      <c r="D393" s="11" t="s">
        <v>9</v>
      </c>
      <c r="E393" s="13">
        <v>496111</v>
      </c>
      <c r="F393" s="13">
        <v>7117</v>
      </c>
      <c r="G393" s="13">
        <v>3</v>
      </c>
      <c r="H393" s="13">
        <v>130.09708737864</v>
      </c>
      <c r="I393" s="13">
        <v>4.42718446601942</v>
      </c>
      <c r="J393" s="13">
        <f t="shared" si="13"/>
        <v>134.52427184465941</v>
      </c>
      <c r="K393" s="13">
        <v>39.805825242718498</v>
      </c>
      <c r="L393" s="11" t="s">
        <v>23</v>
      </c>
      <c r="M393" s="26"/>
    </row>
    <row r="394" spans="1:13" x14ac:dyDescent="0.25">
      <c r="A394" s="6">
        <v>9.5867622131692896E+16</v>
      </c>
      <c r="B394" s="30" t="s">
        <v>119</v>
      </c>
      <c r="C394" s="32" t="str">
        <f t="shared" si="12"/>
        <v>Dec</v>
      </c>
      <c r="D394" s="11" t="s">
        <v>16</v>
      </c>
      <c r="E394" s="13">
        <v>845459</v>
      </c>
      <c r="F394" s="13">
        <v>7117</v>
      </c>
      <c r="G394" s="13">
        <v>3</v>
      </c>
      <c r="H394" s="13">
        <v>177.66990291262101</v>
      </c>
      <c r="I394" s="13">
        <v>5.3883495145631102</v>
      </c>
      <c r="J394" s="13">
        <f t="shared" si="13"/>
        <v>183.05825242718413</v>
      </c>
      <c r="K394" s="13">
        <v>57.2815533980583</v>
      </c>
      <c r="L394" s="11" t="s">
        <v>22</v>
      </c>
      <c r="M394" s="26"/>
    </row>
    <row r="395" spans="1:13" x14ac:dyDescent="0.25">
      <c r="A395" s="6">
        <v>1.0385692466324701E+17</v>
      </c>
      <c r="B395" s="30" t="s">
        <v>126</v>
      </c>
      <c r="C395" s="32" t="str">
        <f t="shared" si="12"/>
        <v>Dec</v>
      </c>
      <c r="D395" s="11" t="s">
        <v>16</v>
      </c>
      <c r="E395" s="13">
        <v>852214</v>
      </c>
      <c r="F395" s="13">
        <v>7117</v>
      </c>
      <c r="G395" s="13">
        <v>3</v>
      </c>
      <c r="H395" s="13">
        <v>156.31067961164999</v>
      </c>
      <c r="I395" s="13">
        <v>4.6893203883495103</v>
      </c>
      <c r="J395" s="13">
        <f t="shared" si="13"/>
        <v>160.99999999999949</v>
      </c>
      <c r="K395" s="13">
        <v>58.252427184466001</v>
      </c>
      <c r="L395" s="11" t="s">
        <v>22</v>
      </c>
      <c r="M395" s="26"/>
    </row>
    <row r="396" spans="1:13" x14ac:dyDescent="0.25">
      <c r="A396" s="6">
        <v>1.0445177878717699E+17</v>
      </c>
      <c r="B396" s="30" t="s">
        <v>109</v>
      </c>
      <c r="C396" s="32" t="str">
        <f t="shared" si="12"/>
        <v>Dec</v>
      </c>
      <c r="D396" s="11" t="s">
        <v>9</v>
      </c>
      <c r="E396" s="13">
        <v>600039</v>
      </c>
      <c r="F396" s="13">
        <v>7117</v>
      </c>
      <c r="G396" s="13">
        <v>3</v>
      </c>
      <c r="H396" s="13">
        <v>277.66990291262101</v>
      </c>
      <c r="I396" s="13">
        <v>8.3300970873786397</v>
      </c>
      <c r="J396" s="13">
        <f t="shared" si="13"/>
        <v>285.99999999999966</v>
      </c>
      <c r="K396" s="13">
        <v>59.223300970873801</v>
      </c>
      <c r="L396" s="11" t="s">
        <v>27</v>
      </c>
      <c r="M396" s="26"/>
    </row>
    <row r="397" spans="1:13" x14ac:dyDescent="0.25">
      <c r="A397" s="6">
        <v>9.8898165194765296E+16</v>
      </c>
      <c r="B397" s="30" t="s">
        <v>114</v>
      </c>
      <c r="C397" s="32" t="str">
        <f t="shared" si="12"/>
        <v>Dec</v>
      </c>
      <c r="D397" s="11" t="s">
        <v>25</v>
      </c>
      <c r="E397" s="13">
        <v>841428</v>
      </c>
      <c r="F397" s="13">
        <v>7117</v>
      </c>
      <c r="G397" s="13">
        <v>3</v>
      </c>
      <c r="H397" s="13">
        <v>152.42718446601901</v>
      </c>
      <c r="I397" s="13">
        <v>4.6893203883495103</v>
      </c>
      <c r="J397" s="13">
        <f t="shared" si="13"/>
        <v>157.11650485436851</v>
      </c>
      <c r="K397" s="13">
        <v>54.368932038834998</v>
      </c>
      <c r="L397" s="11" t="s">
        <v>22</v>
      </c>
      <c r="M397" s="26"/>
    </row>
    <row r="398" spans="1:13" x14ac:dyDescent="0.25">
      <c r="A398" s="6">
        <v>9.6174073429554592E+16</v>
      </c>
      <c r="B398" s="30" t="s">
        <v>120</v>
      </c>
      <c r="C398" s="32" t="str">
        <f t="shared" si="12"/>
        <v>Dec</v>
      </c>
      <c r="D398" s="11" t="s">
        <v>16</v>
      </c>
      <c r="E398" s="13">
        <v>502307</v>
      </c>
      <c r="F398" s="13">
        <v>7117</v>
      </c>
      <c r="G398" s="13">
        <v>3</v>
      </c>
      <c r="H398" s="13">
        <v>157.28155339805801</v>
      </c>
      <c r="I398" s="13">
        <v>4.7184466019417499</v>
      </c>
      <c r="J398" s="13">
        <f t="shared" si="13"/>
        <v>161.99999999999977</v>
      </c>
      <c r="K398" s="13">
        <v>59.223300970873801</v>
      </c>
      <c r="L398" s="11" t="s">
        <v>53</v>
      </c>
      <c r="M398" s="26"/>
    </row>
    <row r="399" spans="1:13" x14ac:dyDescent="0.25">
      <c r="A399" s="6">
        <v>1.04858822419346E+17</v>
      </c>
      <c r="B399" s="30" t="s">
        <v>105</v>
      </c>
      <c r="C399" s="32" t="str">
        <f t="shared" si="12"/>
        <v>Dec</v>
      </c>
      <c r="D399" s="11" t="s">
        <v>9</v>
      </c>
      <c r="E399" s="13">
        <v>700150</v>
      </c>
      <c r="F399" s="13">
        <v>7117</v>
      </c>
      <c r="G399" s="13">
        <v>3</v>
      </c>
      <c r="H399" s="13">
        <v>174.757281553398</v>
      </c>
      <c r="I399" s="13">
        <v>5.2427184466019403</v>
      </c>
      <c r="J399" s="13">
        <f t="shared" si="13"/>
        <v>179.99999999999994</v>
      </c>
      <c r="K399" s="13">
        <v>58.252427184466001</v>
      </c>
      <c r="L399" s="11" t="s">
        <v>14</v>
      </c>
      <c r="M399" s="26"/>
    </row>
    <row r="400" spans="1:13" x14ac:dyDescent="0.25">
      <c r="A400" s="6">
        <v>9.6153861267338304E+16</v>
      </c>
      <c r="B400" s="30" t="s">
        <v>120</v>
      </c>
      <c r="C400" s="32" t="str">
        <f t="shared" si="12"/>
        <v>Dec</v>
      </c>
      <c r="D400" s="11" t="s">
        <v>16</v>
      </c>
      <c r="E400" s="13">
        <v>229127</v>
      </c>
      <c r="F400" s="13">
        <v>7117</v>
      </c>
      <c r="G400" s="13">
        <v>3</v>
      </c>
      <c r="H400" s="13">
        <v>141.747572815534</v>
      </c>
      <c r="I400" s="13">
        <v>4.5436893203883502</v>
      </c>
      <c r="J400" s="13">
        <f t="shared" si="13"/>
        <v>146.29126213592235</v>
      </c>
      <c r="K400" s="13">
        <v>49.514563106796103</v>
      </c>
      <c r="L400" s="11" t="s">
        <v>10</v>
      </c>
      <c r="M400" s="26"/>
    </row>
    <row r="401" spans="1:13" x14ac:dyDescent="0.25">
      <c r="A401" s="6">
        <v>9.4674197092956496E+16</v>
      </c>
      <c r="B401" s="30" t="s">
        <v>79</v>
      </c>
      <c r="C401" s="32" t="str">
        <f t="shared" si="12"/>
        <v>Dec</v>
      </c>
      <c r="D401" s="11" t="s">
        <v>16</v>
      </c>
      <c r="E401" s="13">
        <v>276201</v>
      </c>
      <c r="F401" s="13">
        <v>7117</v>
      </c>
      <c r="G401" s="13">
        <v>3</v>
      </c>
      <c r="H401" s="13">
        <v>101.941747572815</v>
      </c>
      <c r="I401" s="13">
        <v>3.4660194174757302</v>
      </c>
      <c r="J401" s="13">
        <f t="shared" si="13"/>
        <v>105.40776699029074</v>
      </c>
      <c r="K401" s="13">
        <v>53.398058252427198</v>
      </c>
      <c r="L401" s="11" t="s">
        <v>10</v>
      </c>
      <c r="M401" s="26"/>
    </row>
    <row r="402" spans="1:13" x14ac:dyDescent="0.25">
      <c r="A402" s="6">
        <v>1.0527796856529699E+17</v>
      </c>
      <c r="B402" s="30" t="s">
        <v>127</v>
      </c>
      <c r="C402" s="32" t="str">
        <f t="shared" si="12"/>
        <v>Dec</v>
      </c>
      <c r="D402" s="11" t="s">
        <v>9</v>
      </c>
      <c r="E402" s="13">
        <v>721305</v>
      </c>
      <c r="F402" s="13">
        <v>7117</v>
      </c>
      <c r="G402" s="13">
        <v>3</v>
      </c>
      <c r="H402" s="13">
        <v>233.009708737864</v>
      </c>
      <c r="I402" s="13">
        <v>6.9902912621359201</v>
      </c>
      <c r="J402" s="13">
        <f t="shared" si="13"/>
        <v>239.99999999999991</v>
      </c>
      <c r="K402" s="13">
        <v>57.2815533980583</v>
      </c>
      <c r="L402" s="11" t="s">
        <v>14</v>
      </c>
      <c r="M402" s="26"/>
    </row>
    <row r="403" spans="1:13" x14ac:dyDescent="0.25">
      <c r="A403" s="6">
        <v>1.0451791153164301E+17</v>
      </c>
      <c r="B403" s="30" t="s">
        <v>109</v>
      </c>
      <c r="C403" s="32" t="str">
        <f t="shared" si="12"/>
        <v>Dec</v>
      </c>
      <c r="D403" s="11" t="s">
        <v>9</v>
      </c>
      <c r="E403" s="13">
        <v>560076</v>
      </c>
      <c r="F403" s="13">
        <v>7117</v>
      </c>
      <c r="G403" s="13">
        <v>3</v>
      </c>
      <c r="H403" s="13">
        <v>103.883495145631</v>
      </c>
      <c r="I403" s="13">
        <v>3.6699029126213598</v>
      </c>
      <c r="J403" s="13">
        <f t="shared" si="13"/>
        <v>107.55339805825236</v>
      </c>
      <c r="K403" s="13">
        <v>40.776699029126199</v>
      </c>
      <c r="L403" s="11" t="s">
        <v>19</v>
      </c>
      <c r="M403" s="26"/>
    </row>
    <row r="404" spans="1:13" x14ac:dyDescent="0.25">
      <c r="A404" s="6">
        <v>9.8497040327046592E+16</v>
      </c>
      <c r="B404" s="30" t="s">
        <v>130</v>
      </c>
      <c r="C404" s="32" t="str">
        <f t="shared" si="12"/>
        <v>Dec</v>
      </c>
      <c r="D404" s="11" t="s">
        <v>16</v>
      </c>
      <c r="E404" s="13">
        <v>400011</v>
      </c>
      <c r="F404" s="13">
        <v>7117</v>
      </c>
      <c r="G404" s="13">
        <v>3</v>
      </c>
      <c r="H404" s="13">
        <v>185.43689320388299</v>
      </c>
      <c r="I404" s="13">
        <v>5.5631067961165002</v>
      </c>
      <c r="J404" s="13">
        <f t="shared" si="13"/>
        <v>190.99999999999949</v>
      </c>
      <c r="K404" s="13">
        <v>59.223300970873801</v>
      </c>
      <c r="L404" s="11" t="s">
        <v>41</v>
      </c>
      <c r="M404" s="26"/>
    </row>
    <row r="405" spans="1:13" x14ac:dyDescent="0.25">
      <c r="A405" s="6">
        <v>9.9856227514644E+16</v>
      </c>
      <c r="B405" s="30" t="s">
        <v>118</v>
      </c>
      <c r="C405" s="32" t="str">
        <f t="shared" si="12"/>
        <v>Dec</v>
      </c>
      <c r="D405" s="11" t="s">
        <v>21</v>
      </c>
      <c r="E405" s="13">
        <v>842002</v>
      </c>
      <c r="F405" s="13">
        <v>7117</v>
      </c>
      <c r="G405" s="13">
        <v>3</v>
      </c>
      <c r="H405" s="13">
        <v>170.873786407767</v>
      </c>
      <c r="I405" s="13">
        <v>5.1262135922330101</v>
      </c>
      <c r="J405" s="13">
        <f t="shared" si="13"/>
        <v>176</v>
      </c>
      <c r="K405" s="13">
        <v>59.223300970873801</v>
      </c>
      <c r="L405" s="11" t="s">
        <v>22</v>
      </c>
      <c r="M405" s="26"/>
    </row>
    <row r="406" spans="1:13" x14ac:dyDescent="0.25">
      <c r="A406" s="6">
        <v>9.84130021909596E+16</v>
      </c>
      <c r="B406" s="30" t="s">
        <v>131</v>
      </c>
      <c r="C406" s="32" t="str">
        <f t="shared" si="12"/>
        <v>Dec</v>
      </c>
      <c r="D406" s="11" t="s">
        <v>25</v>
      </c>
      <c r="E406" s="13">
        <v>413211</v>
      </c>
      <c r="F406" s="13">
        <v>7117</v>
      </c>
      <c r="G406" s="13">
        <v>3</v>
      </c>
      <c r="H406" s="13">
        <v>179.611650485436</v>
      </c>
      <c r="I406" s="13">
        <v>5.3883495145631102</v>
      </c>
      <c r="J406" s="13">
        <f t="shared" si="13"/>
        <v>184.99999999999912</v>
      </c>
      <c r="K406" s="13">
        <v>59.223300970873801</v>
      </c>
      <c r="L406" s="11" t="s">
        <v>41</v>
      </c>
      <c r="M406" s="26"/>
    </row>
    <row r="407" spans="1:13" x14ac:dyDescent="0.25">
      <c r="A407" s="6">
        <v>9.5181694663689104E+16</v>
      </c>
      <c r="B407" s="30" t="s">
        <v>112</v>
      </c>
      <c r="C407" s="32" t="str">
        <f t="shared" si="12"/>
        <v>Dec</v>
      </c>
      <c r="D407" s="11" t="s">
        <v>21</v>
      </c>
      <c r="E407" s="13">
        <v>136026</v>
      </c>
      <c r="F407" s="13">
        <v>7117</v>
      </c>
      <c r="G407" s="13">
        <v>3</v>
      </c>
      <c r="H407" s="13">
        <v>155.339805825242</v>
      </c>
      <c r="I407" s="13">
        <v>4.9514563106796103</v>
      </c>
      <c r="J407" s="13">
        <f t="shared" si="13"/>
        <v>160.29126213592161</v>
      </c>
      <c r="K407" s="13">
        <v>49.514563106796103</v>
      </c>
      <c r="L407" s="11" t="s">
        <v>63</v>
      </c>
      <c r="M407" s="26"/>
    </row>
    <row r="408" spans="1:13" x14ac:dyDescent="0.25">
      <c r="A408" s="6">
        <v>1.0166932852456701E+17</v>
      </c>
      <c r="B408" s="30" t="s">
        <v>108</v>
      </c>
      <c r="C408" s="32" t="str">
        <f t="shared" si="12"/>
        <v>Dec</v>
      </c>
      <c r="D408" s="11" t="s">
        <v>16</v>
      </c>
      <c r="E408" s="13">
        <v>210126</v>
      </c>
      <c r="F408" s="13">
        <v>7117</v>
      </c>
      <c r="G408" s="13">
        <v>3</v>
      </c>
      <c r="H408" s="13">
        <v>146.601941747572</v>
      </c>
      <c r="I408" s="13">
        <v>4.6310679611650496</v>
      </c>
      <c r="J408" s="13">
        <f t="shared" si="13"/>
        <v>151.23300970873706</v>
      </c>
      <c r="K408" s="13">
        <v>51.456310679611697</v>
      </c>
      <c r="L408" s="11" t="s">
        <v>10</v>
      </c>
      <c r="M408" s="26"/>
    </row>
    <row r="409" spans="1:13" x14ac:dyDescent="0.25">
      <c r="A409" s="6">
        <v>9.7318644792374304E+16</v>
      </c>
      <c r="B409" s="30" t="s">
        <v>121</v>
      </c>
      <c r="C409" s="32" t="str">
        <f t="shared" si="12"/>
        <v>Dec</v>
      </c>
      <c r="D409" s="11" t="s">
        <v>25</v>
      </c>
      <c r="E409" s="13">
        <v>535593</v>
      </c>
      <c r="F409" s="13">
        <v>7117</v>
      </c>
      <c r="G409" s="13">
        <v>3</v>
      </c>
      <c r="H409" s="13">
        <v>157.28155339805801</v>
      </c>
      <c r="I409" s="13">
        <v>4.7184466019417499</v>
      </c>
      <c r="J409" s="13">
        <f t="shared" si="13"/>
        <v>161.99999999999977</v>
      </c>
      <c r="K409" s="13">
        <v>59.223300970873801</v>
      </c>
      <c r="L409" s="11" t="s">
        <v>39</v>
      </c>
      <c r="M409" s="26"/>
    </row>
    <row r="410" spans="1:13" x14ac:dyDescent="0.25">
      <c r="A410" s="6">
        <v>1.0449527911881101E+17</v>
      </c>
      <c r="B410" s="30" t="s">
        <v>109</v>
      </c>
      <c r="C410" s="32" t="str">
        <f t="shared" si="12"/>
        <v>Dec</v>
      </c>
      <c r="D410" s="11" t="s">
        <v>25</v>
      </c>
      <c r="E410" s="13">
        <v>203396</v>
      </c>
      <c r="F410" s="13">
        <v>7117</v>
      </c>
      <c r="G410" s="13">
        <v>3</v>
      </c>
      <c r="H410" s="13">
        <v>243.68932038834899</v>
      </c>
      <c r="I410" s="13">
        <v>7.57281553398058</v>
      </c>
      <c r="J410" s="13">
        <f t="shared" si="13"/>
        <v>251.26213592232958</v>
      </c>
      <c r="K410" s="13">
        <v>49.514563106796103</v>
      </c>
      <c r="L410" s="11" t="s">
        <v>10</v>
      </c>
      <c r="M410" s="26"/>
    </row>
    <row r="411" spans="1:13" x14ac:dyDescent="0.25">
      <c r="A411" s="6">
        <v>1.05311383339692E+17</v>
      </c>
      <c r="B411" s="30" t="s">
        <v>127</v>
      </c>
      <c r="C411" s="32" t="str">
        <f t="shared" si="12"/>
        <v>Dec</v>
      </c>
      <c r="D411" s="11" t="s">
        <v>25</v>
      </c>
      <c r="E411" s="13">
        <v>855108</v>
      </c>
      <c r="F411" s="13">
        <v>7117</v>
      </c>
      <c r="G411" s="13">
        <v>3</v>
      </c>
      <c r="H411" s="13">
        <v>156.31067961164999</v>
      </c>
      <c r="I411" s="13">
        <v>4.6893203883495103</v>
      </c>
      <c r="J411" s="13">
        <f t="shared" si="13"/>
        <v>160.99999999999949</v>
      </c>
      <c r="K411" s="13">
        <v>58.252427184466001</v>
      </c>
      <c r="L411" s="11" t="s">
        <v>22</v>
      </c>
      <c r="M411" s="26"/>
    </row>
    <row r="412" spans="1:13" x14ac:dyDescent="0.25">
      <c r="A412" s="6">
        <v>1.0012271771834899E+17</v>
      </c>
      <c r="B412" s="30" t="s">
        <v>107</v>
      </c>
      <c r="C412" s="32" t="str">
        <f t="shared" si="12"/>
        <v>Dec</v>
      </c>
      <c r="D412" s="11" t="s">
        <v>21</v>
      </c>
      <c r="E412" s="13">
        <v>271801</v>
      </c>
      <c r="F412" s="13">
        <v>7117</v>
      </c>
      <c r="G412" s="13">
        <v>3</v>
      </c>
      <c r="H412" s="13">
        <v>150.485436893203</v>
      </c>
      <c r="I412" s="13">
        <v>4.7766990291262097</v>
      </c>
      <c r="J412" s="13">
        <f t="shared" si="13"/>
        <v>155.26213592232921</v>
      </c>
      <c r="K412" s="13">
        <v>49.514563106796103</v>
      </c>
      <c r="L412" s="11" t="s">
        <v>10</v>
      </c>
      <c r="M412" s="26"/>
    </row>
    <row r="413" spans="1:13" x14ac:dyDescent="0.25">
      <c r="A413" s="6">
        <v>1.0487207900194E+17</v>
      </c>
      <c r="B413" s="30" t="s">
        <v>105</v>
      </c>
      <c r="C413" s="32" t="str">
        <f t="shared" si="12"/>
        <v>Dec</v>
      </c>
      <c r="D413" s="11" t="s">
        <v>9</v>
      </c>
      <c r="E413" s="13">
        <v>122508</v>
      </c>
      <c r="F413" s="13">
        <v>7117</v>
      </c>
      <c r="G413" s="13">
        <v>3</v>
      </c>
      <c r="H413" s="13">
        <v>249.514563106796</v>
      </c>
      <c r="I413" s="13">
        <v>7.7475728155339798</v>
      </c>
      <c r="J413" s="13">
        <f t="shared" si="13"/>
        <v>257.26213592233</v>
      </c>
      <c r="K413" s="13">
        <v>50.485436893203897</v>
      </c>
      <c r="L413" s="11" t="s">
        <v>63</v>
      </c>
      <c r="M413" s="26"/>
    </row>
    <row r="414" spans="1:13" x14ac:dyDescent="0.25">
      <c r="A414" s="6">
        <v>9.7693181253973408E+16</v>
      </c>
      <c r="B414" s="30" t="s">
        <v>111</v>
      </c>
      <c r="C414" s="32" t="str">
        <f t="shared" si="12"/>
        <v>Dec</v>
      </c>
      <c r="D414" s="11" t="s">
        <v>25</v>
      </c>
      <c r="E414" s="13">
        <v>444806</v>
      </c>
      <c r="F414" s="13">
        <v>7117</v>
      </c>
      <c r="G414" s="13">
        <v>3</v>
      </c>
      <c r="H414" s="13">
        <v>166.990291262135</v>
      </c>
      <c r="I414" s="13">
        <v>5.0097087378640799</v>
      </c>
      <c r="J414" s="13">
        <f t="shared" si="13"/>
        <v>171.99999999999909</v>
      </c>
      <c r="K414" s="13">
        <v>58.252427184466001</v>
      </c>
      <c r="L414" s="11" t="s">
        <v>41</v>
      </c>
      <c r="M414" s="26"/>
    </row>
    <row r="415" spans="1:13" x14ac:dyDescent="0.25">
      <c r="A415" s="6">
        <v>1.0460107070534099E+17</v>
      </c>
      <c r="B415" s="30" t="s">
        <v>109</v>
      </c>
      <c r="C415" s="32" t="str">
        <f t="shared" si="12"/>
        <v>Dec</v>
      </c>
      <c r="D415" s="11" t="s">
        <v>9</v>
      </c>
      <c r="E415" s="13">
        <v>361315</v>
      </c>
      <c r="F415" s="13">
        <v>7117</v>
      </c>
      <c r="G415" s="13">
        <v>3</v>
      </c>
      <c r="H415" s="13">
        <v>239.80582524271799</v>
      </c>
      <c r="I415" s="13">
        <v>7.7475728155339798</v>
      </c>
      <c r="J415" s="13">
        <f t="shared" si="13"/>
        <v>247.55339805825196</v>
      </c>
      <c r="K415" s="13">
        <v>40.776699029126199</v>
      </c>
      <c r="L415" s="11" t="s">
        <v>12</v>
      </c>
      <c r="M415" s="26"/>
    </row>
    <row r="416" spans="1:13" x14ac:dyDescent="0.25">
      <c r="A416" s="6">
        <v>9.4690290015437696E+16</v>
      </c>
      <c r="B416" s="30" t="s">
        <v>79</v>
      </c>
      <c r="C416" s="32" t="str">
        <f t="shared" si="12"/>
        <v>Dec</v>
      </c>
      <c r="D416" s="11" t="s">
        <v>16</v>
      </c>
      <c r="E416" s="13">
        <v>324001</v>
      </c>
      <c r="F416" s="13">
        <v>711790</v>
      </c>
      <c r="G416" s="13">
        <v>3</v>
      </c>
      <c r="H416" s="13">
        <v>135.92233009708701</v>
      </c>
      <c r="I416" s="13">
        <v>4.3689320388349504</v>
      </c>
      <c r="J416" s="13">
        <f t="shared" si="13"/>
        <v>140.29126213592195</v>
      </c>
      <c r="K416" s="13">
        <v>49.514563106796103</v>
      </c>
      <c r="L416" s="11" t="s">
        <v>46</v>
      </c>
      <c r="M416" s="26"/>
    </row>
    <row r="417" spans="1:13" x14ac:dyDescent="0.25">
      <c r="A417" s="6">
        <v>1.00154616819168E+17</v>
      </c>
      <c r="B417" s="30" t="s">
        <v>107</v>
      </c>
      <c r="C417" s="32" t="str">
        <f t="shared" si="12"/>
        <v>Dec</v>
      </c>
      <c r="D417" s="11" t="s">
        <v>16</v>
      </c>
      <c r="E417" s="13">
        <v>516127</v>
      </c>
      <c r="F417" s="13">
        <v>7117</v>
      </c>
      <c r="G417" s="13">
        <v>3</v>
      </c>
      <c r="H417" s="13">
        <v>169.90291262135901</v>
      </c>
      <c r="I417" s="13">
        <v>5.0970873786407802</v>
      </c>
      <c r="J417" s="13">
        <f t="shared" si="13"/>
        <v>174.9999999999998</v>
      </c>
      <c r="K417" s="13">
        <v>59.223300970873801</v>
      </c>
      <c r="L417" s="11" t="s">
        <v>39</v>
      </c>
      <c r="M417" s="26"/>
    </row>
    <row r="418" spans="1:13" x14ac:dyDescent="0.25">
      <c r="A418" s="6">
        <v>1.0448559660049699E+17</v>
      </c>
      <c r="B418" s="30" t="s">
        <v>109</v>
      </c>
      <c r="C418" s="32" t="str">
        <f t="shared" si="12"/>
        <v>Dec</v>
      </c>
      <c r="D418" s="11" t="s">
        <v>25</v>
      </c>
      <c r="E418" s="13">
        <v>532001</v>
      </c>
      <c r="F418" s="13">
        <v>7117</v>
      </c>
      <c r="G418" s="13">
        <v>3</v>
      </c>
      <c r="H418" s="13">
        <v>174.757281553398</v>
      </c>
      <c r="I418" s="13">
        <v>5.2427184466019403</v>
      </c>
      <c r="J418" s="13">
        <f t="shared" si="13"/>
        <v>179.99999999999994</v>
      </c>
      <c r="K418" s="13">
        <v>58.252427184466001</v>
      </c>
      <c r="L418" s="11" t="s">
        <v>39</v>
      </c>
      <c r="M418" s="26"/>
    </row>
    <row r="419" spans="1:13" x14ac:dyDescent="0.25">
      <c r="A419" s="6">
        <v>9.7362037840999904E+16</v>
      </c>
      <c r="B419" s="30" t="s">
        <v>121</v>
      </c>
      <c r="C419" s="32" t="str">
        <f t="shared" si="12"/>
        <v>Dec</v>
      </c>
      <c r="D419" s="11" t="s">
        <v>16</v>
      </c>
      <c r="E419" s="13">
        <v>209729</v>
      </c>
      <c r="F419" s="13">
        <v>7117</v>
      </c>
      <c r="G419" s="13">
        <v>3</v>
      </c>
      <c r="H419" s="13">
        <v>171.844660194174</v>
      </c>
      <c r="I419" s="13">
        <v>5.44660194174757</v>
      </c>
      <c r="J419" s="13">
        <f t="shared" si="13"/>
        <v>177.29126213592156</v>
      </c>
      <c r="K419" s="13">
        <v>49.514563106796103</v>
      </c>
      <c r="L419" s="11" t="s">
        <v>10</v>
      </c>
      <c r="M419" s="26"/>
    </row>
    <row r="420" spans="1:13" x14ac:dyDescent="0.25">
      <c r="A420" s="6">
        <v>1.0175232047122899E+17</v>
      </c>
      <c r="B420" s="30" t="s">
        <v>124</v>
      </c>
      <c r="C420" s="32" t="str">
        <f t="shared" si="12"/>
        <v>Dec</v>
      </c>
      <c r="D420" s="11" t="s">
        <v>16</v>
      </c>
      <c r="E420" s="13">
        <v>400103</v>
      </c>
      <c r="F420" s="13">
        <v>7117</v>
      </c>
      <c r="G420" s="13">
        <v>3</v>
      </c>
      <c r="H420" s="13">
        <v>161.16504854368901</v>
      </c>
      <c r="I420" s="13">
        <v>5.3883495145631102</v>
      </c>
      <c r="J420" s="13">
        <f t="shared" si="13"/>
        <v>166.55339805825213</v>
      </c>
      <c r="K420" s="13">
        <v>40.776699029126199</v>
      </c>
      <c r="L420" s="11" t="s">
        <v>41</v>
      </c>
      <c r="M420" s="26"/>
    </row>
    <row r="421" spans="1:13" x14ac:dyDescent="0.25">
      <c r="A421" s="6">
        <v>9.9358534904263696E+16</v>
      </c>
      <c r="B421" s="30" t="s">
        <v>115</v>
      </c>
      <c r="C421" s="32" t="str">
        <f t="shared" si="12"/>
        <v>Dec</v>
      </c>
      <c r="D421" s="11" t="s">
        <v>21</v>
      </c>
      <c r="E421" s="13">
        <v>852210</v>
      </c>
      <c r="F421" s="13">
        <v>7117</v>
      </c>
      <c r="G421" s="13">
        <v>3</v>
      </c>
      <c r="H421" s="13">
        <v>147.57281553397999</v>
      </c>
      <c r="I421" s="13">
        <v>4.42718446601942</v>
      </c>
      <c r="J421" s="13">
        <f t="shared" si="13"/>
        <v>151.9999999999994</v>
      </c>
      <c r="K421" s="13">
        <v>57.2815533980583</v>
      </c>
      <c r="L421" s="11" t="s">
        <v>22</v>
      </c>
      <c r="M421" s="26"/>
    </row>
    <row r="422" spans="1:13" x14ac:dyDescent="0.25">
      <c r="A422" s="6">
        <v>9.5077218426585904E+16</v>
      </c>
      <c r="B422" s="30" t="s">
        <v>112</v>
      </c>
      <c r="C422" s="32" t="str">
        <f t="shared" si="12"/>
        <v>Dec</v>
      </c>
      <c r="D422" s="11" t="s">
        <v>16</v>
      </c>
      <c r="E422" s="13">
        <v>284002</v>
      </c>
      <c r="F422" s="13">
        <v>7117</v>
      </c>
      <c r="G422" s="13">
        <v>3</v>
      </c>
      <c r="H422" s="13">
        <v>124.27184466019401</v>
      </c>
      <c r="I422" s="13">
        <v>4.4563106796116498</v>
      </c>
      <c r="J422" s="13">
        <f t="shared" si="13"/>
        <v>128.72815533980565</v>
      </c>
      <c r="K422" s="13">
        <v>33.980582524271803</v>
      </c>
      <c r="L422" s="11" t="s">
        <v>10</v>
      </c>
      <c r="M422" s="26"/>
    </row>
    <row r="423" spans="1:13" x14ac:dyDescent="0.25">
      <c r="A423" s="6">
        <v>9.9194866735285904E+16</v>
      </c>
      <c r="B423" s="30" t="s">
        <v>114</v>
      </c>
      <c r="C423" s="32" t="str">
        <f t="shared" si="12"/>
        <v>Dec</v>
      </c>
      <c r="D423" s="11" t="s">
        <v>16</v>
      </c>
      <c r="E423" s="13">
        <v>261001</v>
      </c>
      <c r="F423" s="13">
        <v>7117</v>
      </c>
      <c r="G423" s="13">
        <v>3</v>
      </c>
      <c r="H423" s="13">
        <v>151.45631067961099</v>
      </c>
      <c r="I423" s="13">
        <v>4.8058252427184502</v>
      </c>
      <c r="J423" s="13">
        <f t="shared" si="13"/>
        <v>156.26213592232943</v>
      </c>
      <c r="K423" s="13">
        <v>48.543689320388303</v>
      </c>
      <c r="L423" s="11" t="s">
        <v>10</v>
      </c>
      <c r="M423" s="26"/>
    </row>
    <row r="424" spans="1:13" x14ac:dyDescent="0.25">
      <c r="A424" s="6">
        <v>9.5413960699738496E+16</v>
      </c>
      <c r="B424" s="30" t="s">
        <v>110</v>
      </c>
      <c r="C424" s="32" t="str">
        <f t="shared" si="12"/>
        <v>Dec</v>
      </c>
      <c r="D424" s="11" t="s">
        <v>52</v>
      </c>
      <c r="E424" s="13">
        <v>228001</v>
      </c>
      <c r="F424" s="13">
        <v>7117</v>
      </c>
      <c r="G424" s="13">
        <v>3</v>
      </c>
      <c r="H424" s="13">
        <v>179.611650485436</v>
      </c>
      <c r="I424" s="13">
        <v>5.6796116504854401</v>
      </c>
      <c r="J424" s="13">
        <f t="shared" si="13"/>
        <v>185.29126213592144</v>
      </c>
      <c r="K424" s="13">
        <v>49.514563106796103</v>
      </c>
      <c r="L424" s="11" t="s">
        <v>10</v>
      </c>
      <c r="M424" s="26"/>
    </row>
    <row r="425" spans="1:13" x14ac:dyDescent="0.25">
      <c r="A425" s="6">
        <v>1.05198537729668E+17</v>
      </c>
      <c r="B425" s="30" t="s">
        <v>127</v>
      </c>
      <c r="C425" s="32" t="str">
        <f t="shared" si="12"/>
        <v>Dec</v>
      </c>
      <c r="D425" s="11" t="s">
        <v>33</v>
      </c>
      <c r="E425" s="13">
        <v>560066</v>
      </c>
      <c r="F425" s="13">
        <v>7117</v>
      </c>
      <c r="G425" s="13">
        <v>3</v>
      </c>
      <c r="H425" s="13">
        <v>200.970873786407</v>
      </c>
      <c r="I425" s="13">
        <v>6.5825242718446599</v>
      </c>
      <c r="J425" s="13">
        <f t="shared" si="13"/>
        <v>207.55339805825164</v>
      </c>
      <c r="K425" s="13">
        <v>39.805825242718498</v>
      </c>
      <c r="L425" s="11" t="s">
        <v>19</v>
      </c>
      <c r="M425" s="26"/>
    </row>
    <row r="426" spans="1:13" x14ac:dyDescent="0.25">
      <c r="A426" s="6">
        <v>9.8641301320168992E+16</v>
      </c>
      <c r="B426" s="30" t="s">
        <v>130</v>
      </c>
      <c r="C426" s="32" t="str">
        <f t="shared" si="12"/>
        <v>Dec</v>
      </c>
      <c r="D426" s="11" t="s">
        <v>16</v>
      </c>
      <c r="E426" s="13">
        <v>276403</v>
      </c>
      <c r="F426" s="13">
        <v>7117</v>
      </c>
      <c r="G426" s="13">
        <v>3</v>
      </c>
      <c r="H426" s="13">
        <v>170.873786407767</v>
      </c>
      <c r="I426" s="13">
        <v>5.3883495145631102</v>
      </c>
      <c r="J426" s="13">
        <f t="shared" si="13"/>
        <v>176.26213592233012</v>
      </c>
      <c r="K426" s="13">
        <v>50.485436893203897</v>
      </c>
      <c r="L426" s="11" t="s">
        <v>10</v>
      </c>
      <c r="M426" s="26"/>
    </row>
    <row r="427" spans="1:13" x14ac:dyDescent="0.25">
      <c r="A427" s="6">
        <v>1.0532301151905E+17</v>
      </c>
      <c r="B427" s="30" t="s">
        <v>127</v>
      </c>
      <c r="C427" s="32" t="str">
        <f t="shared" si="12"/>
        <v>Dec</v>
      </c>
      <c r="D427" s="11" t="s">
        <v>9</v>
      </c>
      <c r="E427" s="13">
        <v>845426</v>
      </c>
      <c r="F427" s="13">
        <v>7117</v>
      </c>
      <c r="G427" s="13">
        <v>3</v>
      </c>
      <c r="H427" s="13">
        <v>170.873786407767</v>
      </c>
      <c r="I427" s="13">
        <v>5.2427184466019403</v>
      </c>
      <c r="J427" s="13">
        <f t="shared" si="13"/>
        <v>176.11650485436894</v>
      </c>
      <c r="K427" s="13">
        <v>54.368932038834998</v>
      </c>
      <c r="L427" s="11" t="s">
        <v>22</v>
      </c>
      <c r="M427" s="26"/>
    </row>
    <row r="428" spans="1:13" x14ac:dyDescent="0.25">
      <c r="A428" s="6">
        <v>1.0455403525180301E+17</v>
      </c>
      <c r="B428" s="30" t="s">
        <v>109</v>
      </c>
      <c r="C428" s="32" t="str">
        <f t="shared" si="12"/>
        <v>Dec</v>
      </c>
      <c r="D428" s="11" t="s">
        <v>9</v>
      </c>
      <c r="E428" s="13">
        <v>560058</v>
      </c>
      <c r="F428" s="13">
        <v>7117</v>
      </c>
      <c r="G428" s="13">
        <v>3</v>
      </c>
      <c r="H428" s="13">
        <v>156.31067961164999</v>
      </c>
      <c r="I428" s="13">
        <v>5.2427184466019403</v>
      </c>
      <c r="J428" s="13">
        <f t="shared" si="13"/>
        <v>161.55339805825193</v>
      </c>
      <c r="K428" s="13">
        <v>39.805825242718498</v>
      </c>
      <c r="L428" s="11" t="s">
        <v>19</v>
      </c>
      <c r="M428" s="26"/>
    </row>
    <row r="429" spans="1:13" x14ac:dyDescent="0.25">
      <c r="A429" s="6">
        <v>9.6949600050411008E+16</v>
      </c>
      <c r="B429" s="30" t="s">
        <v>122</v>
      </c>
      <c r="C429" s="32" t="str">
        <f t="shared" si="12"/>
        <v>Dec</v>
      </c>
      <c r="D429" s="11" t="s">
        <v>21</v>
      </c>
      <c r="E429" s="13">
        <v>144004</v>
      </c>
      <c r="F429" s="13">
        <v>7117</v>
      </c>
      <c r="G429" s="13">
        <v>3</v>
      </c>
      <c r="H429" s="13">
        <v>159.223300970873</v>
      </c>
      <c r="I429" s="13">
        <v>5.0679611650485397</v>
      </c>
      <c r="J429" s="13">
        <f t="shared" si="13"/>
        <v>164.29126213592153</v>
      </c>
      <c r="K429" s="13">
        <v>48.543689320388303</v>
      </c>
      <c r="L429" s="11" t="s">
        <v>17</v>
      </c>
      <c r="M429" s="26"/>
    </row>
    <row r="430" spans="1:13" x14ac:dyDescent="0.25">
      <c r="A430" s="6">
        <v>9.58381725937156E+16</v>
      </c>
      <c r="B430" s="30" t="s">
        <v>119</v>
      </c>
      <c r="C430" s="32" t="str">
        <f t="shared" si="12"/>
        <v>Dec</v>
      </c>
      <c r="D430" s="11" t="s">
        <v>16</v>
      </c>
      <c r="E430" s="13">
        <v>284202</v>
      </c>
      <c r="F430" s="13">
        <v>7117</v>
      </c>
      <c r="G430" s="13">
        <v>3</v>
      </c>
      <c r="H430" s="13">
        <v>138.83495145630999</v>
      </c>
      <c r="I430" s="13">
        <v>4.4563106796116498</v>
      </c>
      <c r="J430" s="13">
        <f t="shared" si="13"/>
        <v>143.29126213592164</v>
      </c>
      <c r="K430" s="13">
        <v>48.543689320388303</v>
      </c>
      <c r="L430" s="11" t="s">
        <v>10</v>
      </c>
      <c r="M430" s="26"/>
    </row>
    <row r="431" spans="1:13" x14ac:dyDescent="0.25">
      <c r="A431" s="6">
        <v>9.7954334165104E+16</v>
      </c>
      <c r="B431" s="30" t="s">
        <v>106</v>
      </c>
      <c r="C431" s="32" t="str">
        <f t="shared" si="12"/>
        <v>Dec</v>
      </c>
      <c r="D431" s="11" t="s">
        <v>16</v>
      </c>
      <c r="E431" s="13">
        <v>222137</v>
      </c>
      <c r="F431" s="13">
        <v>7117</v>
      </c>
      <c r="G431" s="13">
        <v>3</v>
      </c>
      <c r="H431" s="13">
        <v>155.339805825242</v>
      </c>
      <c r="I431" s="13">
        <v>5.3883495145631102</v>
      </c>
      <c r="J431" s="13">
        <f t="shared" si="13"/>
        <v>160.72815533980511</v>
      </c>
      <c r="K431" s="13">
        <v>34.951456310679603</v>
      </c>
      <c r="L431" s="11" t="s">
        <v>10</v>
      </c>
      <c r="M431" s="26"/>
    </row>
    <row r="432" spans="1:13" x14ac:dyDescent="0.25">
      <c r="A432" s="6">
        <v>9.8075946959390096E+16</v>
      </c>
      <c r="B432" s="30" t="s">
        <v>106</v>
      </c>
      <c r="C432" s="32" t="str">
        <f t="shared" si="12"/>
        <v>Dec</v>
      </c>
      <c r="D432" s="11" t="s">
        <v>16</v>
      </c>
      <c r="E432" s="13">
        <v>143001</v>
      </c>
      <c r="F432" s="13">
        <v>7117</v>
      </c>
      <c r="G432" s="13">
        <v>3</v>
      </c>
      <c r="H432" s="13">
        <v>170.873786407767</v>
      </c>
      <c r="I432" s="13">
        <v>5.3883495145631102</v>
      </c>
      <c r="J432" s="13">
        <f t="shared" si="13"/>
        <v>176.26213592233012</v>
      </c>
      <c r="K432" s="13">
        <v>50.485436893203897</v>
      </c>
      <c r="L432" s="11" t="s">
        <v>17</v>
      </c>
      <c r="M432" s="26"/>
    </row>
    <row r="433" spans="1:13" x14ac:dyDescent="0.25">
      <c r="A433" s="6">
        <v>9.46662772098016E+16</v>
      </c>
      <c r="B433" s="30" t="s">
        <v>79</v>
      </c>
      <c r="C433" s="32" t="str">
        <f t="shared" si="12"/>
        <v>Dec</v>
      </c>
      <c r="D433" s="11" t="s">
        <v>16</v>
      </c>
      <c r="E433" s="13">
        <v>455336</v>
      </c>
      <c r="F433" s="13">
        <v>7117</v>
      </c>
      <c r="G433" s="13">
        <v>3</v>
      </c>
      <c r="H433" s="13">
        <v>161.16504854368901</v>
      </c>
      <c r="I433" s="13">
        <v>4.8349514563106801</v>
      </c>
      <c r="J433" s="13">
        <f t="shared" si="13"/>
        <v>165.99999999999969</v>
      </c>
      <c r="K433" s="13">
        <v>58.252427184466001</v>
      </c>
      <c r="L433" s="11" t="s">
        <v>26</v>
      </c>
      <c r="M433" s="26"/>
    </row>
    <row r="434" spans="1:13" x14ac:dyDescent="0.25">
      <c r="A434" s="6">
        <v>9.47022158909408E+16</v>
      </c>
      <c r="B434" s="30" t="s">
        <v>79</v>
      </c>
      <c r="C434" s="32" t="str">
        <f t="shared" si="12"/>
        <v>Dec</v>
      </c>
      <c r="D434" s="11" t="s">
        <v>16</v>
      </c>
      <c r="E434" s="13">
        <v>276404</v>
      </c>
      <c r="F434" s="13">
        <v>7117</v>
      </c>
      <c r="G434" s="13">
        <v>3</v>
      </c>
      <c r="H434" s="13">
        <v>142.718446601941</v>
      </c>
      <c r="I434" s="13">
        <v>5.0097087378640799</v>
      </c>
      <c r="J434" s="13">
        <f t="shared" si="13"/>
        <v>147.72815533980508</v>
      </c>
      <c r="K434" s="13">
        <v>33.980582524271803</v>
      </c>
      <c r="L434" s="11" t="s">
        <v>10</v>
      </c>
      <c r="M434" s="26"/>
    </row>
    <row r="435" spans="1:13" x14ac:dyDescent="0.25">
      <c r="A435" s="6">
        <v>1.03406415210544E+17</v>
      </c>
      <c r="B435" s="30" t="s">
        <v>132</v>
      </c>
      <c r="C435" s="32" t="str">
        <f t="shared" si="12"/>
        <v>Dec</v>
      </c>
      <c r="D435" s="11" t="s">
        <v>16</v>
      </c>
      <c r="E435" s="13">
        <v>485666</v>
      </c>
      <c r="F435" s="13">
        <v>7117</v>
      </c>
      <c r="G435" s="13">
        <v>3</v>
      </c>
      <c r="H435" s="13">
        <v>155.339805825242</v>
      </c>
      <c r="I435" s="13">
        <v>4.8058252427184502</v>
      </c>
      <c r="J435" s="13">
        <f t="shared" si="13"/>
        <v>160.14563106796044</v>
      </c>
      <c r="K435" s="13">
        <v>52.427184466019398</v>
      </c>
      <c r="L435" s="11" t="s">
        <v>26</v>
      </c>
      <c r="M435" s="26"/>
    </row>
    <row r="436" spans="1:13" x14ac:dyDescent="0.25">
      <c r="A436" s="6">
        <v>1.0556658159013E+17</v>
      </c>
      <c r="B436" s="30" t="s">
        <v>129</v>
      </c>
      <c r="C436" s="32" t="str">
        <f t="shared" si="12"/>
        <v>Dec</v>
      </c>
      <c r="D436" s="11" t="s">
        <v>9</v>
      </c>
      <c r="E436" s="13">
        <v>221005</v>
      </c>
      <c r="F436" s="13">
        <v>7117</v>
      </c>
      <c r="G436" s="13">
        <v>3</v>
      </c>
      <c r="H436" s="13">
        <v>132.03883495145601</v>
      </c>
      <c r="I436" s="13">
        <v>4.6893203883495103</v>
      </c>
      <c r="J436" s="13">
        <f t="shared" si="13"/>
        <v>136.72815533980551</v>
      </c>
      <c r="K436" s="13">
        <v>33.980582524271803</v>
      </c>
      <c r="L436" s="11" t="s">
        <v>10</v>
      </c>
      <c r="M436" s="26"/>
    </row>
    <row r="437" spans="1:13" x14ac:dyDescent="0.25">
      <c r="A437" s="6">
        <v>9.51559769292128E+16</v>
      </c>
      <c r="B437" s="30" t="s">
        <v>112</v>
      </c>
      <c r="C437" s="32" t="str">
        <f t="shared" si="12"/>
        <v>Dec</v>
      </c>
      <c r="D437" s="11" t="s">
        <v>52</v>
      </c>
      <c r="E437" s="13">
        <v>743126</v>
      </c>
      <c r="F437" s="13">
        <v>7117</v>
      </c>
      <c r="G437" s="13">
        <v>3</v>
      </c>
      <c r="H437" s="13">
        <v>161.16504854368901</v>
      </c>
      <c r="I437" s="13">
        <v>4.8349514563106801</v>
      </c>
      <c r="J437" s="13">
        <f t="shared" si="13"/>
        <v>165.99999999999969</v>
      </c>
      <c r="K437" s="13">
        <v>58.252427184466001</v>
      </c>
      <c r="L437" s="11" t="s">
        <v>14</v>
      </c>
      <c r="M437" s="26"/>
    </row>
    <row r="438" spans="1:13" x14ac:dyDescent="0.25">
      <c r="A438" s="6">
        <v>1.0047340805111E+17</v>
      </c>
      <c r="B438" s="30" t="s">
        <v>117</v>
      </c>
      <c r="C438" s="32" t="str">
        <f t="shared" si="12"/>
        <v>Dec</v>
      </c>
      <c r="D438" s="11" t="s">
        <v>16</v>
      </c>
      <c r="E438" s="13">
        <v>246149</v>
      </c>
      <c r="F438" s="13">
        <v>7117</v>
      </c>
      <c r="G438" s="13">
        <v>3</v>
      </c>
      <c r="H438" s="13">
        <v>136.893203883495</v>
      </c>
      <c r="I438" s="13">
        <v>4.7766990291262097</v>
      </c>
      <c r="J438" s="13">
        <f t="shared" si="13"/>
        <v>141.66990291262121</v>
      </c>
      <c r="K438" s="13">
        <v>35.922330097087404</v>
      </c>
      <c r="L438" s="11" t="s">
        <v>49</v>
      </c>
      <c r="M438" s="26"/>
    </row>
    <row r="439" spans="1:13" x14ac:dyDescent="0.25">
      <c r="A439" s="6">
        <v>1.049953980491E+17</v>
      </c>
      <c r="B439" s="30" t="s">
        <v>105</v>
      </c>
      <c r="C439" s="32" t="str">
        <f t="shared" si="12"/>
        <v>Dec</v>
      </c>
      <c r="D439" s="11" t="s">
        <v>9</v>
      </c>
      <c r="E439" s="13">
        <v>743234</v>
      </c>
      <c r="F439" s="13">
        <v>7117</v>
      </c>
      <c r="G439" s="13">
        <v>3</v>
      </c>
      <c r="H439" s="13">
        <v>155.339805825242</v>
      </c>
      <c r="I439" s="13">
        <v>5.2135922330097104</v>
      </c>
      <c r="J439" s="13">
        <f t="shared" si="13"/>
        <v>160.5533980582517</v>
      </c>
      <c r="K439" s="13">
        <v>38.834951456310698</v>
      </c>
      <c r="L439" s="11" t="s">
        <v>14</v>
      </c>
      <c r="M439" s="26"/>
    </row>
    <row r="440" spans="1:13" x14ac:dyDescent="0.25">
      <c r="A440" s="6">
        <v>1.04986925493842E+17</v>
      </c>
      <c r="B440" s="30" t="s">
        <v>105</v>
      </c>
      <c r="C440" s="32" t="str">
        <f t="shared" si="12"/>
        <v>Dec</v>
      </c>
      <c r="D440" s="11" t="s">
        <v>9</v>
      </c>
      <c r="E440" s="13">
        <v>276207</v>
      </c>
      <c r="F440" s="13">
        <v>7117</v>
      </c>
      <c r="G440" s="13">
        <v>3</v>
      </c>
      <c r="H440" s="13">
        <v>147.57281553397999</v>
      </c>
      <c r="I440" s="13">
        <v>4.6893203883495103</v>
      </c>
      <c r="J440" s="13">
        <f t="shared" si="13"/>
        <v>152.26213592232949</v>
      </c>
      <c r="K440" s="13">
        <v>50.485436893203897</v>
      </c>
      <c r="L440" s="11" t="s">
        <v>10</v>
      </c>
      <c r="M440" s="26"/>
    </row>
    <row r="441" spans="1:13" x14ac:dyDescent="0.25">
      <c r="A441" s="6">
        <v>9.9111710116054704E+16</v>
      </c>
      <c r="B441" s="30" t="s">
        <v>114</v>
      </c>
      <c r="C441" s="32" t="str">
        <f t="shared" si="12"/>
        <v>Dec</v>
      </c>
      <c r="D441" s="11" t="s">
        <v>16</v>
      </c>
      <c r="E441" s="13">
        <v>743312</v>
      </c>
      <c r="F441" s="13">
        <v>7117</v>
      </c>
      <c r="G441" s="13">
        <v>3</v>
      </c>
      <c r="H441" s="13">
        <v>144.66019417475701</v>
      </c>
      <c r="I441" s="13">
        <v>4.3398058252427196</v>
      </c>
      <c r="J441" s="13">
        <f t="shared" si="13"/>
        <v>148.99999999999972</v>
      </c>
      <c r="K441" s="13">
        <v>57.2815533980583</v>
      </c>
      <c r="L441" s="11" t="s">
        <v>14</v>
      </c>
      <c r="M441" s="26"/>
    </row>
    <row r="442" spans="1:13" x14ac:dyDescent="0.25">
      <c r="A442" s="6">
        <v>1.03381569609072E+17</v>
      </c>
      <c r="B442" s="30" t="s">
        <v>132</v>
      </c>
      <c r="C442" s="32" t="str">
        <f t="shared" si="12"/>
        <v>Dec</v>
      </c>
      <c r="D442" s="11" t="s">
        <v>52</v>
      </c>
      <c r="E442" s="13">
        <v>121005</v>
      </c>
      <c r="F442" s="13">
        <v>7117</v>
      </c>
      <c r="G442" s="13">
        <v>3</v>
      </c>
      <c r="H442" s="13">
        <v>277.66990291262101</v>
      </c>
      <c r="I442" s="13">
        <v>9.6116504854368898</v>
      </c>
      <c r="J442" s="13">
        <f t="shared" si="13"/>
        <v>287.28155339805789</v>
      </c>
      <c r="K442" s="13">
        <v>71.844660194174807</v>
      </c>
      <c r="L442" s="11" t="s">
        <v>63</v>
      </c>
      <c r="M442" s="26"/>
    </row>
    <row r="443" spans="1:13" x14ac:dyDescent="0.25">
      <c r="A443" s="6">
        <v>9.76168930449996E+16</v>
      </c>
      <c r="B443" s="30" t="s">
        <v>111</v>
      </c>
      <c r="C443" s="32" t="str">
        <f t="shared" si="12"/>
        <v>Dec</v>
      </c>
      <c r="D443" s="11" t="s">
        <v>21</v>
      </c>
      <c r="E443" s="13">
        <v>801503</v>
      </c>
      <c r="F443" s="13">
        <v>7117</v>
      </c>
      <c r="G443" s="13">
        <v>3</v>
      </c>
      <c r="H443" s="13">
        <v>187.378640776699</v>
      </c>
      <c r="I443" s="13">
        <v>5.6796116504854401</v>
      </c>
      <c r="J443" s="13">
        <f t="shared" si="13"/>
        <v>193.05825242718444</v>
      </c>
      <c r="K443" s="13">
        <v>57.2815533980583</v>
      </c>
      <c r="L443" s="11" t="s">
        <v>22</v>
      </c>
      <c r="M443" s="26"/>
    </row>
    <row r="444" spans="1:13" x14ac:dyDescent="0.25">
      <c r="A444" s="6">
        <v>1.0411800464382E+17</v>
      </c>
      <c r="B444" s="30" t="s">
        <v>125</v>
      </c>
      <c r="C444" s="32" t="str">
        <f t="shared" si="12"/>
        <v>Dec</v>
      </c>
      <c r="D444" s="11" t="s">
        <v>9</v>
      </c>
      <c r="E444" s="13">
        <v>392001</v>
      </c>
      <c r="F444" s="13">
        <v>7117</v>
      </c>
      <c r="G444" s="13">
        <v>3</v>
      </c>
      <c r="H444" s="13">
        <v>137.864077669902</v>
      </c>
      <c r="I444" s="13">
        <v>4.6893203883495103</v>
      </c>
      <c r="J444" s="13">
        <f t="shared" si="13"/>
        <v>142.5533980582515</v>
      </c>
      <c r="K444" s="13">
        <v>39.805825242718498</v>
      </c>
      <c r="L444" s="11" t="s">
        <v>12</v>
      </c>
      <c r="M444" s="26"/>
    </row>
    <row r="445" spans="1:13" x14ac:dyDescent="0.25">
      <c r="A445" s="6">
        <v>1.0570430181847501E+17</v>
      </c>
      <c r="B445" s="30" t="s">
        <v>129</v>
      </c>
      <c r="C445" s="32" t="str">
        <f t="shared" si="12"/>
        <v>Dec</v>
      </c>
      <c r="D445" s="11" t="s">
        <v>9</v>
      </c>
      <c r="E445" s="13">
        <v>123001</v>
      </c>
      <c r="F445" s="13">
        <v>7117</v>
      </c>
      <c r="G445" s="13">
        <v>3</v>
      </c>
      <c r="H445" s="13">
        <v>199.02912621359201</v>
      </c>
      <c r="I445" s="13">
        <v>5.2135922330097104</v>
      </c>
      <c r="J445" s="13">
        <f t="shared" si="13"/>
        <v>204.24271844660171</v>
      </c>
      <c r="K445" s="13">
        <v>82.524271844660205</v>
      </c>
      <c r="L445" s="11" t="s">
        <v>63</v>
      </c>
      <c r="M445" s="26"/>
    </row>
    <row r="446" spans="1:13" x14ac:dyDescent="0.25">
      <c r="A446" s="6">
        <v>9.7397963329844192E+16</v>
      </c>
      <c r="B446" s="30" t="s">
        <v>121</v>
      </c>
      <c r="C446" s="32" t="str">
        <f t="shared" si="12"/>
        <v>Dec</v>
      </c>
      <c r="D446" s="11" t="s">
        <v>16</v>
      </c>
      <c r="E446" s="13">
        <v>180010</v>
      </c>
      <c r="F446" s="13">
        <v>7117</v>
      </c>
      <c r="G446" s="13">
        <v>3</v>
      </c>
      <c r="H446" s="13">
        <v>200.970873786407</v>
      </c>
      <c r="I446" s="13">
        <v>6.0291262135922299</v>
      </c>
      <c r="J446" s="13">
        <f t="shared" si="13"/>
        <v>206.99999999999923</v>
      </c>
      <c r="K446" s="13">
        <v>80.582524271844704</v>
      </c>
      <c r="L446" s="11" t="s">
        <v>56</v>
      </c>
      <c r="M446" s="26"/>
    </row>
    <row r="447" spans="1:13" x14ac:dyDescent="0.25">
      <c r="A447" s="6">
        <v>9.5431658799137696E+16</v>
      </c>
      <c r="B447" s="30" t="s">
        <v>110</v>
      </c>
      <c r="C447" s="32" t="str">
        <f t="shared" si="12"/>
        <v>Dec</v>
      </c>
      <c r="D447" s="11" t="s">
        <v>25</v>
      </c>
      <c r="E447" s="13">
        <v>560027</v>
      </c>
      <c r="F447" s="13">
        <v>7117</v>
      </c>
      <c r="G447" s="13">
        <v>3</v>
      </c>
      <c r="H447" s="13">
        <v>151.45631067961099</v>
      </c>
      <c r="I447" s="13">
        <v>4.5436893203883502</v>
      </c>
      <c r="J447" s="13">
        <f t="shared" si="13"/>
        <v>155.99999999999935</v>
      </c>
      <c r="K447" s="13">
        <v>59.223300970873801</v>
      </c>
      <c r="L447" s="11" t="s">
        <v>19</v>
      </c>
      <c r="M447" s="26"/>
    </row>
    <row r="448" spans="1:13" x14ac:dyDescent="0.25">
      <c r="A448" s="6">
        <v>9.6131101195433408E+16</v>
      </c>
      <c r="B448" s="30" t="s">
        <v>120</v>
      </c>
      <c r="C448" s="32" t="str">
        <f t="shared" si="12"/>
        <v>Dec</v>
      </c>
      <c r="D448" s="11" t="s">
        <v>21</v>
      </c>
      <c r="E448" s="13">
        <v>228001</v>
      </c>
      <c r="F448" s="13">
        <v>7117</v>
      </c>
      <c r="G448" s="13">
        <v>3</v>
      </c>
      <c r="H448" s="13">
        <v>141.747572815534</v>
      </c>
      <c r="I448" s="13">
        <v>4.5436893203883502</v>
      </c>
      <c r="J448" s="13">
        <f t="shared" si="13"/>
        <v>146.29126213592235</v>
      </c>
      <c r="K448" s="13">
        <v>49.514563106796103</v>
      </c>
      <c r="L448" s="11" t="s">
        <v>10</v>
      </c>
      <c r="M448" s="26"/>
    </row>
    <row r="449" spans="1:13" x14ac:dyDescent="0.25">
      <c r="A449" s="6">
        <v>1.0515202937011901E+17</v>
      </c>
      <c r="B449" s="30" t="s">
        <v>127</v>
      </c>
      <c r="C449" s="32" t="str">
        <f t="shared" si="12"/>
        <v>Dec</v>
      </c>
      <c r="D449" s="11" t="s">
        <v>9</v>
      </c>
      <c r="E449" s="13">
        <v>423203</v>
      </c>
      <c r="F449" s="13">
        <v>7117</v>
      </c>
      <c r="G449" s="13">
        <v>3</v>
      </c>
      <c r="H449" s="13">
        <v>174.757281553398</v>
      </c>
      <c r="I449" s="13">
        <v>5.2427184466019403</v>
      </c>
      <c r="J449" s="13">
        <f t="shared" si="13"/>
        <v>179.99999999999994</v>
      </c>
      <c r="K449" s="13">
        <v>58.252427184466001</v>
      </c>
      <c r="L449" s="11" t="s">
        <v>41</v>
      </c>
      <c r="M449" s="26"/>
    </row>
    <row r="450" spans="1:13" x14ac:dyDescent="0.25">
      <c r="A450" s="6">
        <v>9.7033231232550304E+16</v>
      </c>
      <c r="B450" s="30" t="s">
        <v>122</v>
      </c>
      <c r="C450" s="32" t="str">
        <f t="shared" si="12"/>
        <v>Dec</v>
      </c>
      <c r="D450" s="11" t="s">
        <v>25</v>
      </c>
      <c r="E450" s="13">
        <v>416122</v>
      </c>
      <c r="F450" s="13">
        <v>7117</v>
      </c>
      <c r="G450" s="13">
        <v>3</v>
      </c>
      <c r="H450" s="13">
        <v>181.55339805825199</v>
      </c>
      <c r="I450" s="13">
        <v>5.44660194174757</v>
      </c>
      <c r="J450" s="13">
        <f t="shared" si="13"/>
        <v>186.99999999999955</v>
      </c>
      <c r="K450" s="13">
        <v>59.223300970873801</v>
      </c>
      <c r="L450" s="11" t="s">
        <v>41</v>
      </c>
      <c r="M450" s="26"/>
    </row>
    <row r="451" spans="1:13" x14ac:dyDescent="0.25">
      <c r="A451" s="6">
        <v>9.68736093156776E+16</v>
      </c>
      <c r="B451" s="30" t="s">
        <v>122</v>
      </c>
      <c r="C451" s="32" t="str">
        <f t="shared" ref="C451:C514" si="14">TEXT(B451, "mmm")</f>
        <v>Dec</v>
      </c>
      <c r="D451" s="11" t="s">
        <v>16</v>
      </c>
      <c r="E451" s="13">
        <v>788101</v>
      </c>
      <c r="F451" s="13">
        <v>7117</v>
      </c>
      <c r="G451" s="13">
        <v>3</v>
      </c>
      <c r="H451" s="13">
        <v>177.66990291262101</v>
      </c>
      <c r="I451" s="13">
        <v>5.3300970873786397</v>
      </c>
      <c r="J451" s="13">
        <f t="shared" ref="J451:J514" si="15">H451+I451</f>
        <v>182.99999999999966</v>
      </c>
      <c r="K451" s="13">
        <v>80.582524271844704</v>
      </c>
      <c r="L451" s="11" t="s">
        <v>35</v>
      </c>
      <c r="M451" s="26"/>
    </row>
    <row r="452" spans="1:13" x14ac:dyDescent="0.25">
      <c r="A452" s="6">
        <v>9.4733051599029104E+16</v>
      </c>
      <c r="B452" s="30" t="s">
        <v>79</v>
      </c>
      <c r="C452" s="32" t="str">
        <f t="shared" si="14"/>
        <v>Dec</v>
      </c>
      <c r="D452" s="11" t="s">
        <v>16</v>
      </c>
      <c r="E452" s="13">
        <v>600077</v>
      </c>
      <c r="F452" s="13">
        <v>7117</v>
      </c>
      <c r="G452" s="13">
        <v>3</v>
      </c>
      <c r="H452" s="13">
        <v>144.66019417475701</v>
      </c>
      <c r="I452" s="13">
        <v>4.8932038834951497</v>
      </c>
      <c r="J452" s="13">
        <f t="shared" si="15"/>
        <v>149.55339805825216</v>
      </c>
      <c r="K452" s="13">
        <v>42.7184466019418</v>
      </c>
      <c r="L452" s="11" t="s">
        <v>27</v>
      </c>
      <c r="M452" s="26"/>
    </row>
    <row r="453" spans="1:13" x14ac:dyDescent="0.25">
      <c r="A453" s="6">
        <v>9.5793795383984992E+16</v>
      </c>
      <c r="B453" s="30" t="s">
        <v>119</v>
      </c>
      <c r="C453" s="32" t="str">
        <f t="shared" si="14"/>
        <v>Dec</v>
      </c>
      <c r="D453" s="11" t="s">
        <v>16</v>
      </c>
      <c r="E453" s="13">
        <v>176092</v>
      </c>
      <c r="F453" s="13">
        <v>7117</v>
      </c>
      <c r="G453" s="13">
        <v>3</v>
      </c>
      <c r="H453" s="13">
        <v>159.223300970873</v>
      </c>
      <c r="I453" s="13">
        <v>5.0679611650485397</v>
      </c>
      <c r="J453" s="13">
        <f t="shared" si="15"/>
        <v>164.29126213592153</v>
      </c>
      <c r="K453" s="13">
        <v>48.543689320388303</v>
      </c>
      <c r="L453" s="11" t="s">
        <v>44</v>
      </c>
      <c r="M453" s="26"/>
    </row>
    <row r="454" spans="1:13" x14ac:dyDescent="0.25">
      <c r="A454" s="6">
        <v>9.5433761644032896E+16</v>
      </c>
      <c r="B454" s="30" t="s">
        <v>110</v>
      </c>
      <c r="C454" s="32" t="str">
        <f t="shared" si="14"/>
        <v>Dec</v>
      </c>
      <c r="D454" s="11" t="s">
        <v>25</v>
      </c>
      <c r="E454" s="13">
        <v>562138</v>
      </c>
      <c r="F454" s="13">
        <v>7117</v>
      </c>
      <c r="G454" s="13">
        <v>3</v>
      </c>
      <c r="H454" s="13">
        <v>151.45631067961099</v>
      </c>
      <c r="I454" s="13">
        <v>4.5436893203883502</v>
      </c>
      <c r="J454" s="13">
        <f t="shared" si="15"/>
        <v>155.99999999999935</v>
      </c>
      <c r="K454" s="13">
        <v>59.223300970873801</v>
      </c>
      <c r="L454" s="11" t="s">
        <v>19</v>
      </c>
      <c r="M454" s="26"/>
    </row>
    <row r="455" spans="1:13" x14ac:dyDescent="0.25">
      <c r="A455" s="6">
        <v>9.5821250103802304E+16</v>
      </c>
      <c r="B455" s="30" t="s">
        <v>119</v>
      </c>
      <c r="C455" s="32" t="str">
        <f t="shared" si="14"/>
        <v>Dec</v>
      </c>
      <c r="D455" s="11" t="s">
        <v>25</v>
      </c>
      <c r="E455" s="13">
        <v>284202</v>
      </c>
      <c r="F455" s="13">
        <v>7117</v>
      </c>
      <c r="G455" s="13">
        <v>3</v>
      </c>
      <c r="H455" s="13">
        <v>138.83495145630999</v>
      </c>
      <c r="I455" s="13">
        <v>4.4563106796116498</v>
      </c>
      <c r="J455" s="13">
        <f t="shared" si="15"/>
        <v>143.29126213592164</v>
      </c>
      <c r="K455" s="13">
        <v>48.543689320388303</v>
      </c>
      <c r="L455" s="11" t="s">
        <v>10</v>
      </c>
      <c r="M455" s="26"/>
    </row>
    <row r="456" spans="1:13" x14ac:dyDescent="0.25">
      <c r="A456" s="6">
        <v>9.6953757142561792E+16</v>
      </c>
      <c r="B456" s="30" t="s">
        <v>122</v>
      </c>
      <c r="C456" s="32" t="str">
        <f t="shared" si="14"/>
        <v>Dec</v>
      </c>
      <c r="D456" s="11" t="s">
        <v>25</v>
      </c>
      <c r="E456" s="13">
        <v>412306</v>
      </c>
      <c r="F456" s="13">
        <v>7117</v>
      </c>
      <c r="G456" s="13">
        <v>3</v>
      </c>
      <c r="H456" s="13">
        <v>148.54368932038801</v>
      </c>
      <c r="I456" s="13">
        <v>4.4563106796116498</v>
      </c>
      <c r="J456" s="13">
        <f t="shared" si="15"/>
        <v>152.99999999999966</v>
      </c>
      <c r="K456" s="13">
        <v>58.252427184466001</v>
      </c>
      <c r="L456" s="11" t="s">
        <v>41</v>
      </c>
      <c r="M456" s="26"/>
    </row>
    <row r="457" spans="1:13" x14ac:dyDescent="0.25">
      <c r="A457" s="6">
        <v>9.6961135565010304E+16</v>
      </c>
      <c r="B457" s="30" t="s">
        <v>122</v>
      </c>
      <c r="C457" s="32" t="str">
        <f t="shared" si="14"/>
        <v>Dec</v>
      </c>
      <c r="D457" s="11" t="s">
        <v>25</v>
      </c>
      <c r="E457" s="13">
        <v>516127</v>
      </c>
      <c r="F457" s="13">
        <v>7117</v>
      </c>
      <c r="G457" s="13">
        <v>3</v>
      </c>
      <c r="H457" s="13">
        <v>169.90291262135901</v>
      </c>
      <c r="I457" s="13">
        <v>5.0970873786407802</v>
      </c>
      <c r="J457" s="13">
        <f t="shared" si="15"/>
        <v>174.9999999999998</v>
      </c>
      <c r="K457" s="13">
        <v>59.223300970873801</v>
      </c>
      <c r="L457" s="11" t="s">
        <v>39</v>
      </c>
      <c r="M457" s="26"/>
    </row>
    <row r="458" spans="1:13" x14ac:dyDescent="0.25">
      <c r="A458" s="6">
        <v>9.47456329675252E+16</v>
      </c>
      <c r="B458" s="30" t="s">
        <v>79</v>
      </c>
      <c r="C458" s="32" t="str">
        <f t="shared" si="14"/>
        <v>Dec</v>
      </c>
      <c r="D458" s="11" t="s">
        <v>25</v>
      </c>
      <c r="E458" s="13">
        <v>441210</v>
      </c>
      <c r="F458" s="13">
        <v>7117</v>
      </c>
      <c r="G458" s="13">
        <v>3</v>
      </c>
      <c r="H458" s="13">
        <v>146.601941747572</v>
      </c>
      <c r="I458" s="13">
        <v>4.3980582524271803</v>
      </c>
      <c r="J458" s="13">
        <f t="shared" si="15"/>
        <v>150.99999999999918</v>
      </c>
      <c r="K458" s="13">
        <v>59.223300970873801</v>
      </c>
      <c r="L458" s="11" t="s">
        <v>41</v>
      </c>
      <c r="M458" s="26"/>
    </row>
    <row r="459" spans="1:13" x14ac:dyDescent="0.25">
      <c r="A459" s="6">
        <v>1.0131546041865901E+17</v>
      </c>
      <c r="B459" s="30" t="s">
        <v>116</v>
      </c>
      <c r="C459" s="32" t="str">
        <f t="shared" si="14"/>
        <v>Dec</v>
      </c>
      <c r="D459" s="11" t="s">
        <v>52</v>
      </c>
      <c r="E459" s="13">
        <v>206001</v>
      </c>
      <c r="F459" s="13">
        <v>7117</v>
      </c>
      <c r="G459" s="13">
        <v>3</v>
      </c>
      <c r="H459" s="13">
        <v>156.31067961164999</v>
      </c>
      <c r="I459" s="13">
        <v>5.2135922330097104</v>
      </c>
      <c r="J459" s="13">
        <f t="shared" si="15"/>
        <v>161.52427184465969</v>
      </c>
      <c r="K459" s="13">
        <v>39.805825242718498</v>
      </c>
      <c r="L459" s="11" t="s">
        <v>10</v>
      </c>
      <c r="M459" s="26"/>
    </row>
    <row r="460" spans="1:13" x14ac:dyDescent="0.25">
      <c r="A460" s="6">
        <v>9.9853071376381504E+16</v>
      </c>
      <c r="B460" s="30" t="s">
        <v>118</v>
      </c>
      <c r="C460" s="32" t="str">
        <f t="shared" si="14"/>
        <v>Dec</v>
      </c>
      <c r="D460" s="11" t="s">
        <v>16</v>
      </c>
      <c r="E460" s="13">
        <v>131102</v>
      </c>
      <c r="F460" s="13">
        <v>7117</v>
      </c>
      <c r="G460" s="13">
        <v>3</v>
      </c>
      <c r="H460" s="13">
        <v>151.45631067961099</v>
      </c>
      <c r="I460" s="13">
        <v>4.8058252427184502</v>
      </c>
      <c r="J460" s="13">
        <f t="shared" si="15"/>
        <v>156.26213592232943</v>
      </c>
      <c r="K460" s="13">
        <v>50.485436893203897</v>
      </c>
      <c r="L460" s="11" t="s">
        <v>63</v>
      </c>
      <c r="M460" s="26"/>
    </row>
    <row r="461" spans="1:13" x14ac:dyDescent="0.25">
      <c r="A461" s="6">
        <v>1.0240359835415299E+17</v>
      </c>
      <c r="B461" s="30" t="s">
        <v>133</v>
      </c>
      <c r="C461" s="32" t="str">
        <f t="shared" si="14"/>
        <v>Dec</v>
      </c>
      <c r="D461" s="11" t="s">
        <v>16</v>
      </c>
      <c r="E461" s="13">
        <v>835207</v>
      </c>
      <c r="F461" s="13">
        <v>7117</v>
      </c>
      <c r="G461" s="13">
        <v>3</v>
      </c>
      <c r="H461" s="13">
        <v>140.77669902912601</v>
      </c>
      <c r="I461" s="13">
        <v>4.7766990291262097</v>
      </c>
      <c r="J461" s="13">
        <f t="shared" si="15"/>
        <v>145.55339805825221</v>
      </c>
      <c r="K461" s="13">
        <v>39.805825242718498</v>
      </c>
      <c r="L461" s="11" t="s">
        <v>37</v>
      </c>
      <c r="M461" s="26"/>
    </row>
    <row r="462" spans="1:13" x14ac:dyDescent="0.25">
      <c r="A462" s="6">
        <v>9.9091548911645696E+16</v>
      </c>
      <c r="B462" s="30" t="s">
        <v>114</v>
      </c>
      <c r="C462" s="32" t="str">
        <f t="shared" si="14"/>
        <v>Dec</v>
      </c>
      <c r="D462" s="11" t="s">
        <v>16</v>
      </c>
      <c r="E462" s="13">
        <v>361325</v>
      </c>
      <c r="F462" s="13">
        <v>7117</v>
      </c>
      <c r="G462" s="13">
        <v>3</v>
      </c>
      <c r="H462" s="13">
        <v>146.601941747572</v>
      </c>
      <c r="I462" s="13">
        <v>4.9514563106796103</v>
      </c>
      <c r="J462" s="13">
        <f t="shared" si="15"/>
        <v>151.55339805825162</v>
      </c>
      <c r="K462" s="13">
        <v>39.805825242718498</v>
      </c>
      <c r="L462" s="11" t="s">
        <v>12</v>
      </c>
      <c r="M462" s="26"/>
    </row>
    <row r="463" spans="1:13" x14ac:dyDescent="0.25">
      <c r="A463" s="6">
        <v>9.5158463013618496E+16</v>
      </c>
      <c r="B463" s="30" t="s">
        <v>112</v>
      </c>
      <c r="C463" s="32" t="str">
        <f t="shared" si="14"/>
        <v>Dec</v>
      </c>
      <c r="D463" s="11" t="s">
        <v>25</v>
      </c>
      <c r="E463" s="13">
        <v>462041</v>
      </c>
      <c r="F463" s="13">
        <v>7117</v>
      </c>
      <c r="G463" s="13">
        <v>3</v>
      </c>
      <c r="H463" s="13">
        <v>181.55339805825199</v>
      </c>
      <c r="I463" s="13">
        <v>5.44660194174757</v>
      </c>
      <c r="J463" s="13">
        <f t="shared" si="15"/>
        <v>186.99999999999955</v>
      </c>
      <c r="K463" s="13">
        <v>59.223300970873801</v>
      </c>
      <c r="L463" s="11" t="s">
        <v>26</v>
      </c>
      <c r="M463" s="26"/>
    </row>
    <row r="464" spans="1:13" x14ac:dyDescent="0.25">
      <c r="A464" s="6">
        <v>9.6519277789524992E+16</v>
      </c>
      <c r="B464" s="30" t="s">
        <v>113</v>
      </c>
      <c r="C464" s="32" t="str">
        <f t="shared" si="14"/>
        <v>Dec</v>
      </c>
      <c r="D464" s="11" t="s">
        <v>25</v>
      </c>
      <c r="E464" s="13">
        <v>614303</v>
      </c>
      <c r="F464" s="13">
        <v>7117</v>
      </c>
      <c r="G464" s="13">
        <v>3</v>
      </c>
      <c r="H464" s="13">
        <v>147.57281553397999</v>
      </c>
      <c r="I464" s="13">
        <v>4.9514563106796103</v>
      </c>
      <c r="J464" s="13">
        <f t="shared" si="15"/>
        <v>152.52427184465961</v>
      </c>
      <c r="K464" s="13">
        <v>41.747572815533999</v>
      </c>
      <c r="L464" s="11" t="s">
        <v>27</v>
      </c>
      <c r="M464" s="26"/>
    </row>
    <row r="465" spans="1:13" x14ac:dyDescent="0.25">
      <c r="A465" s="6">
        <v>9.5410541011174304E+16</v>
      </c>
      <c r="B465" s="30" t="s">
        <v>110</v>
      </c>
      <c r="C465" s="32" t="str">
        <f t="shared" si="14"/>
        <v>Dec</v>
      </c>
      <c r="D465" s="11" t="s">
        <v>16</v>
      </c>
      <c r="E465" s="13">
        <v>841424</v>
      </c>
      <c r="F465" s="13">
        <v>7117</v>
      </c>
      <c r="G465" s="13">
        <v>3</v>
      </c>
      <c r="H465" s="13">
        <v>185.43689320388299</v>
      </c>
      <c r="I465" s="13">
        <v>5.5631067961165002</v>
      </c>
      <c r="J465" s="13">
        <f t="shared" si="15"/>
        <v>190.99999999999949</v>
      </c>
      <c r="K465" s="13">
        <v>59.223300970873801</v>
      </c>
      <c r="L465" s="11" t="s">
        <v>22</v>
      </c>
      <c r="M465" s="26"/>
    </row>
    <row r="466" spans="1:13" x14ac:dyDescent="0.25">
      <c r="A466" s="6">
        <v>9.6560518793676192E+16</v>
      </c>
      <c r="B466" s="30" t="s">
        <v>113</v>
      </c>
      <c r="C466" s="32" t="str">
        <f t="shared" si="14"/>
        <v>Dec</v>
      </c>
      <c r="D466" s="11" t="s">
        <v>16</v>
      </c>
      <c r="E466" s="13">
        <v>752094</v>
      </c>
      <c r="F466" s="13">
        <v>7117</v>
      </c>
      <c r="G466" s="13">
        <v>3</v>
      </c>
      <c r="H466" s="13">
        <v>157.28155339805801</v>
      </c>
      <c r="I466" s="13">
        <v>4.7184466019417499</v>
      </c>
      <c r="J466" s="13">
        <f t="shared" si="15"/>
        <v>161.99999999999977</v>
      </c>
      <c r="K466" s="13">
        <v>59.223300970873801</v>
      </c>
      <c r="L466" s="11" t="s">
        <v>54</v>
      </c>
      <c r="M466" s="26"/>
    </row>
    <row r="467" spans="1:13" x14ac:dyDescent="0.25">
      <c r="A467" s="6">
        <v>9.5474598008533792E+16</v>
      </c>
      <c r="B467" s="30" t="s">
        <v>110</v>
      </c>
      <c r="C467" s="32" t="str">
        <f t="shared" si="14"/>
        <v>Dec</v>
      </c>
      <c r="D467" s="11" t="s">
        <v>25</v>
      </c>
      <c r="E467" s="13">
        <v>440001</v>
      </c>
      <c r="F467" s="13">
        <v>7117</v>
      </c>
      <c r="G467" s="13">
        <v>3</v>
      </c>
      <c r="H467" s="13">
        <v>174.757281553398</v>
      </c>
      <c r="I467" s="13">
        <v>5.2427184466019403</v>
      </c>
      <c r="J467" s="13">
        <f t="shared" si="15"/>
        <v>179.99999999999994</v>
      </c>
      <c r="K467" s="13">
        <v>58.252427184466001</v>
      </c>
      <c r="L467" s="11" t="s">
        <v>41</v>
      </c>
      <c r="M467" s="26"/>
    </row>
    <row r="468" spans="1:13" x14ac:dyDescent="0.25">
      <c r="A468" s="6">
        <v>1.0496605615374E+17</v>
      </c>
      <c r="B468" s="30" t="s">
        <v>105</v>
      </c>
      <c r="C468" s="32" t="str">
        <f t="shared" si="14"/>
        <v>Dec</v>
      </c>
      <c r="D468" s="11" t="s">
        <v>33</v>
      </c>
      <c r="E468" s="13">
        <v>533468</v>
      </c>
      <c r="F468" s="13">
        <v>7117</v>
      </c>
      <c r="G468" s="13">
        <v>3</v>
      </c>
      <c r="H468" s="13">
        <v>148.54368932038801</v>
      </c>
      <c r="I468" s="13">
        <v>4.9805825242718402</v>
      </c>
      <c r="J468" s="13">
        <f t="shared" si="15"/>
        <v>153.52427184465986</v>
      </c>
      <c r="K468" s="13">
        <v>39.805825242718498</v>
      </c>
      <c r="L468" s="11" t="s">
        <v>39</v>
      </c>
      <c r="M468" s="26"/>
    </row>
    <row r="469" spans="1:13" x14ac:dyDescent="0.25">
      <c r="A469" s="6">
        <v>1.00837769751978E+17</v>
      </c>
      <c r="B469" s="30" t="s">
        <v>123</v>
      </c>
      <c r="C469" s="32" t="str">
        <f t="shared" si="14"/>
        <v>Dec</v>
      </c>
      <c r="D469" s="11" t="s">
        <v>16</v>
      </c>
      <c r="E469" s="13">
        <v>522101</v>
      </c>
      <c r="F469" s="13">
        <v>7117</v>
      </c>
      <c r="G469" s="13">
        <v>3</v>
      </c>
      <c r="H469" s="13">
        <v>179.611650485436</v>
      </c>
      <c r="I469" s="13">
        <v>5.3883495145631102</v>
      </c>
      <c r="J469" s="13">
        <f t="shared" si="15"/>
        <v>184.99999999999912</v>
      </c>
      <c r="K469" s="13">
        <v>59.223300970873801</v>
      </c>
      <c r="L469" s="11" t="s">
        <v>39</v>
      </c>
      <c r="M469" s="26"/>
    </row>
    <row r="470" spans="1:13" x14ac:dyDescent="0.25">
      <c r="A470" s="6">
        <v>9.7319624640508896E+16</v>
      </c>
      <c r="B470" s="30" t="s">
        <v>121</v>
      </c>
      <c r="C470" s="32" t="str">
        <f t="shared" si="14"/>
        <v>Dec</v>
      </c>
      <c r="D470" s="11" t="s">
        <v>71</v>
      </c>
      <c r="E470" s="13">
        <v>535593</v>
      </c>
      <c r="F470" s="13">
        <v>7117</v>
      </c>
      <c r="G470" s="13">
        <v>3</v>
      </c>
      <c r="H470" s="13">
        <v>157.28155339805801</v>
      </c>
      <c r="I470" s="13">
        <v>4.7184466019417499</v>
      </c>
      <c r="J470" s="13">
        <f t="shared" si="15"/>
        <v>161.99999999999977</v>
      </c>
      <c r="K470" s="13">
        <v>59.223300970873801</v>
      </c>
      <c r="L470" s="11" t="s">
        <v>39</v>
      </c>
      <c r="M470" s="26"/>
    </row>
    <row r="471" spans="1:13" x14ac:dyDescent="0.25">
      <c r="A471" s="6">
        <v>1.01579358474272E+17</v>
      </c>
      <c r="B471" s="30" t="s">
        <v>108</v>
      </c>
      <c r="C471" s="32" t="str">
        <f t="shared" si="14"/>
        <v>Dec</v>
      </c>
      <c r="D471" s="11" t="s">
        <v>16</v>
      </c>
      <c r="E471" s="13">
        <v>201201</v>
      </c>
      <c r="F471" s="13">
        <v>7117</v>
      </c>
      <c r="G471" s="13">
        <v>3</v>
      </c>
      <c r="H471" s="13">
        <v>155.339805825242</v>
      </c>
      <c r="I471" s="13">
        <v>4.8058252427184502</v>
      </c>
      <c r="J471" s="13">
        <f t="shared" si="15"/>
        <v>160.14563106796044</v>
      </c>
      <c r="K471" s="13">
        <v>54.368932038834998</v>
      </c>
      <c r="L471" s="11" t="s">
        <v>10</v>
      </c>
      <c r="M471" s="26"/>
    </row>
    <row r="472" spans="1:13" x14ac:dyDescent="0.25">
      <c r="A472" s="6">
        <v>9.73850916735524E+16</v>
      </c>
      <c r="B472" s="30" t="s">
        <v>121</v>
      </c>
      <c r="C472" s="32" t="str">
        <f t="shared" si="14"/>
        <v>Dec</v>
      </c>
      <c r="D472" s="11" t="s">
        <v>16</v>
      </c>
      <c r="E472" s="13">
        <v>151001</v>
      </c>
      <c r="F472" s="13">
        <v>7117</v>
      </c>
      <c r="G472" s="13">
        <v>3</v>
      </c>
      <c r="H472" s="13">
        <v>158.252427184466</v>
      </c>
      <c r="I472" s="13">
        <v>5.44660194174757</v>
      </c>
      <c r="J472" s="13">
        <f t="shared" si="15"/>
        <v>163.69902912621356</v>
      </c>
      <c r="K472" s="13">
        <v>35.922330097087404</v>
      </c>
      <c r="L472" s="11" t="s">
        <v>17</v>
      </c>
      <c r="M472" s="26"/>
    </row>
    <row r="473" spans="1:13" x14ac:dyDescent="0.25">
      <c r="A473" s="6">
        <v>9.7901449960158704E+16</v>
      </c>
      <c r="B473" s="30" t="s">
        <v>106</v>
      </c>
      <c r="C473" s="32" t="str">
        <f t="shared" si="14"/>
        <v>Dec</v>
      </c>
      <c r="D473" s="11" t="s">
        <v>21</v>
      </c>
      <c r="E473" s="13">
        <v>852214</v>
      </c>
      <c r="F473" s="13">
        <v>7117</v>
      </c>
      <c r="G473" s="13">
        <v>3</v>
      </c>
      <c r="H473" s="13">
        <v>164.07766990291199</v>
      </c>
      <c r="I473" s="13">
        <v>4.9223300970873796</v>
      </c>
      <c r="J473" s="13">
        <f t="shared" si="15"/>
        <v>168.99999999999937</v>
      </c>
      <c r="K473" s="13">
        <v>58.252427184466001</v>
      </c>
      <c r="L473" s="11" t="s">
        <v>22</v>
      </c>
      <c r="M473" s="26"/>
    </row>
    <row r="474" spans="1:13" x14ac:dyDescent="0.25">
      <c r="A474" s="6">
        <v>1.0010044860611101E+17</v>
      </c>
      <c r="B474" s="30" t="s">
        <v>107</v>
      </c>
      <c r="C474" s="32" t="str">
        <f t="shared" si="14"/>
        <v>Dec</v>
      </c>
      <c r="D474" s="11" t="s">
        <v>16</v>
      </c>
      <c r="E474" s="13">
        <v>126115</v>
      </c>
      <c r="F474" s="13">
        <v>7117</v>
      </c>
      <c r="G474" s="13">
        <v>3</v>
      </c>
      <c r="H474" s="13">
        <v>166.01941747572801</v>
      </c>
      <c r="I474" s="13">
        <v>5.2427184466019403</v>
      </c>
      <c r="J474" s="13">
        <f t="shared" si="15"/>
        <v>171.26213592232995</v>
      </c>
      <c r="K474" s="13">
        <v>49.514563106796103</v>
      </c>
      <c r="L474" s="11" t="s">
        <v>63</v>
      </c>
      <c r="M474" s="26"/>
    </row>
    <row r="475" spans="1:13" x14ac:dyDescent="0.25">
      <c r="A475" s="6">
        <v>9.7749333122516608E+16</v>
      </c>
      <c r="B475" s="30" t="s">
        <v>111</v>
      </c>
      <c r="C475" s="32" t="str">
        <f t="shared" si="14"/>
        <v>Dec</v>
      </c>
      <c r="D475" s="11" t="s">
        <v>25</v>
      </c>
      <c r="E475" s="13">
        <v>841426</v>
      </c>
      <c r="F475" s="13">
        <v>7117</v>
      </c>
      <c r="G475" s="13">
        <v>3</v>
      </c>
      <c r="H475" s="13">
        <v>155.339805825242</v>
      </c>
      <c r="I475" s="13">
        <v>4.7184466019417499</v>
      </c>
      <c r="J475" s="13">
        <f t="shared" si="15"/>
        <v>160.05825242718373</v>
      </c>
      <c r="K475" s="13">
        <v>57.2815533980583</v>
      </c>
      <c r="L475" s="11" t="s">
        <v>22</v>
      </c>
      <c r="M475" s="26"/>
    </row>
    <row r="476" spans="1:13" x14ac:dyDescent="0.25">
      <c r="A476" s="6">
        <v>1.0155314922719699E+17</v>
      </c>
      <c r="B476" s="30" t="s">
        <v>108</v>
      </c>
      <c r="C476" s="32" t="str">
        <f t="shared" si="14"/>
        <v>Dec</v>
      </c>
      <c r="D476" s="11" t="s">
        <v>21</v>
      </c>
      <c r="E476" s="13">
        <v>184143</v>
      </c>
      <c r="F476" s="13">
        <v>7117</v>
      </c>
      <c r="G476" s="13">
        <v>3</v>
      </c>
      <c r="H476" s="13">
        <v>166.01941747572801</v>
      </c>
      <c r="I476" s="13">
        <v>4.9805825242718402</v>
      </c>
      <c r="J476" s="13">
        <f t="shared" si="15"/>
        <v>170.99999999999986</v>
      </c>
      <c r="K476" s="13">
        <v>78.640776699029104</v>
      </c>
      <c r="L476" s="11" t="s">
        <v>56</v>
      </c>
      <c r="M476" s="26"/>
    </row>
    <row r="477" spans="1:13" x14ac:dyDescent="0.25">
      <c r="A477" s="6">
        <v>1.0486599006371501E+17</v>
      </c>
      <c r="B477" s="30" t="s">
        <v>105</v>
      </c>
      <c r="C477" s="32" t="str">
        <f t="shared" si="14"/>
        <v>Dec</v>
      </c>
      <c r="D477" s="11" t="s">
        <v>33</v>
      </c>
      <c r="E477" s="13">
        <v>532430</v>
      </c>
      <c r="F477" s="13">
        <v>7117</v>
      </c>
      <c r="G477" s="13">
        <v>3</v>
      </c>
      <c r="H477" s="13">
        <v>174.757281553398</v>
      </c>
      <c r="I477" s="13">
        <v>5.2427184466019403</v>
      </c>
      <c r="J477" s="13">
        <f t="shared" si="15"/>
        <v>179.99999999999994</v>
      </c>
      <c r="K477" s="13">
        <v>58.252427184466001</v>
      </c>
      <c r="L477" s="11" t="s">
        <v>39</v>
      </c>
      <c r="M477" s="26"/>
    </row>
    <row r="478" spans="1:13" x14ac:dyDescent="0.25">
      <c r="A478" s="6">
        <v>9.6731599250323008E+16</v>
      </c>
      <c r="B478" s="30" t="s">
        <v>122</v>
      </c>
      <c r="C478" s="32" t="str">
        <f t="shared" si="14"/>
        <v>Dec</v>
      </c>
      <c r="D478" s="11" t="s">
        <v>25</v>
      </c>
      <c r="E478" s="13">
        <v>829119</v>
      </c>
      <c r="F478" s="13">
        <v>7117</v>
      </c>
      <c r="G478" s="13">
        <v>3</v>
      </c>
      <c r="H478" s="13">
        <v>156.31067961164999</v>
      </c>
      <c r="I478" s="13">
        <v>4.6893203883495103</v>
      </c>
      <c r="J478" s="13">
        <f t="shared" si="15"/>
        <v>160.99999999999949</v>
      </c>
      <c r="K478" s="13">
        <v>59.223300970873801</v>
      </c>
      <c r="L478" s="11" t="s">
        <v>37</v>
      </c>
      <c r="M478" s="26"/>
    </row>
    <row r="479" spans="1:13" x14ac:dyDescent="0.25">
      <c r="A479" s="6">
        <v>9.66004009162684E+16</v>
      </c>
      <c r="B479" s="30" t="s">
        <v>113</v>
      </c>
      <c r="C479" s="32" t="str">
        <f t="shared" si="14"/>
        <v>Dec</v>
      </c>
      <c r="D479" s="11" t="s">
        <v>16</v>
      </c>
      <c r="E479" s="13">
        <v>143001</v>
      </c>
      <c r="F479" s="13">
        <v>7117</v>
      </c>
      <c r="G479" s="13">
        <v>3</v>
      </c>
      <c r="H479" s="13">
        <v>141.747572815534</v>
      </c>
      <c r="I479" s="13">
        <v>4.5436893203883502</v>
      </c>
      <c r="J479" s="13">
        <f t="shared" si="15"/>
        <v>146.29126213592235</v>
      </c>
      <c r="K479" s="13">
        <v>49.514563106796103</v>
      </c>
      <c r="L479" s="11" t="s">
        <v>17</v>
      </c>
      <c r="M479" s="26"/>
    </row>
    <row r="480" spans="1:13" x14ac:dyDescent="0.25">
      <c r="A480" s="6">
        <v>1.05148777082716E+17</v>
      </c>
      <c r="B480" s="30" t="s">
        <v>127</v>
      </c>
      <c r="C480" s="32" t="str">
        <f t="shared" si="14"/>
        <v>Dec</v>
      </c>
      <c r="D480" s="11" t="s">
        <v>9</v>
      </c>
      <c r="E480" s="13">
        <v>803201</v>
      </c>
      <c r="F480" s="13">
        <v>7117</v>
      </c>
      <c r="G480" s="13">
        <v>3</v>
      </c>
      <c r="H480" s="13">
        <v>253.39805825242701</v>
      </c>
      <c r="I480" s="13">
        <v>7.7184466019417499</v>
      </c>
      <c r="J480" s="13">
        <f t="shared" si="15"/>
        <v>261.11650485436877</v>
      </c>
      <c r="K480" s="13">
        <v>55.339805825242699</v>
      </c>
      <c r="L480" s="11" t="s">
        <v>22</v>
      </c>
      <c r="M480" s="26"/>
    </row>
    <row r="481" spans="1:13" x14ac:dyDescent="0.25">
      <c r="A481" s="6">
        <v>9.6516537139016704E+16</v>
      </c>
      <c r="B481" s="30" t="s">
        <v>113</v>
      </c>
      <c r="C481" s="32" t="str">
        <f t="shared" si="14"/>
        <v>Dec</v>
      </c>
      <c r="D481" s="11" t="s">
        <v>25</v>
      </c>
      <c r="E481" s="13">
        <v>533435</v>
      </c>
      <c r="F481" s="13">
        <v>7117</v>
      </c>
      <c r="G481" s="13">
        <v>3</v>
      </c>
      <c r="H481" s="13">
        <v>168.93203883495099</v>
      </c>
      <c r="I481" s="13">
        <v>5.0679611650485397</v>
      </c>
      <c r="J481" s="13">
        <f t="shared" si="15"/>
        <v>173.99999999999952</v>
      </c>
      <c r="K481" s="13">
        <v>58.252427184466001</v>
      </c>
      <c r="L481" s="11" t="s">
        <v>39</v>
      </c>
      <c r="M481" s="26"/>
    </row>
    <row r="482" spans="1:13" x14ac:dyDescent="0.25">
      <c r="A482" s="6">
        <v>9.6651093857830496E+16</v>
      </c>
      <c r="B482" s="30" t="s">
        <v>113</v>
      </c>
      <c r="C482" s="32" t="str">
        <f t="shared" si="14"/>
        <v>Dec</v>
      </c>
      <c r="D482" s="11" t="s">
        <v>16</v>
      </c>
      <c r="E482" s="13">
        <v>132103</v>
      </c>
      <c r="F482" s="13">
        <v>7117</v>
      </c>
      <c r="G482" s="13">
        <v>3</v>
      </c>
      <c r="H482" s="13">
        <v>161.16504854368901</v>
      </c>
      <c r="I482" s="13">
        <v>5.1262135922330101</v>
      </c>
      <c r="J482" s="13">
        <f t="shared" si="15"/>
        <v>166.29126213592201</v>
      </c>
      <c r="K482" s="13">
        <v>49.514563106796103</v>
      </c>
      <c r="L482" s="11" t="s">
        <v>63</v>
      </c>
      <c r="M482" s="26"/>
    </row>
    <row r="483" spans="1:13" x14ac:dyDescent="0.25">
      <c r="A483" s="6">
        <v>1.0276753196757699E+17</v>
      </c>
      <c r="B483" s="30" t="s">
        <v>134</v>
      </c>
      <c r="C483" s="32" t="str">
        <f t="shared" si="14"/>
        <v>Dec</v>
      </c>
      <c r="D483" s="11" t="s">
        <v>71</v>
      </c>
      <c r="E483" s="13">
        <v>711106</v>
      </c>
      <c r="F483" s="13">
        <v>7117</v>
      </c>
      <c r="G483" s="13">
        <v>3</v>
      </c>
      <c r="H483" s="13">
        <v>146.601941747572</v>
      </c>
      <c r="I483" s="13">
        <v>4.3980582524271803</v>
      </c>
      <c r="J483" s="13">
        <f t="shared" si="15"/>
        <v>150.99999999999918</v>
      </c>
      <c r="K483" s="13">
        <v>59.223300970873801</v>
      </c>
      <c r="L483" s="11" t="s">
        <v>14</v>
      </c>
      <c r="M483" s="26"/>
    </row>
    <row r="484" spans="1:13" x14ac:dyDescent="0.25">
      <c r="A484" s="6">
        <v>9.5104906240668496E+16</v>
      </c>
      <c r="B484" s="30" t="s">
        <v>112</v>
      </c>
      <c r="C484" s="32" t="str">
        <f t="shared" si="14"/>
        <v>Dec</v>
      </c>
      <c r="D484" s="11" t="s">
        <v>16</v>
      </c>
      <c r="E484" s="13">
        <v>560067</v>
      </c>
      <c r="F484" s="13">
        <v>7117</v>
      </c>
      <c r="G484" s="13">
        <v>3</v>
      </c>
      <c r="H484" s="13">
        <v>179.611650485436</v>
      </c>
      <c r="I484" s="13">
        <v>5.3883495145631102</v>
      </c>
      <c r="J484" s="13">
        <f t="shared" si="15"/>
        <v>184.99999999999912</v>
      </c>
      <c r="K484" s="13">
        <v>59.223300970873801</v>
      </c>
      <c r="L484" s="11" t="s">
        <v>19</v>
      </c>
      <c r="M484" s="26"/>
    </row>
    <row r="485" spans="1:13" x14ac:dyDescent="0.25">
      <c r="A485" s="6">
        <v>1.05172147504308E+17</v>
      </c>
      <c r="B485" s="30" t="s">
        <v>127</v>
      </c>
      <c r="C485" s="32" t="str">
        <f t="shared" si="14"/>
        <v>Dec</v>
      </c>
      <c r="D485" s="11" t="s">
        <v>9</v>
      </c>
      <c r="E485" s="13">
        <v>390001</v>
      </c>
      <c r="F485" s="13">
        <v>7117</v>
      </c>
      <c r="G485" s="13">
        <v>3</v>
      </c>
      <c r="H485" s="13">
        <v>197.087378640776</v>
      </c>
      <c r="I485" s="13">
        <v>5.2135922330097104</v>
      </c>
      <c r="J485" s="13">
        <f t="shared" si="15"/>
        <v>202.3009708737857</v>
      </c>
      <c r="K485" s="13">
        <v>80.582524271844704</v>
      </c>
      <c r="L485" s="11" t="s">
        <v>12</v>
      </c>
      <c r="M485" s="26"/>
    </row>
    <row r="486" spans="1:13" x14ac:dyDescent="0.25">
      <c r="A486" s="6">
        <v>9.87727417897752E+16</v>
      </c>
      <c r="B486" s="30" t="s">
        <v>130</v>
      </c>
      <c r="C486" s="32" t="str">
        <f t="shared" si="14"/>
        <v>Dec</v>
      </c>
      <c r="D486" s="11" t="s">
        <v>25</v>
      </c>
      <c r="E486" s="13">
        <v>413112</v>
      </c>
      <c r="F486" s="13">
        <v>7117</v>
      </c>
      <c r="G486" s="13">
        <v>3</v>
      </c>
      <c r="H486" s="13">
        <v>179.611650485436</v>
      </c>
      <c r="I486" s="13">
        <v>5.3883495145631102</v>
      </c>
      <c r="J486" s="13">
        <f t="shared" si="15"/>
        <v>184.99999999999912</v>
      </c>
      <c r="K486" s="13">
        <v>59.223300970873801</v>
      </c>
      <c r="L486" s="11" t="s">
        <v>41</v>
      </c>
      <c r="M486" s="26"/>
    </row>
    <row r="487" spans="1:13" x14ac:dyDescent="0.25">
      <c r="A487" s="6">
        <v>9.90162689604296E+16</v>
      </c>
      <c r="B487" s="30" t="s">
        <v>114</v>
      </c>
      <c r="C487" s="32" t="str">
        <f t="shared" si="14"/>
        <v>Dec</v>
      </c>
      <c r="D487" s="11" t="s">
        <v>16</v>
      </c>
      <c r="E487" s="13">
        <v>413112</v>
      </c>
      <c r="F487" s="13">
        <v>7117</v>
      </c>
      <c r="G487" s="13">
        <v>3</v>
      </c>
      <c r="H487" s="13">
        <v>179.611650485436</v>
      </c>
      <c r="I487" s="13">
        <v>5.3883495145631102</v>
      </c>
      <c r="J487" s="13">
        <f t="shared" si="15"/>
        <v>184.99999999999912</v>
      </c>
      <c r="K487" s="13">
        <v>59.223300970873801</v>
      </c>
      <c r="L487" s="11" t="s">
        <v>41</v>
      </c>
      <c r="M487" s="26"/>
    </row>
    <row r="488" spans="1:13" x14ac:dyDescent="0.25">
      <c r="A488" s="6">
        <v>9.5428260357142896E+16</v>
      </c>
      <c r="B488" s="30" t="s">
        <v>110</v>
      </c>
      <c r="C488" s="32" t="str">
        <f t="shared" si="14"/>
        <v>Dec</v>
      </c>
      <c r="D488" s="11" t="s">
        <v>25</v>
      </c>
      <c r="E488" s="13">
        <v>813106</v>
      </c>
      <c r="F488" s="13">
        <v>7117</v>
      </c>
      <c r="G488" s="13">
        <v>3</v>
      </c>
      <c r="H488" s="13">
        <v>151.45631067961099</v>
      </c>
      <c r="I488" s="13">
        <v>4.5436893203883502</v>
      </c>
      <c r="J488" s="13">
        <f t="shared" si="15"/>
        <v>155.99999999999935</v>
      </c>
      <c r="K488" s="13">
        <v>59.223300970873801</v>
      </c>
      <c r="L488" s="11" t="s">
        <v>22</v>
      </c>
      <c r="M488" s="26"/>
    </row>
    <row r="489" spans="1:13" x14ac:dyDescent="0.25">
      <c r="A489" s="6">
        <v>9.5499712459473696E+16</v>
      </c>
      <c r="B489" s="30" t="s">
        <v>110</v>
      </c>
      <c r="C489" s="32" t="str">
        <f t="shared" si="14"/>
        <v>Dec</v>
      </c>
      <c r="D489" s="11" t="s">
        <v>16</v>
      </c>
      <c r="E489" s="13">
        <v>500008</v>
      </c>
      <c r="F489" s="13">
        <v>7117</v>
      </c>
      <c r="G489" s="13">
        <v>3</v>
      </c>
      <c r="H489" s="13">
        <v>180.58252427184399</v>
      </c>
      <c r="I489" s="13">
        <v>5.4174757281553401</v>
      </c>
      <c r="J489" s="13">
        <f t="shared" si="15"/>
        <v>185.99999999999935</v>
      </c>
      <c r="K489" s="13">
        <v>60.194174757281601</v>
      </c>
      <c r="L489" s="11" t="s">
        <v>53</v>
      </c>
      <c r="M489" s="26"/>
    </row>
    <row r="490" spans="1:13" x14ac:dyDescent="0.25">
      <c r="A490" s="6">
        <v>1.0078920891396099E+17</v>
      </c>
      <c r="B490" s="30" t="s">
        <v>123</v>
      </c>
      <c r="C490" s="32" t="str">
        <f t="shared" si="14"/>
        <v>Dec</v>
      </c>
      <c r="D490" s="11" t="s">
        <v>16</v>
      </c>
      <c r="E490" s="13">
        <v>670611</v>
      </c>
      <c r="F490" s="13">
        <v>7117</v>
      </c>
      <c r="G490" s="13">
        <v>3</v>
      </c>
      <c r="H490" s="13">
        <v>154.368932038834</v>
      </c>
      <c r="I490" s="13">
        <v>4.6310679611650496</v>
      </c>
      <c r="J490" s="13">
        <f t="shared" si="15"/>
        <v>158.99999999999906</v>
      </c>
      <c r="K490" s="13">
        <v>66.990291262135898</v>
      </c>
      <c r="L490" s="11" t="s">
        <v>98</v>
      </c>
      <c r="M490" s="26"/>
    </row>
    <row r="491" spans="1:13" x14ac:dyDescent="0.25">
      <c r="A491" s="6">
        <v>9.8752605733188992E+16</v>
      </c>
      <c r="B491" s="30" t="s">
        <v>130</v>
      </c>
      <c r="C491" s="32" t="str">
        <f t="shared" si="14"/>
        <v>Dec</v>
      </c>
      <c r="D491" s="11" t="s">
        <v>16</v>
      </c>
      <c r="E491" s="13">
        <v>152021</v>
      </c>
      <c r="F491" s="13">
        <v>7117</v>
      </c>
      <c r="G491" s="13">
        <v>3</v>
      </c>
      <c r="H491" s="13">
        <v>132.03883495145601</v>
      </c>
      <c r="I491" s="13">
        <v>4.6893203883495103</v>
      </c>
      <c r="J491" s="13">
        <f t="shared" si="15"/>
        <v>136.72815533980551</v>
      </c>
      <c r="K491" s="13">
        <v>33.980582524271803</v>
      </c>
      <c r="L491" s="11" t="s">
        <v>17</v>
      </c>
      <c r="M491" s="26"/>
    </row>
    <row r="492" spans="1:13" x14ac:dyDescent="0.25">
      <c r="A492" s="6">
        <v>9.5439597228295104E+16</v>
      </c>
      <c r="B492" s="30" t="s">
        <v>110</v>
      </c>
      <c r="C492" s="32" t="str">
        <f t="shared" si="14"/>
        <v>Dec</v>
      </c>
      <c r="D492" s="11" t="s">
        <v>16</v>
      </c>
      <c r="E492" s="13">
        <v>813106</v>
      </c>
      <c r="F492" s="13">
        <v>7117</v>
      </c>
      <c r="G492" s="13">
        <v>3</v>
      </c>
      <c r="H492" s="13">
        <v>151.45631067961099</v>
      </c>
      <c r="I492" s="13">
        <v>4.5436893203883502</v>
      </c>
      <c r="J492" s="13">
        <f t="shared" si="15"/>
        <v>155.99999999999935</v>
      </c>
      <c r="K492" s="13">
        <v>59.223300970873801</v>
      </c>
      <c r="L492" s="11" t="s">
        <v>22</v>
      </c>
      <c r="M492" s="26"/>
    </row>
    <row r="493" spans="1:13" x14ac:dyDescent="0.25">
      <c r="A493" s="6">
        <v>1.01036511132072E+17</v>
      </c>
      <c r="B493" s="30" t="s">
        <v>116</v>
      </c>
      <c r="C493" s="32" t="str">
        <f t="shared" si="14"/>
        <v>Dec</v>
      </c>
      <c r="D493" s="11" t="s">
        <v>21</v>
      </c>
      <c r="E493" s="13">
        <v>284002</v>
      </c>
      <c r="F493" s="13">
        <v>7117</v>
      </c>
      <c r="G493" s="13">
        <v>3</v>
      </c>
      <c r="H493" s="13">
        <v>137.864077669902</v>
      </c>
      <c r="I493" s="13">
        <v>4.3980582524271803</v>
      </c>
      <c r="J493" s="13">
        <f t="shared" si="15"/>
        <v>142.26213592232918</v>
      </c>
      <c r="K493" s="13">
        <v>50.485436893203897</v>
      </c>
      <c r="L493" s="11" t="s">
        <v>10</v>
      </c>
      <c r="M493" s="26"/>
    </row>
    <row r="494" spans="1:13" x14ac:dyDescent="0.25">
      <c r="A494" s="6">
        <v>9.95145659364776E+16</v>
      </c>
      <c r="B494" s="30" t="s">
        <v>115</v>
      </c>
      <c r="C494" s="32" t="str">
        <f t="shared" si="14"/>
        <v>Dec</v>
      </c>
      <c r="D494" s="11" t="s">
        <v>16</v>
      </c>
      <c r="E494" s="13">
        <v>509210</v>
      </c>
      <c r="F494" s="13">
        <v>7117</v>
      </c>
      <c r="G494" s="13">
        <v>3</v>
      </c>
      <c r="H494" s="13">
        <v>167.96116504854299</v>
      </c>
      <c r="I494" s="13">
        <v>5.0388349514563098</v>
      </c>
      <c r="J494" s="13">
        <f t="shared" si="15"/>
        <v>172.99999999999932</v>
      </c>
      <c r="K494" s="13">
        <v>57.2815533980583</v>
      </c>
      <c r="L494" s="11" t="s">
        <v>53</v>
      </c>
      <c r="M494" s="26"/>
    </row>
    <row r="495" spans="1:13" x14ac:dyDescent="0.25">
      <c r="A495" s="6">
        <v>9.5827499549668304E+16</v>
      </c>
      <c r="B495" s="30" t="s">
        <v>119</v>
      </c>
      <c r="C495" s="32" t="str">
        <f t="shared" si="14"/>
        <v>Dec</v>
      </c>
      <c r="D495" s="11" t="s">
        <v>25</v>
      </c>
      <c r="E495" s="13">
        <v>751024</v>
      </c>
      <c r="F495" s="13">
        <v>340600</v>
      </c>
      <c r="G495" s="13">
        <v>12</v>
      </c>
      <c r="H495" s="13">
        <v>200.892857142857</v>
      </c>
      <c r="I495" s="13">
        <v>24.107142857142801</v>
      </c>
      <c r="J495" s="13">
        <f t="shared" si="15"/>
        <v>224.9999999999998</v>
      </c>
      <c r="K495" s="13">
        <v>53.571428571428598</v>
      </c>
      <c r="L495" s="11" t="s">
        <v>54</v>
      </c>
      <c r="M495" s="26"/>
    </row>
    <row r="496" spans="1:13" x14ac:dyDescent="0.25">
      <c r="A496" s="6">
        <v>1.0521177521487501E+17</v>
      </c>
      <c r="B496" s="30" t="s">
        <v>127</v>
      </c>
      <c r="C496" s="32" t="str">
        <f t="shared" si="14"/>
        <v>Dec</v>
      </c>
      <c r="D496" s="11" t="s">
        <v>33</v>
      </c>
      <c r="E496" s="13">
        <v>845451</v>
      </c>
      <c r="F496" s="13">
        <v>7117</v>
      </c>
      <c r="G496" s="13">
        <v>3</v>
      </c>
      <c r="H496" s="13">
        <v>185.43689320388299</v>
      </c>
      <c r="I496" s="13">
        <v>5.2135922330097104</v>
      </c>
      <c r="J496" s="13">
        <f t="shared" si="15"/>
        <v>190.65048543689269</v>
      </c>
      <c r="K496" s="13">
        <v>68.932038834951499</v>
      </c>
      <c r="L496" s="11" t="s">
        <v>22</v>
      </c>
      <c r="M496" s="26"/>
    </row>
    <row r="497" spans="1:13" x14ac:dyDescent="0.25">
      <c r="A497" s="6">
        <v>9.6654307731911696E+16</v>
      </c>
      <c r="B497" s="30" t="s">
        <v>113</v>
      </c>
      <c r="C497" s="32" t="str">
        <f t="shared" si="14"/>
        <v>Dec</v>
      </c>
      <c r="D497" s="11" t="s">
        <v>21</v>
      </c>
      <c r="E497" s="13">
        <v>600055</v>
      </c>
      <c r="F497" s="13">
        <v>7117</v>
      </c>
      <c r="G497" s="13">
        <v>3</v>
      </c>
      <c r="H497" s="13">
        <v>161.16504854368901</v>
      </c>
      <c r="I497" s="13">
        <v>4.8349514563106801</v>
      </c>
      <c r="J497" s="13">
        <f t="shared" si="15"/>
        <v>165.99999999999969</v>
      </c>
      <c r="K497" s="13">
        <v>59.223300970873801</v>
      </c>
      <c r="L497" s="11" t="s">
        <v>27</v>
      </c>
      <c r="M497" s="26"/>
    </row>
    <row r="498" spans="1:13" x14ac:dyDescent="0.25">
      <c r="A498" s="6">
        <v>9.5802812840999296E+16</v>
      </c>
      <c r="B498" s="30" t="s">
        <v>119</v>
      </c>
      <c r="C498" s="32" t="str">
        <f t="shared" si="14"/>
        <v>Dec</v>
      </c>
      <c r="D498" s="11" t="s">
        <v>21</v>
      </c>
      <c r="E498" s="13">
        <v>825336</v>
      </c>
      <c r="F498" s="13">
        <v>7117</v>
      </c>
      <c r="G498" s="13">
        <v>3</v>
      </c>
      <c r="H498" s="13">
        <v>179.611650485436</v>
      </c>
      <c r="I498" s="13">
        <v>5.3883495145631102</v>
      </c>
      <c r="J498" s="13">
        <f t="shared" si="15"/>
        <v>184.99999999999912</v>
      </c>
      <c r="K498" s="13">
        <v>59.223300970873801</v>
      </c>
      <c r="L498" s="11" t="s">
        <v>37</v>
      </c>
      <c r="M498" s="26"/>
    </row>
    <row r="499" spans="1:13" x14ac:dyDescent="0.25">
      <c r="A499" s="6">
        <v>9.54302384664216E+16</v>
      </c>
      <c r="B499" s="30" t="s">
        <v>110</v>
      </c>
      <c r="C499" s="32" t="str">
        <f t="shared" si="14"/>
        <v>Dec</v>
      </c>
      <c r="D499" s="11" t="s">
        <v>25</v>
      </c>
      <c r="E499" s="13">
        <v>813106</v>
      </c>
      <c r="F499" s="13">
        <v>7117</v>
      </c>
      <c r="G499" s="13">
        <v>3</v>
      </c>
      <c r="H499" s="13">
        <v>170.873786407767</v>
      </c>
      <c r="I499" s="13">
        <v>5.1262135922330101</v>
      </c>
      <c r="J499" s="13">
        <f t="shared" si="15"/>
        <v>176</v>
      </c>
      <c r="K499" s="13">
        <v>59.223300970873801</v>
      </c>
      <c r="L499" s="11" t="s">
        <v>22</v>
      </c>
      <c r="M499" s="26"/>
    </row>
    <row r="500" spans="1:13" x14ac:dyDescent="0.25">
      <c r="A500" s="6">
        <v>1.0388424453498099E+17</v>
      </c>
      <c r="B500" s="30" t="s">
        <v>126</v>
      </c>
      <c r="C500" s="32" t="str">
        <f t="shared" si="14"/>
        <v>Dec</v>
      </c>
      <c r="D500" s="11" t="s">
        <v>9</v>
      </c>
      <c r="E500" s="13">
        <v>301020</v>
      </c>
      <c r="F500" s="13">
        <v>7117</v>
      </c>
      <c r="G500" s="13">
        <v>3</v>
      </c>
      <c r="H500" s="13">
        <v>149.514563106796</v>
      </c>
      <c r="I500" s="13">
        <v>4.6601941747572804</v>
      </c>
      <c r="J500" s="13">
        <f t="shared" si="15"/>
        <v>154.1747572815533</v>
      </c>
      <c r="K500" s="13">
        <v>51.456310679611697</v>
      </c>
      <c r="L500" s="11" t="s">
        <v>46</v>
      </c>
      <c r="M500" s="26"/>
    </row>
    <row r="501" spans="1:13" x14ac:dyDescent="0.25">
      <c r="A501" s="6">
        <v>9.5309235403654E+16</v>
      </c>
      <c r="B501" s="30" t="s">
        <v>110</v>
      </c>
      <c r="C501" s="32" t="str">
        <f t="shared" si="14"/>
        <v>Dec</v>
      </c>
      <c r="D501" s="11" t="s">
        <v>16</v>
      </c>
      <c r="E501" s="13">
        <v>534112</v>
      </c>
      <c r="F501" s="13">
        <v>7117</v>
      </c>
      <c r="G501" s="13">
        <v>3</v>
      </c>
      <c r="H501" s="13">
        <v>151.45631067961099</v>
      </c>
      <c r="I501" s="13">
        <v>4.5436893203883502</v>
      </c>
      <c r="J501" s="13">
        <f t="shared" si="15"/>
        <v>155.99999999999935</v>
      </c>
      <c r="K501" s="13">
        <v>59.223300970873801</v>
      </c>
      <c r="L501" s="11" t="s">
        <v>39</v>
      </c>
      <c r="M501" s="26"/>
    </row>
    <row r="502" spans="1:13" x14ac:dyDescent="0.25">
      <c r="A502" s="6">
        <v>9.5552885832319904E+16</v>
      </c>
      <c r="B502" s="30" t="s">
        <v>110</v>
      </c>
      <c r="C502" s="32" t="str">
        <f t="shared" si="14"/>
        <v>Dec</v>
      </c>
      <c r="D502" s="11" t="s">
        <v>16</v>
      </c>
      <c r="E502" s="13">
        <v>110059</v>
      </c>
      <c r="F502" s="13">
        <v>7117</v>
      </c>
      <c r="G502" s="13">
        <v>3</v>
      </c>
      <c r="H502" s="13">
        <v>179.611650485436</v>
      </c>
      <c r="I502" s="13">
        <v>5.6796116504854401</v>
      </c>
      <c r="J502" s="13">
        <f t="shared" si="15"/>
        <v>185.29126213592144</v>
      </c>
      <c r="K502" s="13">
        <v>49.514563106796103</v>
      </c>
      <c r="L502" s="11" t="s">
        <v>10</v>
      </c>
      <c r="M502" s="26"/>
    </row>
    <row r="503" spans="1:13" x14ac:dyDescent="0.25">
      <c r="A503" s="6">
        <v>9.7010291024103104E+16</v>
      </c>
      <c r="B503" s="30" t="s">
        <v>122</v>
      </c>
      <c r="C503" s="32" t="str">
        <f t="shared" si="14"/>
        <v>Dec</v>
      </c>
      <c r="D503" s="11" t="s">
        <v>16</v>
      </c>
      <c r="E503" s="13">
        <v>828112</v>
      </c>
      <c r="F503" s="13">
        <v>7117</v>
      </c>
      <c r="G503" s="13">
        <v>3</v>
      </c>
      <c r="H503" s="13">
        <v>181.55339805825199</v>
      </c>
      <c r="I503" s="13">
        <v>5.44660194174757</v>
      </c>
      <c r="J503" s="13">
        <f t="shared" si="15"/>
        <v>186.99999999999955</v>
      </c>
      <c r="K503" s="13">
        <v>59.223300970873801</v>
      </c>
      <c r="L503" s="11" t="s">
        <v>135</v>
      </c>
      <c r="M503" s="26"/>
    </row>
    <row r="504" spans="1:13" x14ac:dyDescent="0.25">
      <c r="A504" s="6">
        <v>1.01584820854798E+17</v>
      </c>
      <c r="B504" s="30" t="s">
        <v>108</v>
      </c>
      <c r="C504" s="32" t="str">
        <f t="shared" si="14"/>
        <v>Dec</v>
      </c>
      <c r="D504" s="11" t="s">
        <v>16</v>
      </c>
      <c r="E504" s="13">
        <v>500030</v>
      </c>
      <c r="F504" s="13">
        <v>7117</v>
      </c>
      <c r="G504" s="13">
        <v>3</v>
      </c>
      <c r="H504" s="13">
        <v>180.58252427184399</v>
      </c>
      <c r="I504" s="13">
        <v>5.4174757281553401</v>
      </c>
      <c r="J504" s="13">
        <f t="shared" si="15"/>
        <v>185.99999999999935</v>
      </c>
      <c r="K504" s="13">
        <v>60.194174757281601</v>
      </c>
      <c r="L504" s="11" t="s">
        <v>53</v>
      </c>
      <c r="M504" s="26"/>
    </row>
    <row r="505" spans="1:13" x14ac:dyDescent="0.25">
      <c r="A505" s="6">
        <v>9.6510859506824192E+16</v>
      </c>
      <c r="B505" s="30" t="s">
        <v>113</v>
      </c>
      <c r="C505" s="32" t="str">
        <f t="shared" si="14"/>
        <v>Dec</v>
      </c>
      <c r="D505" s="11" t="s">
        <v>25</v>
      </c>
      <c r="E505" s="13">
        <v>486331</v>
      </c>
      <c r="F505" s="13">
        <v>7117</v>
      </c>
      <c r="G505" s="13">
        <v>3</v>
      </c>
      <c r="H505" s="13">
        <v>155.339805825242</v>
      </c>
      <c r="I505" s="13">
        <v>4.7475728155339798</v>
      </c>
      <c r="J505" s="13">
        <f t="shared" si="15"/>
        <v>160.08737864077597</v>
      </c>
      <c r="K505" s="13">
        <v>55.339805825242699</v>
      </c>
      <c r="L505" s="11" t="s">
        <v>26</v>
      </c>
      <c r="M505" s="26"/>
    </row>
    <row r="506" spans="1:13" x14ac:dyDescent="0.25">
      <c r="A506" s="6">
        <v>9.67959728480928E+16</v>
      </c>
      <c r="B506" s="30" t="s">
        <v>122</v>
      </c>
      <c r="C506" s="32" t="str">
        <f t="shared" si="14"/>
        <v>Dec</v>
      </c>
      <c r="D506" s="11" t="s">
        <v>16</v>
      </c>
      <c r="E506" s="13">
        <v>841226</v>
      </c>
      <c r="F506" s="13">
        <v>7117</v>
      </c>
      <c r="G506" s="13">
        <v>3</v>
      </c>
      <c r="H506" s="13">
        <v>144.66019417475701</v>
      </c>
      <c r="I506" s="13">
        <v>4.3980582524271803</v>
      </c>
      <c r="J506" s="13">
        <f t="shared" si="15"/>
        <v>149.05825242718419</v>
      </c>
      <c r="K506" s="13">
        <v>57.2815533980583</v>
      </c>
      <c r="L506" s="11" t="s">
        <v>22</v>
      </c>
      <c r="M506" s="26"/>
    </row>
    <row r="507" spans="1:13" x14ac:dyDescent="0.25">
      <c r="A507" s="6">
        <v>9.5470979749020608E+16</v>
      </c>
      <c r="B507" s="30" t="s">
        <v>110</v>
      </c>
      <c r="C507" s="32" t="str">
        <f t="shared" si="14"/>
        <v>Dec</v>
      </c>
      <c r="D507" s="11" t="s">
        <v>16</v>
      </c>
      <c r="E507" s="13">
        <v>421002</v>
      </c>
      <c r="F507" s="13">
        <v>7117</v>
      </c>
      <c r="G507" s="13">
        <v>3</v>
      </c>
      <c r="H507" s="13">
        <v>166.01941747572801</v>
      </c>
      <c r="I507" s="13">
        <v>4.9805825242718402</v>
      </c>
      <c r="J507" s="13">
        <f t="shared" si="15"/>
        <v>170.99999999999986</v>
      </c>
      <c r="K507" s="13">
        <v>59.223300970873801</v>
      </c>
      <c r="L507" s="11" t="s">
        <v>41</v>
      </c>
      <c r="M507" s="26"/>
    </row>
    <row r="508" spans="1:13" x14ac:dyDescent="0.25">
      <c r="A508" s="6">
        <v>9.69633729901052E+16</v>
      </c>
      <c r="B508" s="30" t="s">
        <v>122</v>
      </c>
      <c r="C508" s="32" t="str">
        <f t="shared" si="14"/>
        <v>Dec</v>
      </c>
      <c r="D508" s="11" t="s">
        <v>16</v>
      </c>
      <c r="E508" s="13">
        <v>852109</v>
      </c>
      <c r="F508" s="13">
        <v>7117</v>
      </c>
      <c r="G508" s="13">
        <v>3</v>
      </c>
      <c r="H508" s="13">
        <v>166.990291262135</v>
      </c>
      <c r="I508" s="13">
        <v>5.0097087378640799</v>
      </c>
      <c r="J508" s="13">
        <f t="shared" si="15"/>
        <v>171.99999999999909</v>
      </c>
      <c r="K508" s="13">
        <v>58.252427184466001</v>
      </c>
      <c r="L508" s="11" t="s">
        <v>22</v>
      </c>
      <c r="M508" s="26"/>
    </row>
    <row r="509" spans="1:13" x14ac:dyDescent="0.25">
      <c r="A509" s="6">
        <v>9.61259742108236E+16</v>
      </c>
      <c r="B509" s="30" t="s">
        <v>120</v>
      </c>
      <c r="C509" s="32" t="str">
        <f t="shared" si="14"/>
        <v>Dec</v>
      </c>
      <c r="D509" s="11" t="s">
        <v>25</v>
      </c>
      <c r="E509" s="13">
        <v>403521</v>
      </c>
      <c r="F509" s="13">
        <v>7117</v>
      </c>
      <c r="G509" s="13">
        <v>3</v>
      </c>
      <c r="H509" s="13">
        <v>137.864077669902</v>
      </c>
      <c r="I509" s="13">
        <v>4.13592233009709</v>
      </c>
      <c r="J509" s="13">
        <f t="shared" si="15"/>
        <v>141.99999999999909</v>
      </c>
      <c r="K509" s="13">
        <v>58.252427184466001</v>
      </c>
      <c r="L509" s="11" t="s">
        <v>104</v>
      </c>
      <c r="M509" s="26"/>
    </row>
    <row r="510" spans="1:13" x14ac:dyDescent="0.25">
      <c r="A510" s="6">
        <v>9.7382441123464608E+16</v>
      </c>
      <c r="B510" s="30" t="s">
        <v>121</v>
      </c>
      <c r="C510" s="32" t="str">
        <f t="shared" si="14"/>
        <v>Dec</v>
      </c>
      <c r="D510" s="11" t="s">
        <v>16</v>
      </c>
      <c r="E510" s="13">
        <v>804432</v>
      </c>
      <c r="F510" s="13">
        <v>7117</v>
      </c>
      <c r="G510" s="13">
        <v>3</v>
      </c>
      <c r="H510" s="13">
        <v>157.28155339805801</v>
      </c>
      <c r="I510" s="13">
        <v>4.7184466019417499</v>
      </c>
      <c r="J510" s="13">
        <f t="shared" si="15"/>
        <v>161.99999999999977</v>
      </c>
      <c r="K510" s="13">
        <v>59.223300970873801</v>
      </c>
      <c r="L510" s="11" t="s">
        <v>22</v>
      </c>
      <c r="M510" s="26"/>
    </row>
    <row r="511" spans="1:13" x14ac:dyDescent="0.25">
      <c r="A511" s="6">
        <v>1.00577383240852E+17</v>
      </c>
      <c r="B511" s="30" t="s">
        <v>117</v>
      </c>
      <c r="C511" s="32" t="str">
        <f t="shared" si="14"/>
        <v>Dec</v>
      </c>
      <c r="D511" s="11" t="s">
        <v>52</v>
      </c>
      <c r="E511" s="13">
        <v>495004</v>
      </c>
      <c r="F511" s="13">
        <v>7117</v>
      </c>
      <c r="G511" s="13">
        <v>3</v>
      </c>
      <c r="H511" s="13">
        <v>159.223300970873</v>
      </c>
      <c r="I511" s="13">
        <v>4.7766990291262097</v>
      </c>
      <c r="J511" s="13">
        <f t="shared" si="15"/>
        <v>163.9999999999992</v>
      </c>
      <c r="K511" s="13">
        <v>58.252427184466001</v>
      </c>
      <c r="L511" s="11" t="s">
        <v>23</v>
      </c>
      <c r="M511" s="26"/>
    </row>
    <row r="512" spans="1:13" x14ac:dyDescent="0.25">
      <c r="A512" s="6">
        <v>9.67647892182928E+16</v>
      </c>
      <c r="B512" s="30" t="s">
        <v>122</v>
      </c>
      <c r="C512" s="32" t="str">
        <f t="shared" si="14"/>
        <v>Dec</v>
      </c>
      <c r="D512" s="11" t="s">
        <v>16</v>
      </c>
      <c r="E512" s="13">
        <v>335501</v>
      </c>
      <c r="F512" s="13">
        <v>7117</v>
      </c>
      <c r="G512" s="13">
        <v>3</v>
      </c>
      <c r="H512" s="13">
        <v>179.611650485436</v>
      </c>
      <c r="I512" s="13">
        <v>5.6796116504854401</v>
      </c>
      <c r="J512" s="13">
        <f t="shared" si="15"/>
        <v>185.29126213592144</v>
      </c>
      <c r="K512" s="13">
        <v>49.514563106796103</v>
      </c>
      <c r="L512" s="11" t="s">
        <v>46</v>
      </c>
      <c r="M512" s="26"/>
    </row>
    <row r="513" spans="1:13" x14ac:dyDescent="0.25">
      <c r="A513" s="6">
        <v>1.04443127239344E+17</v>
      </c>
      <c r="B513" s="30" t="s">
        <v>109</v>
      </c>
      <c r="C513" s="32" t="str">
        <f t="shared" si="14"/>
        <v>Dec</v>
      </c>
      <c r="D513" s="11" t="s">
        <v>9</v>
      </c>
      <c r="E513" s="13">
        <v>829301</v>
      </c>
      <c r="F513" s="13">
        <v>7117</v>
      </c>
      <c r="G513" s="13">
        <v>3</v>
      </c>
      <c r="H513" s="13">
        <v>162.135922330097</v>
      </c>
      <c r="I513" s="13">
        <v>4.9805825242718402</v>
      </c>
      <c r="J513" s="13">
        <f t="shared" si="15"/>
        <v>167.11650485436886</v>
      </c>
      <c r="K513" s="13">
        <v>53.398058252427198</v>
      </c>
      <c r="L513" s="11" t="s">
        <v>37</v>
      </c>
      <c r="M513" s="26"/>
    </row>
    <row r="514" spans="1:13" x14ac:dyDescent="0.25">
      <c r="A514" s="6">
        <v>9.76406501213444E+16</v>
      </c>
      <c r="B514" s="30" t="s">
        <v>111</v>
      </c>
      <c r="C514" s="32" t="str">
        <f t="shared" si="14"/>
        <v>Dec</v>
      </c>
      <c r="D514" s="11" t="s">
        <v>16</v>
      </c>
      <c r="E514" s="13">
        <v>534437</v>
      </c>
      <c r="F514" s="13">
        <v>7117</v>
      </c>
      <c r="G514" s="13">
        <v>3</v>
      </c>
      <c r="H514" s="13">
        <v>170.873786407767</v>
      </c>
      <c r="I514" s="13">
        <v>5.1262135922330101</v>
      </c>
      <c r="J514" s="13">
        <f t="shared" si="15"/>
        <v>176</v>
      </c>
      <c r="K514" s="13">
        <v>59.223300970873801</v>
      </c>
      <c r="L514" s="11" t="s">
        <v>39</v>
      </c>
      <c r="M514" s="26"/>
    </row>
    <row r="515" spans="1:13" x14ac:dyDescent="0.25">
      <c r="A515" s="6">
        <v>9.5831088665917792E+16</v>
      </c>
      <c r="B515" s="30" t="s">
        <v>119</v>
      </c>
      <c r="C515" s="32" t="str">
        <f t="shared" ref="C515:C578" si="16">TEXT(B515, "mmm")</f>
        <v>Dec</v>
      </c>
      <c r="D515" s="11" t="s">
        <v>16</v>
      </c>
      <c r="E515" s="13">
        <v>811315</v>
      </c>
      <c r="F515" s="13">
        <v>7117</v>
      </c>
      <c r="G515" s="13">
        <v>3</v>
      </c>
      <c r="H515" s="13">
        <v>166.990291262135</v>
      </c>
      <c r="I515" s="13">
        <v>5.0097087378640799</v>
      </c>
      <c r="J515" s="13">
        <f t="shared" ref="J515:J578" si="17">H515+I515</f>
        <v>171.99999999999909</v>
      </c>
      <c r="K515" s="13">
        <v>58.252427184466001</v>
      </c>
      <c r="L515" s="11" t="s">
        <v>22</v>
      </c>
      <c r="M515" s="26"/>
    </row>
    <row r="516" spans="1:13" x14ac:dyDescent="0.25">
      <c r="A516" s="6">
        <v>1.0496767449831501E+17</v>
      </c>
      <c r="B516" s="30" t="s">
        <v>105</v>
      </c>
      <c r="C516" s="32" t="str">
        <f t="shared" si="16"/>
        <v>Dec</v>
      </c>
      <c r="D516" s="11" t="s">
        <v>9</v>
      </c>
      <c r="E516" s="13">
        <v>281501</v>
      </c>
      <c r="F516" s="13">
        <v>7117</v>
      </c>
      <c r="G516" s="13">
        <v>3</v>
      </c>
      <c r="H516" s="13">
        <v>157.28155339805801</v>
      </c>
      <c r="I516" s="13">
        <v>4.9805825242718402</v>
      </c>
      <c r="J516" s="13">
        <f t="shared" si="17"/>
        <v>162.26213592232986</v>
      </c>
      <c r="K516" s="13">
        <v>48.543689320388303</v>
      </c>
      <c r="L516" s="11" t="s">
        <v>10</v>
      </c>
      <c r="M516" s="26"/>
    </row>
    <row r="517" spans="1:13" x14ac:dyDescent="0.25">
      <c r="A517" s="6">
        <v>1.1543917314142499E+17</v>
      </c>
      <c r="B517" s="30" t="s">
        <v>136</v>
      </c>
      <c r="C517" s="32" t="str">
        <f t="shared" si="16"/>
        <v>Jan</v>
      </c>
      <c r="D517" s="11" t="s">
        <v>9</v>
      </c>
      <c r="E517" s="13">
        <v>814152</v>
      </c>
      <c r="F517" s="13">
        <v>7117</v>
      </c>
      <c r="G517" s="13">
        <v>3</v>
      </c>
      <c r="H517" s="13">
        <v>154.368932038834</v>
      </c>
      <c r="I517" s="13">
        <v>4.6310679611650496</v>
      </c>
      <c r="J517" s="13">
        <f t="shared" si="17"/>
        <v>158.99999999999906</v>
      </c>
      <c r="K517" s="13">
        <v>56.3106796116505</v>
      </c>
      <c r="L517" s="11" t="s">
        <v>37</v>
      </c>
      <c r="M517" s="26"/>
    </row>
    <row r="518" spans="1:13" x14ac:dyDescent="0.25">
      <c r="A518" s="6">
        <v>1.14314028800622E+17</v>
      </c>
      <c r="B518" s="30" t="s">
        <v>138</v>
      </c>
      <c r="C518" s="32" t="str">
        <f t="shared" si="16"/>
        <v>Jan</v>
      </c>
      <c r="D518" s="11" t="s">
        <v>9</v>
      </c>
      <c r="E518" s="13">
        <v>531024</v>
      </c>
      <c r="F518" s="13">
        <v>7117</v>
      </c>
      <c r="G518" s="13">
        <v>3</v>
      </c>
      <c r="H518" s="13">
        <v>158.252427184466</v>
      </c>
      <c r="I518" s="13">
        <v>5.1844660194174796</v>
      </c>
      <c r="J518" s="13">
        <f t="shared" si="17"/>
        <v>163.43689320388347</v>
      </c>
      <c r="K518" s="13">
        <v>41.747572815533999</v>
      </c>
      <c r="L518" s="11" t="s">
        <v>39</v>
      </c>
      <c r="M518" s="26"/>
    </row>
    <row r="519" spans="1:13" x14ac:dyDescent="0.25">
      <c r="A519" s="6">
        <v>1.0748736035857699E+17</v>
      </c>
      <c r="B519" s="30" t="s">
        <v>140</v>
      </c>
      <c r="C519" s="32" t="str">
        <f t="shared" si="16"/>
        <v>Jan</v>
      </c>
      <c r="D519" s="11" t="s">
        <v>16</v>
      </c>
      <c r="E519" s="13">
        <v>431501</v>
      </c>
      <c r="F519" s="13">
        <v>7117</v>
      </c>
      <c r="G519" s="13">
        <v>3</v>
      </c>
      <c r="H519" s="13">
        <v>144.66019417475701</v>
      </c>
      <c r="I519" s="13">
        <v>4.8349514563106801</v>
      </c>
      <c r="J519" s="13">
        <f t="shared" si="17"/>
        <v>149.49514563106769</v>
      </c>
      <c r="K519" s="13">
        <v>40.776699029126199</v>
      </c>
      <c r="L519" s="11" t="s">
        <v>41</v>
      </c>
      <c r="M519" s="26"/>
    </row>
    <row r="520" spans="1:13" x14ac:dyDescent="0.25">
      <c r="A520" s="6">
        <v>1.0752307162087E+17</v>
      </c>
      <c r="B520" s="30" t="s">
        <v>140</v>
      </c>
      <c r="C520" s="32" t="str">
        <f t="shared" si="16"/>
        <v>Jan</v>
      </c>
      <c r="D520" s="11" t="s">
        <v>16</v>
      </c>
      <c r="E520" s="13">
        <v>140402</v>
      </c>
      <c r="F520" s="13">
        <v>7117</v>
      </c>
      <c r="G520" s="13">
        <v>3</v>
      </c>
      <c r="H520" s="13">
        <v>155.339805825242</v>
      </c>
      <c r="I520" s="13">
        <v>4.86407766990291</v>
      </c>
      <c r="J520" s="13">
        <f t="shared" si="17"/>
        <v>160.20388349514491</v>
      </c>
      <c r="K520" s="13">
        <v>51.456310679611697</v>
      </c>
      <c r="L520" s="11" t="s">
        <v>17</v>
      </c>
      <c r="M520" s="26"/>
    </row>
    <row r="521" spans="1:13" x14ac:dyDescent="0.25">
      <c r="A521" s="6">
        <v>1.09984456333656E+17</v>
      </c>
      <c r="B521" s="30" t="s">
        <v>142</v>
      </c>
      <c r="C521" s="32" t="str">
        <f t="shared" si="16"/>
        <v>Jan</v>
      </c>
      <c r="D521" s="11" t="s">
        <v>16</v>
      </c>
      <c r="E521" s="13">
        <v>501218</v>
      </c>
      <c r="F521" s="13">
        <v>7117</v>
      </c>
      <c r="G521" s="13">
        <v>3</v>
      </c>
      <c r="H521" s="13">
        <v>195.14563106796101</v>
      </c>
      <c r="I521" s="13">
        <v>6.4077669902912602</v>
      </c>
      <c r="J521" s="13">
        <f t="shared" si="17"/>
        <v>201.55339805825227</v>
      </c>
      <c r="K521" s="13">
        <v>39.805825242718498</v>
      </c>
      <c r="L521" s="11" t="s">
        <v>53</v>
      </c>
      <c r="M521" s="26"/>
    </row>
    <row r="522" spans="1:13" x14ac:dyDescent="0.25">
      <c r="A522" s="6">
        <v>1.16915542253792E+17</v>
      </c>
      <c r="B522" s="30" t="s">
        <v>144</v>
      </c>
      <c r="C522" s="32" t="str">
        <f t="shared" si="16"/>
        <v>Jan</v>
      </c>
      <c r="D522" s="11" t="s">
        <v>25</v>
      </c>
      <c r="E522" s="13">
        <v>273006</v>
      </c>
      <c r="F522" s="13">
        <v>7117</v>
      </c>
      <c r="G522" s="13">
        <v>3</v>
      </c>
      <c r="H522" s="13">
        <v>164.07766990291199</v>
      </c>
      <c r="I522" s="13">
        <v>5.1844660194174796</v>
      </c>
      <c r="J522" s="13">
        <f t="shared" si="17"/>
        <v>169.26213592232946</v>
      </c>
      <c r="K522" s="13">
        <v>47.572815533980602</v>
      </c>
      <c r="L522" s="11" t="s">
        <v>10</v>
      </c>
      <c r="M522" s="26"/>
    </row>
    <row r="523" spans="1:13" x14ac:dyDescent="0.25">
      <c r="A523" s="6">
        <v>1.15162386252762E+17</v>
      </c>
      <c r="B523" s="30" t="s">
        <v>136</v>
      </c>
      <c r="C523" s="32" t="str">
        <f t="shared" si="16"/>
        <v>Jan</v>
      </c>
      <c r="D523" s="11" t="s">
        <v>16</v>
      </c>
      <c r="E523" s="13">
        <v>440034</v>
      </c>
      <c r="F523" s="13">
        <v>7117</v>
      </c>
      <c r="G523" s="13">
        <v>3</v>
      </c>
      <c r="H523" s="13">
        <v>160.19417475728099</v>
      </c>
      <c r="I523" s="13">
        <v>4.8058252427184502</v>
      </c>
      <c r="J523" s="13">
        <f t="shared" si="17"/>
        <v>164.99999999999943</v>
      </c>
      <c r="K523" s="13">
        <v>57.2815533980583</v>
      </c>
      <c r="L523" s="11" t="s">
        <v>41</v>
      </c>
      <c r="M523" s="26"/>
    </row>
    <row r="524" spans="1:13" x14ac:dyDescent="0.25">
      <c r="A524" s="6">
        <v>1.07514981855294E+17</v>
      </c>
      <c r="B524" s="30" t="s">
        <v>140</v>
      </c>
      <c r="C524" s="32" t="str">
        <f t="shared" si="16"/>
        <v>Jan</v>
      </c>
      <c r="D524" s="11" t="s">
        <v>16</v>
      </c>
      <c r="E524" s="13">
        <v>276205</v>
      </c>
      <c r="F524" s="13">
        <v>7117</v>
      </c>
      <c r="G524" s="13">
        <v>3</v>
      </c>
      <c r="H524" s="13">
        <v>149.514563106796</v>
      </c>
      <c r="I524" s="13">
        <v>4.7475728155339798</v>
      </c>
      <c r="J524" s="13">
        <f t="shared" si="17"/>
        <v>154.26213592232997</v>
      </c>
      <c r="K524" s="13">
        <v>50.485436893203897</v>
      </c>
      <c r="L524" s="11" t="s">
        <v>10</v>
      </c>
      <c r="M524" s="26"/>
    </row>
    <row r="525" spans="1:13" x14ac:dyDescent="0.25">
      <c r="A525" s="6">
        <v>1.11508411858056E+17</v>
      </c>
      <c r="B525" s="30" t="s">
        <v>145</v>
      </c>
      <c r="C525" s="32" t="str">
        <f t="shared" si="16"/>
        <v>Jan</v>
      </c>
      <c r="D525" s="11" t="s">
        <v>16</v>
      </c>
      <c r="E525" s="13">
        <v>303712</v>
      </c>
      <c r="F525" s="13">
        <v>7117</v>
      </c>
      <c r="G525" s="13">
        <v>3</v>
      </c>
      <c r="H525" s="13">
        <v>146.601941747572</v>
      </c>
      <c r="I525" s="13">
        <v>5.0679611650485397</v>
      </c>
      <c r="J525" s="13">
        <f t="shared" si="17"/>
        <v>151.66990291262053</v>
      </c>
      <c r="K525" s="13">
        <v>35.922330097087404</v>
      </c>
      <c r="L525" s="11" t="s">
        <v>46</v>
      </c>
      <c r="M525" s="26"/>
    </row>
    <row r="526" spans="1:13" x14ac:dyDescent="0.25">
      <c r="A526" s="6">
        <v>1.1393708558220899E+17</v>
      </c>
      <c r="B526" s="30" t="s">
        <v>147</v>
      </c>
      <c r="C526" s="32" t="str">
        <f t="shared" si="16"/>
        <v>Jan</v>
      </c>
      <c r="D526" s="11" t="s">
        <v>16</v>
      </c>
      <c r="E526" s="13">
        <v>493118</v>
      </c>
      <c r="F526" s="13">
        <v>7117</v>
      </c>
      <c r="G526" s="13">
        <v>3</v>
      </c>
      <c r="H526" s="13">
        <v>132.03883495145601</v>
      </c>
      <c r="I526" s="13">
        <v>4.42718446601942</v>
      </c>
      <c r="J526" s="13">
        <f t="shared" si="17"/>
        <v>136.46601941747542</v>
      </c>
      <c r="K526" s="13">
        <v>41.747572815533999</v>
      </c>
      <c r="L526" s="11" t="s">
        <v>23</v>
      </c>
      <c r="M526" s="26"/>
    </row>
    <row r="527" spans="1:13" x14ac:dyDescent="0.25">
      <c r="A527" s="6">
        <v>1.10709191873814E+17</v>
      </c>
      <c r="B527" s="30" t="s">
        <v>143</v>
      </c>
      <c r="C527" s="32" t="str">
        <f t="shared" si="16"/>
        <v>Jan</v>
      </c>
      <c r="D527" s="11" t="s">
        <v>21</v>
      </c>
      <c r="E527" s="13">
        <v>145025</v>
      </c>
      <c r="F527" s="13">
        <v>7117</v>
      </c>
      <c r="G527" s="13">
        <v>3</v>
      </c>
      <c r="H527" s="13">
        <v>138.83495145630999</v>
      </c>
      <c r="I527" s="13">
        <v>4.42718446601942</v>
      </c>
      <c r="J527" s="13">
        <f t="shared" si="17"/>
        <v>143.26213592232941</v>
      </c>
      <c r="K527" s="13">
        <v>50.485436893203897</v>
      </c>
      <c r="L527" s="11" t="s">
        <v>17</v>
      </c>
      <c r="M527" s="26"/>
    </row>
    <row r="528" spans="1:13" x14ac:dyDescent="0.25">
      <c r="A528" s="6">
        <v>1.14122471732494E+17</v>
      </c>
      <c r="B528" s="30" t="s">
        <v>138</v>
      </c>
      <c r="C528" s="32" t="str">
        <f t="shared" si="16"/>
        <v>Jan</v>
      </c>
      <c r="D528" s="11" t="s">
        <v>25</v>
      </c>
      <c r="E528" s="13">
        <v>121003</v>
      </c>
      <c r="F528" s="13">
        <v>7117</v>
      </c>
      <c r="G528" s="13">
        <v>3</v>
      </c>
      <c r="H528" s="13">
        <v>185.43689320388299</v>
      </c>
      <c r="I528" s="13">
        <v>5.8252427184466002</v>
      </c>
      <c r="J528" s="13">
        <f t="shared" si="17"/>
        <v>191.26213592232958</v>
      </c>
      <c r="K528" s="13">
        <v>50.485436893203897</v>
      </c>
      <c r="L528" s="11" t="s">
        <v>63</v>
      </c>
      <c r="M528" s="26"/>
    </row>
    <row r="529" spans="1:13" x14ac:dyDescent="0.25">
      <c r="A529" s="6">
        <v>1.1501222060546301E+17</v>
      </c>
      <c r="B529" s="30" t="s">
        <v>148</v>
      </c>
      <c r="C529" s="32" t="str">
        <f t="shared" si="16"/>
        <v>Jan</v>
      </c>
      <c r="D529" s="11" t="s">
        <v>16</v>
      </c>
      <c r="E529" s="13">
        <v>207242</v>
      </c>
      <c r="F529" s="13">
        <v>7117</v>
      </c>
      <c r="G529" s="13">
        <v>3</v>
      </c>
      <c r="H529" s="13">
        <v>151.45631067961099</v>
      </c>
      <c r="I529" s="13">
        <v>4.8058252427184502</v>
      </c>
      <c r="J529" s="13">
        <f t="shared" si="17"/>
        <v>156.26213592232943</v>
      </c>
      <c r="K529" s="13">
        <v>48.543689320388303</v>
      </c>
      <c r="L529" s="11" t="s">
        <v>10</v>
      </c>
      <c r="M529" s="26"/>
    </row>
    <row r="530" spans="1:13" x14ac:dyDescent="0.25">
      <c r="A530" s="6">
        <v>1.0845857813813299E+17</v>
      </c>
      <c r="B530" s="30" t="s">
        <v>149</v>
      </c>
      <c r="C530" s="32" t="str">
        <f t="shared" si="16"/>
        <v>Jan</v>
      </c>
      <c r="D530" s="11" t="s">
        <v>16</v>
      </c>
      <c r="E530" s="13">
        <v>788001</v>
      </c>
      <c r="F530" s="13">
        <v>7117</v>
      </c>
      <c r="G530" s="13">
        <v>3</v>
      </c>
      <c r="H530" s="13">
        <v>178.640776699029</v>
      </c>
      <c r="I530" s="13">
        <v>5.3592233009708696</v>
      </c>
      <c r="J530" s="13">
        <f t="shared" si="17"/>
        <v>183.99999999999989</v>
      </c>
      <c r="K530" s="13">
        <v>75.728155339805795</v>
      </c>
      <c r="L530" s="11" t="s">
        <v>35</v>
      </c>
      <c r="M530" s="26"/>
    </row>
    <row r="531" spans="1:13" x14ac:dyDescent="0.25">
      <c r="A531" s="6">
        <v>1.07131351777702E+17</v>
      </c>
      <c r="B531" s="30" t="s">
        <v>150</v>
      </c>
      <c r="C531" s="32" t="str">
        <f t="shared" si="16"/>
        <v>Jan</v>
      </c>
      <c r="D531" s="11" t="s">
        <v>16</v>
      </c>
      <c r="E531" s="13">
        <v>501501</v>
      </c>
      <c r="F531" s="13">
        <v>7117</v>
      </c>
      <c r="G531" s="13">
        <v>3</v>
      </c>
      <c r="H531" s="13">
        <v>143.68932038834899</v>
      </c>
      <c r="I531" s="13">
        <v>4.3106796116504897</v>
      </c>
      <c r="J531" s="13">
        <f t="shared" si="17"/>
        <v>147.99999999999949</v>
      </c>
      <c r="K531" s="13">
        <v>56.3106796116505</v>
      </c>
      <c r="L531" s="11" t="s">
        <v>53</v>
      </c>
      <c r="M531" s="26"/>
    </row>
    <row r="532" spans="1:13" x14ac:dyDescent="0.25">
      <c r="A532" s="6">
        <v>1.0734498498785699E+17</v>
      </c>
      <c r="B532" s="30" t="s">
        <v>140</v>
      </c>
      <c r="C532" s="32" t="str">
        <f t="shared" si="16"/>
        <v>Jan</v>
      </c>
      <c r="D532" s="11" t="s">
        <v>25</v>
      </c>
      <c r="E532" s="13">
        <v>847240</v>
      </c>
      <c r="F532" s="13">
        <v>7117</v>
      </c>
      <c r="G532" s="13">
        <v>3</v>
      </c>
      <c r="H532" s="13">
        <v>162.135922330097</v>
      </c>
      <c r="I532" s="13">
        <v>4.86407766990291</v>
      </c>
      <c r="J532" s="13">
        <f t="shared" si="17"/>
        <v>166.99999999999991</v>
      </c>
      <c r="K532" s="13">
        <v>58.252427184466001</v>
      </c>
      <c r="L532" s="11" t="s">
        <v>22</v>
      </c>
      <c r="M532" s="26"/>
    </row>
    <row r="533" spans="1:13" x14ac:dyDescent="0.25">
      <c r="A533" s="6">
        <v>1.07392160709632E+17</v>
      </c>
      <c r="B533" s="30" t="s">
        <v>140</v>
      </c>
      <c r="C533" s="32" t="str">
        <f t="shared" si="16"/>
        <v>Jan</v>
      </c>
      <c r="D533" s="11" t="s">
        <v>16</v>
      </c>
      <c r="E533" s="13">
        <v>844115</v>
      </c>
      <c r="F533" s="13">
        <v>7117</v>
      </c>
      <c r="G533" s="13">
        <v>3</v>
      </c>
      <c r="H533" s="13">
        <v>126.213592233009</v>
      </c>
      <c r="I533" s="13">
        <v>4.3689320388349504</v>
      </c>
      <c r="J533" s="13">
        <f t="shared" si="17"/>
        <v>130.58252427184394</v>
      </c>
      <c r="K533" s="13">
        <v>38.834951456310698</v>
      </c>
      <c r="L533" s="11" t="s">
        <v>22</v>
      </c>
      <c r="M533" s="26"/>
    </row>
    <row r="534" spans="1:13" x14ac:dyDescent="0.25">
      <c r="A534" s="6">
        <v>1.0737530896518E+17</v>
      </c>
      <c r="B534" s="30" t="s">
        <v>140</v>
      </c>
      <c r="C534" s="32" t="str">
        <f t="shared" si="16"/>
        <v>Jan</v>
      </c>
      <c r="D534" s="11" t="s">
        <v>16</v>
      </c>
      <c r="E534" s="13">
        <v>276123</v>
      </c>
      <c r="F534" s="13">
        <v>7117</v>
      </c>
      <c r="G534" s="13">
        <v>3</v>
      </c>
      <c r="H534" s="13">
        <v>129.126213592233</v>
      </c>
      <c r="I534" s="13">
        <v>4.13592233009709</v>
      </c>
      <c r="J534" s="13">
        <f t="shared" si="17"/>
        <v>133.26213592233009</v>
      </c>
      <c r="K534" s="13">
        <v>50.485436893203897</v>
      </c>
      <c r="L534" s="11" t="s">
        <v>10</v>
      </c>
      <c r="M534" s="26"/>
    </row>
    <row r="535" spans="1:13" x14ac:dyDescent="0.25">
      <c r="A535" s="6">
        <v>1.07037906291684E+17</v>
      </c>
      <c r="B535" s="30" t="s">
        <v>150</v>
      </c>
      <c r="C535" s="32" t="str">
        <f t="shared" si="16"/>
        <v>Jan</v>
      </c>
      <c r="D535" s="11" t="s">
        <v>25</v>
      </c>
      <c r="E535" s="13">
        <v>761105</v>
      </c>
      <c r="F535" s="13">
        <v>7117</v>
      </c>
      <c r="G535" s="13">
        <v>3</v>
      </c>
      <c r="H535" s="13">
        <v>160.19417475728099</v>
      </c>
      <c r="I535" s="13">
        <v>4.8058252427184502</v>
      </c>
      <c r="J535" s="13">
        <f t="shared" si="17"/>
        <v>164.99999999999943</v>
      </c>
      <c r="K535" s="13">
        <v>56.3106796116505</v>
      </c>
      <c r="L535" s="11" t="s">
        <v>54</v>
      </c>
      <c r="M535" s="26"/>
    </row>
    <row r="536" spans="1:13" x14ac:dyDescent="0.25">
      <c r="A536" s="6">
        <v>1.1629383856976301E+17</v>
      </c>
      <c r="B536" s="30" t="s">
        <v>152</v>
      </c>
      <c r="C536" s="32" t="str">
        <f t="shared" si="16"/>
        <v>Jan</v>
      </c>
      <c r="D536" s="11" t="s">
        <v>9</v>
      </c>
      <c r="E536" s="13">
        <v>400053</v>
      </c>
      <c r="F536" s="13">
        <v>7117</v>
      </c>
      <c r="G536" s="13">
        <v>3</v>
      </c>
      <c r="H536" s="13">
        <v>154.368932038834</v>
      </c>
      <c r="I536" s="13">
        <v>4.6310679611650496</v>
      </c>
      <c r="J536" s="13">
        <f t="shared" si="17"/>
        <v>158.99999999999906</v>
      </c>
      <c r="K536" s="13">
        <v>56.3106796116505</v>
      </c>
      <c r="L536" s="11" t="s">
        <v>41</v>
      </c>
      <c r="M536" s="26"/>
    </row>
    <row r="537" spans="1:13" x14ac:dyDescent="0.25">
      <c r="A537" s="6">
        <v>1.0783786739252899E+17</v>
      </c>
      <c r="B537" s="30" t="s">
        <v>141</v>
      </c>
      <c r="C537" s="32" t="str">
        <f t="shared" si="16"/>
        <v>Jan</v>
      </c>
      <c r="D537" s="11" t="s">
        <v>21</v>
      </c>
      <c r="E537" s="13">
        <v>845451</v>
      </c>
      <c r="F537" s="13">
        <v>7117</v>
      </c>
      <c r="G537" s="13">
        <v>3</v>
      </c>
      <c r="H537" s="13">
        <v>185.43689320388299</v>
      </c>
      <c r="I537" s="13">
        <v>5.2135922330097104</v>
      </c>
      <c r="J537" s="13">
        <f t="shared" si="17"/>
        <v>190.65048543689269</v>
      </c>
      <c r="K537" s="13">
        <v>68.932038834951499</v>
      </c>
      <c r="L537" s="11" t="s">
        <v>22</v>
      </c>
      <c r="M537" s="26"/>
    </row>
    <row r="538" spans="1:13" x14ac:dyDescent="0.25">
      <c r="A538" s="6">
        <v>1.0706157473237901E+17</v>
      </c>
      <c r="B538" s="30" t="s">
        <v>150</v>
      </c>
      <c r="C538" s="32" t="str">
        <f t="shared" si="16"/>
        <v>Jan</v>
      </c>
      <c r="D538" s="11" t="s">
        <v>16</v>
      </c>
      <c r="E538" s="13">
        <v>332719</v>
      </c>
      <c r="F538" s="13">
        <v>7117</v>
      </c>
      <c r="G538" s="13">
        <v>3</v>
      </c>
      <c r="H538" s="13">
        <v>153.39805825242701</v>
      </c>
      <c r="I538" s="13">
        <v>4.8058252427184502</v>
      </c>
      <c r="J538" s="13">
        <f t="shared" si="17"/>
        <v>158.20388349514545</v>
      </c>
      <c r="K538" s="13">
        <v>49.514563106796103</v>
      </c>
      <c r="L538" s="11" t="s">
        <v>46</v>
      </c>
      <c r="M538" s="26"/>
    </row>
    <row r="539" spans="1:13" x14ac:dyDescent="0.25">
      <c r="A539" s="6">
        <v>1.1388005709453299E+17</v>
      </c>
      <c r="B539" s="30" t="s">
        <v>147</v>
      </c>
      <c r="C539" s="32" t="str">
        <f t="shared" si="16"/>
        <v>Jan</v>
      </c>
      <c r="D539" s="11" t="s">
        <v>21</v>
      </c>
      <c r="E539" s="13">
        <v>281501</v>
      </c>
      <c r="F539" s="13">
        <v>7117</v>
      </c>
      <c r="G539" s="13">
        <v>3</v>
      </c>
      <c r="H539" s="13">
        <v>161.16504854368901</v>
      </c>
      <c r="I539" s="13">
        <v>5.0970873786407802</v>
      </c>
      <c r="J539" s="13">
        <f t="shared" si="17"/>
        <v>166.2621359223298</v>
      </c>
      <c r="K539" s="13">
        <v>50.485436893203897</v>
      </c>
      <c r="L539" s="11" t="s">
        <v>10</v>
      </c>
      <c r="M539" s="26"/>
    </row>
    <row r="540" spans="1:13" x14ac:dyDescent="0.25">
      <c r="A540" s="6">
        <v>1.0748493917251101E+17</v>
      </c>
      <c r="B540" s="30" t="s">
        <v>140</v>
      </c>
      <c r="C540" s="32" t="str">
        <f t="shared" si="16"/>
        <v>Jan</v>
      </c>
      <c r="D540" s="11" t="s">
        <v>9</v>
      </c>
      <c r="E540" s="13">
        <v>263126</v>
      </c>
      <c r="F540" s="13">
        <v>7117</v>
      </c>
      <c r="G540" s="13">
        <v>3</v>
      </c>
      <c r="H540" s="13">
        <v>150.485436893203</v>
      </c>
      <c r="I540" s="13">
        <v>4.7766990291262097</v>
      </c>
      <c r="J540" s="13">
        <f t="shared" si="17"/>
        <v>155.26213592232921</v>
      </c>
      <c r="K540" s="13">
        <v>50.485436893203897</v>
      </c>
      <c r="L540" s="11" t="s">
        <v>49</v>
      </c>
      <c r="M540" s="26"/>
    </row>
    <row r="541" spans="1:13" x14ac:dyDescent="0.25">
      <c r="A541" s="6">
        <v>1.1388737436650301E+17</v>
      </c>
      <c r="B541" s="30" t="s">
        <v>147</v>
      </c>
      <c r="C541" s="32" t="str">
        <f t="shared" si="16"/>
        <v>Jan</v>
      </c>
      <c r="D541" s="11" t="s">
        <v>16</v>
      </c>
      <c r="E541" s="13">
        <v>312601</v>
      </c>
      <c r="F541" s="13">
        <v>7117</v>
      </c>
      <c r="G541" s="13">
        <v>3</v>
      </c>
      <c r="H541" s="13">
        <v>147.57281553397999</v>
      </c>
      <c r="I541" s="13">
        <v>4.6310679611650496</v>
      </c>
      <c r="J541" s="13">
        <f t="shared" si="17"/>
        <v>152.20388349514505</v>
      </c>
      <c r="K541" s="13">
        <v>49.514563106796103</v>
      </c>
      <c r="L541" s="11" t="s">
        <v>46</v>
      </c>
      <c r="M541" s="26"/>
    </row>
    <row r="542" spans="1:13" x14ac:dyDescent="0.25">
      <c r="A542" s="6">
        <v>1.07288007429742E+17</v>
      </c>
      <c r="B542" s="30" t="s">
        <v>140</v>
      </c>
      <c r="C542" s="32" t="str">
        <f t="shared" si="16"/>
        <v>Jan</v>
      </c>
      <c r="D542" s="11" t="s">
        <v>16</v>
      </c>
      <c r="E542" s="13">
        <v>110053</v>
      </c>
      <c r="F542" s="13">
        <v>7117</v>
      </c>
      <c r="G542" s="13">
        <v>3</v>
      </c>
      <c r="H542" s="13">
        <v>205.82524271844599</v>
      </c>
      <c r="I542" s="13">
        <v>6.4368932038834998</v>
      </c>
      <c r="J542" s="13">
        <f t="shared" si="17"/>
        <v>212.26213592232949</v>
      </c>
      <c r="K542" s="13">
        <v>50.485436893203897</v>
      </c>
      <c r="L542" s="11" t="s">
        <v>28</v>
      </c>
      <c r="M542" s="26"/>
    </row>
    <row r="543" spans="1:13" x14ac:dyDescent="0.25">
      <c r="A543" s="6">
        <v>1.1239990536414499E+17</v>
      </c>
      <c r="B543" s="30" t="s">
        <v>154</v>
      </c>
      <c r="C543" s="32" t="str">
        <f t="shared" si="16"/>
        <v>Jan</v>
      </c>
      <c r="D543" s="11" t="s">
        <v>25</v>
      </c>
      <c r="E543" s="13">
        <v>277123</v>
      </c>
      <c r="F543" s="13">
        <v>7117</v>
      </c>
      <c r="G543" s="13">
        <v>3</v>
      </c>
      <c r="H543" s="13">
        <v>138.83495145630999</v>
      </c>
      <c r="I543" s="13">
        <v>4.42718446601942</v>
      </c>
      <c r="J543" s="13">
        <f t="shared" si="17"/>
        <v>143.26213592232941</v>
      </c>
      <c r="K543" s="13">
        <v>50.485436893203897</v>
      </c>
      <c r="L543" s="11" t="s">
        <v>10</v>
      </c>
      <c r="M543" s="26"/>
    </row>
    <row r="544" spans="1:13" x14ac:dyDescent="0.25">
      <c r="A544" s="6">
        <v>1.1081037193025901E+17</v>
      </c>
      <c r="B544" s="30" t="s">
        <v>155</v>
      </c>
      <c r="C544" s="32" t="str">
        <f t="shared" si="16"/>
        <v>Jan</v>
      </c>
      <c r="D544" s="11" t="s">
        <v>16</v>
      </c>
      <c r="E544" s="13">
        <v>700119</v>
      </c>
      <c r="F544" s="13">
        <v>7117</v>
      </c>
      <c r="G544" s="13">
        <v>3</v>
      </c>
      <c r="H544" s="13">
        <v>166.01941747572801</v>
      </c>
      <c r="I544" s="13">
        <v>4.9805825242718402</v>
      </c>
      <c r="J544" s="13">
        <f t="shared" si="17"/>
        <v>170.99999999999986</v>
      </c>
      <c r="K544" s="13">
        <v>57.2815533980583</v>
      </c>
      <c r="L544" s="11" t="s">
        <v>14</v>
      </c>
      <c r="M544" s="26"/>
    </row>
    <row r="545" spans="1:13" x14ac:dyDescent="0.25">
      <c r="A545" s="6">
        <v>1.0626756048771101E+17</v>
      </c>
      <c r="B545" s="30" t="s">
        <v>156</v>
      </c>
      <c r="C545" s="32" t="str">
        <f t="shared" si="16"/>
        <v>Jan</v>
      </c>
      <c r="D545" s="11" t="s">
        <v>16</v>
      </c>
      <c r="E545" s="13">
        <v>440017</v>
      </c>
      <c r="F545" s="13">
        <v>7117</v>
      </c>
      <c r="G545" s="13">
        <v>3</v>
      </c>
      <c r="H545" s="13">
        <v>194.17475728155301</v>
      </c>
      <c r="I545" s="13">
        <v>5.8252427184466002</v>
      </c>
      <c r="J545" s="13">
        <f t="shared" si="17"/>
        <v>199.9999999999996</v>
      </c>
      <c r="K545" s="13">
        <v>58.252427184466001</v>
      </c>
      <c r="L545" s="11" t="s">
        <v>41</v>
      </c>
      <c r="M545" s="26"/>
    </row>
    <row r="546" spans="1:13" x14ac:dyDescent="0.25">
      <c r="A546" s="6">
        <v>1.1165485083999901E+17</v>
      </c>
      <c r="B546" s="30" t="s">
        <v>146</v>
      </c>
      <c r="C546" s="32" t="str">
        <f t="shared" si="16"/>
        <v>Jan</v>
      </c>
      <c r="D546" s="11" t="s">
        <v>25</v>
      </c>
      <c r="E546" s="13">
        <v>232327</v>
      </c>
      <c r="F546" s="13">
        <v>7117</v>
      </c>
      <c r="G546" s="13">
        <v>3</v>
      </c>
      <c r="H546" s="13">
        <v>138.83495145630999</v>
      </c>
      <c r="I546" s="13">
        <v>4.42718446601942</v>
      </c>
      <c r="J546" s="13">
        <f t="shared" si="17"/>
        <v>143.26213592232941</v>
      </c>
      <c r="K546" s="13">
        <v>50.485436893203897</v>
      </c>
      <c r="L546" s="11" t="s">
        <v>10</v>
      </c>
      <c r="M546" s="26"/>
    </row>
    <row r="547" spans="1:13" x14ac:dyDescent="0.25">
      <c r="A547" s="6">
        <v>1.10633916500472E+17</v>
      </c>
      <c r="B547" s="30" t="s">
        <v>143</v>
      </c>
      <c r="C547" s="32" t="str">
        <f t="shared" si="16"/>
        <v>Jan</v>
      </c>
      <c r="D547" s="11" t="s">
        <v>25</v>
      </c>
      <c r="E547" s="13">
        <v>144001</v>
      </c>
      <c r="F547" s="13">
        <v>7117</v>
      </c>
      <c r="G547" s="13">
        <v>3</v>
      </c>
      <c r="H547" s="13">
        <v>161.16504854368901</v>
      </c>
      <c r="I547" s="13">
        <v>5.0970873786407802</v>
      </c>
      <c r="J547" s="13">
        <f t="shared" si="17"/>
        <v>166.2621359223298</v>
      </c>
      <c r="K547" s="13">
        <v>50.485436893203897</v>
      </c>
      <c r="L547" s="11" t="s">
        <v>17</v>
      </c>
      <c r="M547" s="26"/>
    </row>
    <row r="548" spans="1:13" x14ac:dyDescent="0.25">
      <c r="A548" s="6">
        <v>1.16385167966326E+17</v>
      </c>
      <c r="B548" s="30" t="s">
        <v>152</v>
      </c>
      <c r="C548" s="32" t="str">
        <f t="shared" si="16"/>
        <v>Jan</v>
      </c>
      <c r="D548" s="11" t="s">
        <v>9</v>
      </c>
      <c r="E548" s="13">
        <v>766100</v>
      </c>
      <c r="F548" s="13">
        <v>7117</v>
      </c>
      <c r="G548" s="13">
        <v>3</v>
      </c>
      <c r="H548" s="13">
        <v>136.893203883495</v>
      </c>
      <c r="I548" s="13">
        <v>4.6310679611650496</v>
      </c>
      <c r="J548" s="13">
        <f t="shared" si="17"/>
        <v>141.52427184466006</v>
      </c>
      <c r="K548" s="13">
        <v>38.834951456310698</v>
      </c>
      <c r="L548" s="11" t="s">
        <v>54</v>
      </c>
      <c r="M548" s="26"/>
    </row>
    <row r="549" spans="1:13" x14ac:dyDescent="0.25">
      <c r="A549" s="6">
        <v>1.05987743963832E+17</v>
      </c>
      <c r="B549" s="30" t="s">
        <v>128</v>
      </c>
      <c r="C549" s="32" t="str">
        <f t="shared" si="16"/>
        <v>Jan</v>
      </c>
      <c r="D549" s="11" t="s">
        <v>25</v>
      </c>
      <c r="E549" s="13">
        <v>276123</v>
      </c>
      <c r="F549" s="13">
        <v>7117</v>
      </c>
      <c r="G549" s="13">
        <v>3</v>
      </c>
      <c r="H549" s="13">
        <v>166.01941747572801</v>
      </c>
      <c r="I549" s="13">
        <v>5.2427184466019403</v>
      </c>
      <c r="J549" s="13">
        <f t="shared" si="17"/>
        <v>171.26213592232995</v>
      </c>
      <c r="K549" s="13">
        <v>49.514563106796103</v>
      </c>
      <c r="L549" s="11" t="s">
        <v>157</v>
      </c>
      <c r="M549" s="26"/>
    </row>
    <row r="550" spans="1:13" x14ac:dyDescent="0.25">
      <c r="A550" s="6">
        <v>1.0744001414053101E+17</v>
      </c>
      <c r="B550" s="30" t="s">
        <v>140</v>
      </c>
      <c r="C550" s="32" t="str">
        <f t="shared" si="16"/>
        <v>Jan</v>
      </c>
      <c r="D550" s="11" t="s">
        <v>25</v>
      </c>
      <c r="E550" s="13">
        <v>591234</v>
      </c>
      <c r="F550" s="13">
        <v>7117</v>
      </c>
      <c r="G550" s="13">
        <v>3</v>
      </c>
      <c r="H550" s="13">
        <v>145.631067961165</v>
      </c>
      <c r="I550" s="13">
        <v>4.3689320388349504</v>
      </c>
      <c r="J550" s="13">
        <f t="shared" si="17"/>
        <v>149.99999999999994</v>
      </c>
      <c r="K550" s="13">
        <v>59.223300970873801</v>
      </c>
      <c r="L550" s="11" t="s">
        <v>19</v>
      </c>
      <c r="M550" s="26"/>
    </row>
    <row r="551" spans="1:13" x14ac:dyDescent="0.25">
      <c r="A551" s="6">
        <v>1.12014880990852E+17</v>
      </c>
      <c r="B551" s="30" t="s">
        <v>158</v>
      </c>
      <c r="C551" s="32" t="str">
        <f t="shared" si="16"/>
        <v>Jan</v>
      </c>
      <c r="D551" s="11" t="s">
        <v>52</v>
      </c>
      <c r="E551" s="13">
        <v>844102</v>
      </c>
      <c r="F551" s="13">
        <v>7117</v>
      </c>
      <c r="G551" s="13">
        <v>3</v>
      </c>
      <c r="H551" s="13">
        <v>166.01941747572801</v>
      </c>
      <c r="I551" s="13">
        <v>5.0970873786407802</v>
      </c>
      <c r="J551" s="13">
        <f t="shared" si="17"/>
        <v>171.1165048543688</v>
      </c>
      <c r="K551" s="13">
        <v>55.339805825242699</v>
      </c>
      <c r="L551" s="11" t="s">
        <v>22</v>
      </c>
      <c r="M551" s="26"/>
    </row>
    <row r="552" spans="1:13" x14ac:dyDescent="0.25">
      <c r="A552" s="6">
        <v>1.1279201699551299E+17</v>
      </c>
      <c r="B552" s="30" t="s">
        <v>159</v>
      </c>
      <c r="C552" s="32" t="str">
        <f t="shared" si="16"/>
        <v>Jan</v>
      </c>
      <c r="D552" s="11" t="s">
        <v>25</v>
      </c>
      <c r="E552" s="13">
        <v>274702</v>
      </c>
      <c r="F552" s="13">
        <v>7117</v>
      </c>
      <c r="G552" s="13">
        <v>3</v>
      </c>
      <c r="H552" s="13">
        <v>157.28155339805801</v>
      </c>
      <c r="I552" s="13">
        <v>4.9805825242718402</v>
      </c>
      <c r="J552" s="13">
        <f t="shared" si="17"/>
        <v>162.26213592232986</v>
      </c>
      <c r="K552" s="13">
        <v>48.543689320388303</v>
      </c>
      <c r="L552" s="11" t="s">
        <v>10</v>
      </c>
      <c r="M552" s="26"/>
    </row>
    <row r="553" spans="1:13" x14ac:dyDescent="0.25">
      <c r="A553" s="6">
        <v>1.15482773317516E+17</v>
      </c>
      <c r="B553" s="30" t="s">
        <v>136</v>
      </c>
      <c r="C553" s="32" t="str">
        <f t="shared" si="16"/>
        <v>Jan</v>
      </c>
      <c r="D553" s="11" t="s">
        <v>25</v>
      </c>
      <c r="E553" s="13">
        <v>825408</v>
      </c>
      <c r="F553" s="13">
        <v>7117</v>
      </c>
      <c r="G553" s="13">
        <v>3</v>
      </c>
      <c r="H553" s="13">
        <v>169.90291262135901</v>
      </c>
      <c r="I553" s="13">
        <v>5.0970873786407802</v>
      </c>
      <c r="J553" s="13">
        <f t="shared" si="17"/>
        <v>174.9999999999998</v>
      </c>
      <c r="K553" s="13">
        <v>59.223300970873801</v>
      </c>
      <c r="L553" s="11" t="s">
        <v>37</v>
      </c>
      <c r="M553" s="26"/>
    </row>
    <row r="554" spans="1:13" x14ac:dyDescent="0.25">
      <c r="A554" s="6">
        <v>1.1459869515635E+17</v>
      </c>
      <c r="B554" s="30" t="s">
        <v>139</v>
      </c>
      <c r="C554" s="32" t="str">
        <f t="shared" si="16"/>
        <v>Jan</v>
      </c>
      <c r="D554" s="11" t="s">
        <v>9</v>
      </c>
      <c r="E554" s="13">
        <v>307024</v>
      </c>
      <c r="F554" s="13">
        <v>7117</v>
      </c>
      <c r="G554" s="13">
        <v>3</v>
      </c>
      <c r="H554" s="13">
        <v>168.93203883495099</v>
      </c>
      <c r="I554" s="13">
        <v>5.0679611650485397</v>
      </c>
      <c r="J554" s="13">
        <f t="shared" si="17"/>
        <v>173.99999999999952</v>
      </c>
      <c r="K554" s="13">
        <v>57.2815533980583</v>
      </c>
      <c r="L554" s="11" t="s">
        <v>46</v>
      </c>
      <c r="M554" s="26"/>
    </row>
    <row r="555" spans="1:13" x14ac:dyDescent="0.25">
      <c r="A555" s="6">
        <v>1.0896930881801101E+17</v>
      </c>
      <c r="B555" s="30" t="s">
        <v>160</v>
      </c>
      <c r="C555" s="32" t="str">
        <f t="shared" si="16"/>
        <v>Jan</v>
      </c>
      <c r="D555" s="11" t="s">
        <v>16</v>
      </c>
      <c r="E555" s="13">
        <v>532430</v>
      </c>
      <c r="F555" s="13">
        <v>7117</v>
      </c>
      <c r="G555" s="13">
        <v>3</v>
      </c>
      <c r="H555" s="13">
        <v>172.81553398058199</v>
      </c>
      <c r="I555" s="13">
        <v>5.1844660194174796</v>
      </c>
      <c r="J555" s="13">
        <f t="shared" si="17"/>
        <v>177.99999999999946</v>
      </c>
      <c r="K555" s="13">
        <v>56.3106796116505</v>
      </c>
      <c r="L555" s="11" t="s">
        <v>39</v>
      </c>
      <c r="M555" s="26"/>
    </row>
    <row r="556" spans="1:13" x14ac:dyDescent="0.25">
      <c r="A556" s="6">
        <v>1.14066611350094E+17</v>
      </c>
      <c r="B556" s="30" t="s">
        <v>147</v>
      </c>
      <c r="C556" s="32" t="str">
        <f t="shared" si="16"/>
        <v>Jan</v>
      </c>
      <c r="D556" s="11" t="s">
        <v>16</v>
      </c>
      <c r="E556" s="13">
        <v>208021</v>
      </c>
      <c r="F556" s="13">
        <v>7117</v>
      </c>
      <c r="G556" s="13">
        <v>3</v>
      </c>
      <c r="H556" s="13">
        <v>151.45631067961099</v>
      </c>
      <c r="I556" s="13">
        <v>5.2718446601941702</v>
      </c>
      <c r="J556" s="13">
        <f t="shared" si="17"/>
        <v>156.72815533980517</v>
      </c>
      <c r="K556" s="13">
        <v>34.951456310679603</v>
      </c>
      <c r="L556" s="11" t="s">
        <v>10</v>
      </c>
      <c r="M556" s="26"/>
    </row>
    <row r="557" spans="1:13" x14ac:dyDescent="0.25">
      <c r="A557" s="6">
        <v>1.10991866322678E+17</v>
      </c>
      <c r="B557" s="30" t="s">
        <v>155</v>
      </c>
      <c r="C557" s="32" t="str">
        <f t="shared" si="16"/>
        <v>Jan</v>
      </c>
      <c r="D557" s="11" t="s">
        <v>25</v>
      </c>
      <c r="E557" s="13">
        <v>803114</v>
      </c>
      <c r="F557" s="13">
        <v>7117</v>
      </c>
      <c r="G557" s="13">
        <v>3</v>
      </c>
      <c r="H557" s="13">
        <v>147.57281553397999</v>
      </c>
      <c r="I557" s="13">
        <v>4.42718446601942</v>
      </c>
      <c r="J557" s="13">
        <f t="shared" si="17"/>
        <v>151.9999999999994</v>
      </c>
      <c r="K557" s="13">
        <v>59.223300970873801</v>
      </c>
      <c r="L557" s="11" t="s">
        <v>22</v>
      </c>
      <c r="M557" s="26"/>
    </row>
    <row r="558" spans="1:13" x14ac:dyDescent="0.25">
      <c r="A558" s="6">
        <v>1.0717123942405699E+17</v>
      </c>
      <c r="B558" s="30" t="s">
        <v>150</v>
      </c>
      <c r="C558" s="32" t="str">
        <f t="shared" si="16"/>
        <v>Jan</v>
      </c>
      <c r="D558" s="11" t="s">
        <v>25</v>
      </c>
      <c r="E558" s="13">
        <v>825409</v>
      </c>
      <c r="F558" s="13">
        <v>7117</v>
      </c>
      <c r="G558" s="13">
        <v>3</v>
      </c>
      <c r="H558" s="13">
        <v>160.19417475728099</v>
      </c>
      <c r="I558" s="13">
        <v>4.8058252427184502</v>
      </c>
      <c r="J558" s="13">
        <f t="shared" si="17"/>
        <v>164.99999999999943</v>
      </c>
      <c r="K558" s="13">
        <v>56.3106796116505</v>
      </c>
      <c r="L558" s="11" t="s">
        <v>37</v>
      </c>
      <c r="M558" s="26"/>
    </row>
    <row r="559" spans="1:13" x14ac:dyDescent="0.25">
      <c r="A559" s="6">
        <v>1.13885136273306E+17</v>
      </c>
      <c r="B559" s="30" t="s">
        <v>147</v>
      </c>
      <c r="C559" s="32" t="str">
        <f t="shared" si="16"/>
        <v>Jan</v>
      </c>
      <c r="D559" s="11" t="s">
        <v>21</v>
      </c>
      <c r="E559" s="13">
        <v>481880</v>
      </c>
      <c r="F559" s="13">
        <v>7117</v>
      </c>
      <c r="G559" s="13">
        <v>3</v>
      </c>
      <c r="H559" s="13">
        <v>172.81553398058199</v>
      </c>
      <c r="I559" s="13">
        <v>5.1844660194174796</v>
      </c>
      <c r="J559" s="13">
        <f t="shared" si="17"/>
        <v>177.99999999999946</v>
      </c>
      <c r="K559" s="13">
        <v>56.3106796116505</v>
      </c>
      <c r="L559" s="11" t="s">
        <v>23</v>
      </c>
      <c r="M559" s="26"/>
    </row>
    <row r="560" spans="1:13" x14ac:dyDescent="0.25">
      <c r="A560" s="6">
        <v>1.13187068544578E+17</v>
      </c>
      <c r="B560" s="30" t="s">
        <v>162</v>
      </c>
      <c r="C560" s="32" t="str">
        <f t="shared" si="16"/>
        <v>Jan</v>
      </c>
      <c r="D560" s="11" t="s">
        <v>16</v>
      </c>
      <c r="E560" s="13">
        <v>638152</v>
      </c>
      <c r="F560" s="13">
        <v>7117</v>
      </c>
      <c r="G560" s="13">
        <v>3</v>
      </c>
      <c r="H560" s="13">
        <v>172.81553398058199</v>
      </c>
      <c r="I560" s="13">
        <v>5.1844660194174796</v>
      </c>
      <c r="J560" s="13">
        <f t="shared" si="17"/>
        <v>177.99999999999946</v>
      </c>
      <c r="K560" s="13">
        <v>56.3106796116505</v>
      </c>
      <c r="L560" s="11" t="s">
        <v>27</v>
      </c>
      <c r="M560" s="26"/>
    </row>
    <row r="561" spans="1:13" x14ac:dyDescent="0.25">
      <c r="A561" s="6">
        <v>1.15487397056416E+17</v>
      </c>
      <c r="B561" s="30" t="s">
        <v>136</v>
      </c>
      <c r="C561" s="32" t="str">
        <f t="shared" si="16"/>
        <v>Jan</v>
      </c>
      <c r="D561" s="11" t="s">
        <v>9</v>
      </c>
      <c r="E561" s="13">
        <v>141006</v>
      </c>
      <c r="F561" s="13">
        <v>7117</v>
      </c>
      <c r="G561" s="13">
        <v>3</v>
      </c>
      <c r="H561" s="13">
        <v>164.07766990291199</v>
      </c>
      <c r="I561" s="13">
        <v>5.1844660194174796</v>
      </c>
      <c r="J561" s="13">
        <f t="shared" si="17"/>
        <v>169.26213592232946</v>
      </c>
      <c r="K561" s="13">
        <v>47.572815533980602</v>
      </c>
      <c r="L561" s="11" t="s">
        <v>17</v>
      </c>
      <c r="M561" s="26"/>
    </row>
    <row r="562" spans="1:13" x14ac:dyDescent="0.25">
      <c r="A562" s="6">
        <v>1.11306540720652E+17</v>
      </c>
      <c r="B562" s="30" t="s">
        <v>145</v>
      </c>
      <c r="C562" s="32" t="str">
        <f t="shared" si="16"/>
        <v>Jan</v>
      </c>
      <c r="D562" s="11" t="s">
        <v>16</v>
      </c>
      <c r="E562" s="13">
        <v>841436</v>
      </c>
      <c r="F562" s="13">
        <v>7117</v>
      </c>
      <c r="G562" s="13">
        <v>3</v>
      </c>
      <c r="H562" s="13">
        <v>170.873786407767</v>
      </c>
      <c r="I562" s="13">
        <v>5.2427184466019403</v>
      </c>
      <c r="J562" s="13">
        <f t="shared" si="17"/>
        <v>176.11650485436894</v>
      </c>
      <c r="K562" s="13">
        <v>54.368932038834998</v>
      </c>
      <c r="L562" s="11" t="s">
        <v>22</v>
      </c>
      <c r="M562" s="26"/>
    </row>
    <row r="563" spans="1:13" x14ac:dyDescent="0.25">
      <c r="A563" s="6">
        <v>1.0743979789060499E+17</v>
      </c>
      <c r="B563" s="30" t="s">
        <v>140</v>
      </c>
      <c r="C563" s="32" t="str">
        <f t="shared" si="16"/>
        <v>Jan</v>
      </c>
      <c r="D563" s="11" t="s">
        <v>25</v>
      </c>
      <c r="E563" s="13">
        <v>591234</v>
      </c>
      <c r="F563" s="13">
        <v>7117</v>
      </c>
      <c r="G563" s="13">
        <v>3</v>
      </c>
      <c r="H563" s="13">
        <v>145.631067961165</v>
      </c>
      <c r="I563" s="13">
        <v>4.3689320388349504</v>
      </c>
      <c r="J563" s="13">
        <f t="shared" si="17"/>
        <v>149.99999999999994</v>
      </c>
      <c r="K563" s="13">
        <v>59.223300970873801</v>
      </c>
      <c r="L563" s="11" t="s">
        <v>19</v>
      </c>
      <c r="M563" s="26"/>
    </row>
    <row r="564" spans="1:13" x14ac:dyDescent="0.25">
      <c r="A564" s="6">
        <v>1.15014385680022E+17</v>
      </c>
      <c r="B564" s="30" t="s">
        <v>148</v>
      </c>
      <c r="C564" s="32" t="str">
        <f t="shared" si="16"/>
        <v>Jan</v>
      </c>
      <c r="D564" s="11" t="s">
        <v>9</v>
      </c>
      <c r="E564" s="13">
        <v>601201</v>
      </c>
      <c r="F564" s="13">
        <v>7117</v>
      </c>
      <c r="G564" s="13">
        <v>3</v>
      </c>
      <c r="H564" s="13">
        <v>169.90291262135901</v>
      </c>
      <c r="I564" s="13">
        <v>5.0970873786407802</v>
      </c>
      <c r="J564" s="13">
        <f t="shared" si="17"/>
        <v>174.9999999999998</v>
      </c>
      <c r="K564" s="13">
        <v>59.223300970873801</v>
      </c>
      <c r="L564" s="11" t="s">
        <v>27</v>
      </c>
      <c r="M564" s="26"/>
    </row>
    <row r="565" spans="1:13" x14ac:dyDescent="0.25">
      <c r="A565" s="6">
        <v>1.11673519331672E+17</v>
      </c>
      <c r="B565" s="30" t="s">
        <v>146</v>
      </c>
      <c r="C565" s="32" t="str">
        <f t="shared" si="16"/>
        <v>Jan</v>
      </c>
      <c r="D565" s="11" t="s">
        <v>25</v>
      </c>
      <c r="E565" s="13">
        <v>822117</v>
      </c>
      <c r="F565" s="13">
        <v>7117</v>
      </c>
      <c r="G565" s="13">
        <v>3</v>
      </c>
      <c r="H565" s="13">
        <v>149.514563106796</v>
      </c>
      <c r="I565" s="13">
        <v>5.0388349514563098</v>
      </c>
      <c r="J565" s="13">
        <f t="shared" si="17"/>
        <v>154.55339805825233</v>
      </c>
      <c r="K565" s="13">
        <v>40.776699029126199</v>
      </c>
      <c r="L565" s="11" t="s">
        <v>37</v>
      </c>
      <c r="M565" s="26"/>
    </row>
    <row r="566" spans="1:13" x14ac:dyDescent="0.25">
      <c r="A566" s="6">
        <v>1.06388058010878E+17</v>
      </c>
      <c r="B566" s="30" t="s">
        <v>156</v>
      </c>
      <c r="C566" s="32" t="str">
        <f t="shared" si="16"/>
        <v>Jan</v>
      </c>
      <c r="D566" s="11" t="s">
        <v>25</v>
      </c>
      <c r="E566" s="13">
        <v>493445</v>
      </c>
      <c r="F566" s="13">
        <v>7117</v>
      </c>
      <c r="G566" s="13">
        <v>3</v>
      </c>
      <c r="H566" s="13">
        <v>156.31067961164999</v>
      </c>
      <c r="I566" s="13">
        <v>4.6893203883495103</v>
      </c>
      <c r="J566" s="13">
        <f t="shared" si="17"/>
        <v>160.99999999999949</v>
      </c>
      <c r="K566" s="13">
        <v>58.252427184466001</v>
      </c>
      <c r="L566" s="11" t="s">
        <v>23</v>
      </c>
      <c r="M566" s="26"/>
    </row>
    <row r="567" spans="1:13" x14ac:dyDescent="0.25">
      <c r="A567" s="6">
        <v>1.12791068277502E+17</v>
      </c>
      <c r="B567" s="30" t="s">
        <v>159</v>
      </c>
      <c r="C567" s="32" t="str">
        <f t="shared" si="16"/>
        <v>Jan</v>
      </c>
      <c r="D567" s="11" t="s">
        <v>16</v>
      </c>
      <c r="E567" s="13">
        <v>272194</v>
      </c>
      <c r="F567" s="13">
        <v>7117</v>
      </c>
      <c r="G567" s="13">
        <v>3</v>
      </c>
      <c r="H567" s="13">
        <v>148.54368932038801</v>
      </c>
      <c r="I567" s="13">
        <v>4.9805825242718402</v>
      </c>
      <c r="J567" s="13">
        <f t="shared" si="17"/>
        <v>153.52427184465986</v>
      </c>
      <c r="K567" s="13">
        <v>39.805825242718498</v>
      </c>
      <c r="L567" s="11" t="s">
        <v>10</v>
      </c>
      <c r="M567" s="26"/>
    </row>
    <row r="568" spans="1:13" x14ac:dyDescent="0.25">
      <c r="A568" s="6">
        <v>1.1436591249636499E+17</v>
      </c>
      <c r="B568" s="30" t="s">
        <v>138</v>
      </c>
      <c r="C568" s="32" t="str">
        <f t="shared" si="16"/>
        <v>Jan</v>
      </c>
      <c r="D568" s="11" t="s">
        <v>16</v>
      </c>
      <c r="E568" s="13">
        <v>272191</v>
      </c>
      <c r="F568" s="13">
        <v>7117</v>
      </c>
      <c r="G568" s="13">
        <v>3</v>
      </c>
      <c r="H568" s="13">
        <v>145.631067961165</v>
      </c>
      <c r="I568" s="13">
        <v>4.6310679611650496</v>
      </c>
      <c r="J568" s="13">
        <f t="shared" si="17"/>
        <v>150.26213592233006</v>
      </c>
      <c r="K568" s="13">
        <v>47.572815533980602</v>
      </c>
      <c r="L568" s="11" t="s">
        <v>10</v>
      </c>
      <c r="M568" s="26"/>
    </row>
    <row r="569" spans="1:13" x14ac:dyDescent="0.25">
      <c r="A569" s="6">
        <v>1.0808589931871901E+17</v>
      </c>
      <c r="B569" s="30" t="s">
        <v>153</v>
      </c>
      <c r="C569" s="32" t="str">
        <f t="shared" si="16"/>
        <v>Jan</v>
      </c>
      <c r="D569" s="11" t="s">
        <v>16</v>
      </c>
      <c r="E569" s="13">
        <v>455001</v>
      </c>
      <c r="F569" s="13">
        <v>7117</v>
      </c>
      <c r="G569" s="13">
        <v>3</v>
      </c>
      <c r="H569" s="13">
        <v>168.93203883495099</v>
      </c>
      <c r="I569" s="13">
        <v>5.0679611650485397</v>
      </c>
      <c r="J569" s="13">
        <f t="shared" si="17"/>
        <v>173.99999999999952</v>
      </c>
      <c r="K569" s="13">
        <v>57.2815533980583</v>
      </c>
      <c r="L569" s="11" t="s">
        <v>26</v>
      </c>
      <c r="M569" s="26"/>
    </row>
    <row r="570" spans="1:13" x14ac:dyDescent="0.25">
      <c r="A570" s="6">
        <v>1.1498770738689101E+17</v>
      </c>
      <c r="B570" s="30" t="s">
        <v>148</v>
      </c>
      <c r="C570" s="32" t="str">
        <f t="shared" si="16"/>
        <v>Jan</v>
      </c>
      <c r="D570" s="11" t="s">
        <v>21</v>
      </c>
      <c r="E570" s="13">
        <v>212659</v>
      </c>
      <c r="F570" s="13">
        <v>7117</v>
      </c>
      <c r="G570" s="13">
        <v>3</v>
      </c>
      <c r="H570" s="13">
        <v>164.07766990291199</v>
      </c>
      <c r="I570" s="13">
        <v>5.1844660194174796</v>
      </c>
      <c r="J570" s="13">
        <f t="shared" si="17"/>
        <v>169.26213592232946</v>
      </c>
      <c r="K570" s="13">
        <v>47.572815533980602</v>
      </c>
      <c r="L570" s="11" t="s">
        <v>10</v>
      </c>
      <c r="M570" s="26"/>
    </row>
    <row r="571" spans="1:13" x14ac:dyDescent="0.25">
      <c r="A571" s="6">
        <v>1.07856702553912E+17</v>
      </c>
      <c r="B571" s="30" t="s">
        <v>141</v>
      </c>
      <c r="C571" s="32" t="str">
        <f t="shared" si="16"/>
        <v>Jan</v>
      </c>
      <c r="D571" s="11" t="s">
        <v>71</v>
      </c>
      <c r="E571" s="13">
        <v>442905</v>
      </c>
      <c r="F571" s="13">
        <v>7117</v>
      </c>
      <c r="G571" s="13">
        <v>3</v>
      </c>
      <c r="H571" s="13">
        <v>163.106796116504</v>
      </c>
      <c r="I571" s="13">
        <v>5.0679611650485397</v>
      </c>
      <c r="J571" s="13">
        <f t="shared" si="17"/>
        <v>168.17475728155253</v>
      </c>
      <c r="K571" s="13">
        <v>51.456310679611697</v>
      </c>
      <c r="L571" s="11" t="s">
        <v>41</v>
      </c>
      <c r="M571" s="26"/>
    </row>
    <row r="572" spans="1:13" x14ac:dyDescent="0.25">
      <c r="A572" s="6">
        <v>1.09224214507356E+17</v>
      </c>
      <c r="B572" s="30" t="s">
        <v>161</v>
      </c>
      <c r="C572" s="32" t="str">
        <f t="shared" si="16"/>
        <v>Jan</v>
      </c>
      <c r="D572" s="11" t="s">
        <v>16</v>
      </c>
      <c r="E572" s="13">
        <v>799264</v>
      </c>
      <c r="F572" s="13">
        <v>7117</v>
      </c>
      <c r="G572" s="13">
        <v>3</v>
      </c>
      <c r="H572" s="13">
        <v>166.990291262135</v>
      </c>
      <c r="I572" s="13">
        <v>5.0097087378640799</v>
      </c>
      <c r="J572" s="13">
        <f t="shared" si="17"/>
        <v>171.99999999999909</v>
      </c>
      <c r="K572" s="13">
        <v>78.640776699029104</v>
      </c>
      <c r="L572" s="11" t="s">
        <v>165</v>
      </c>
      <c r="M572" s="26"/>
    </row>
    <row r="573" spans="1:13" x14ac:dyDescent="0.25">
      <c r="A573" s="6">
        <v>1.14601368569706E+17</v>
      </c>
      <c r="B573" s="30" t="s">
        <v>139</v>
      </c>
      <c r="C573" s="32" t="str">
        <f t="shared" si="16"/>
        <v>Jan</v>
      </c>
      <c r="D573" s="11" t="s">
        <v>25</v>
      </c>
      <c r="E573" s="13">
        <v>284204</v>
      </c>
      <c r="F573" s="13">
        <v>7117</v>
      </c>
      <c r="G573" s="13">
        <v>3</v>
      </c>
      <c r="H573" s="13">
        <v>164.07766990291199</v>
      </c>
      <c r="I573" s="13">
        <v>5.1844660194174796</v>
      </c>
      <c r="J573" s="13">
        <f t="shared" si="17"/>
        <v>169.26213592232946</v>
      </c>
      <c r="K573" s="13">
        <v>47.572815533980602</v>
      </c>
      <c r="L573" s="11" t="s">
        <v>10</v>
      </c>
      <c r="M573" s="26"/>
    </row>
    <row r="574" spans="1:13" x14ac:dyDescent="0.25">
      <c r="A574" s="6">
        <v>1.07366706663322E+17</v>
      </c>
      <c r="B574" s="30" t="s">
        <v>140</v>
      </c>
      <c r="C574" s="32" t="str">
        <f t="shared" si="16"/>
        <v>Jan</v>
      </c>
      <c r="D574" s="11" t="s">
        <v>16</v>
      </c>
      <c r="E574" s="13">
        <v>243005</v>
      </c>
      <c r="F574" s="13">
        <v>7117</v>
      </c>
      <c r="G574" s="13">
        <v>3</v>
      </c>
      <c r="H574" s="13">
        <v>153.39805825242701</v>
      </c>
      <c r="I574" s="13">
        <v>4.86407766990291</v>
      </c>
      <c r="J574" s="13">
        <f t="shared" si="17"/>
        <v>158.26213592232992</v>
      </c>
      <c r="K574" s="13">
        <v>49.514563106796103</v>
      </c>
      <c r="L574" s="11" t="s">
        <v>10</v>
      </c>
      <c r="M574" s="26"/>
    </row>
    <row r="575" spans="1:13" x14ac:dyDescent="0.25">
      <c r="A575" s="6">
        <v>1.1561690350186701E+17</v>
      </c>
      <c r="B575" s="30" t="s">
        <v>137</v>
      </c>
      <c r="C575" s="32" t="str">
        <f t="shared" si="16"/>
        <v>Jan</v>
      </c>
      <c r="D575" s="11" t="s">
        <v>16</v>
      </c>
      <c r="E575" s="13">
        <v>475675</v>
      </c>
      <c r="F575" s="13">
        <v>7117</v>
      </c>
      <c r="G575" s="13">
        <v>3</v>
      </c>
      <c r="H575" s="13">
        <v>132.03883495145601</v>
      </c>
      <c r="I575" s="13">
        <v>4.1067961165048503</v>
      </c>
      <c r="J575" s="13">
        <f t="shared" si="17"/>
        <v>136.14563106796086</v>
      </c>
      <c r="K575" s="13">
        <v>52.427184466019398</v>
      </c>
      <c r="L575" s="11" t="s">
        <v>26</v>
      </c>
      <c r="M575" s="26"/>
    </row>
    <row r="576" spans="1:13" x14ac:dyDescent="0.25">
      <c r="A576" s="6">
        <v>1.12931704112706E+17</v>
      </c>
      <c r="B576" s="30" t="s">
        <v>159</v>
      </c>
      <c r="C576" s="32" t="str">
        <f t="shared" si="16"/>
        <v>Jan</v>
      </c>
      <c r="D576" s="11" t="s">
        <v>71</v>
      </c>
      <c r="E576" s="13">
        <v>824211</v>
      </c>
      <c r="F576" s="13">
        <v>7117</v>
      </c>
      <c r="G576" s="13">
        <v>3</v>
      </c>
      <c r="H576" s="13">
        <v>139.80582524271799</v>
      </c>
      <c r="I576" s="13">
        <v>4.3980582524271803</v>
      </c>
      <c r="J576" s="13">
        <f t="shared" si="17"/>
        <v>144.20388349514516</v>
      </c>
      <c r="K576" s="13">
        <v>51.456310679611697</v>
      </c>
      <c r="L576" s="11" t="s">
        <v>22</v>
      </c>
      <c r="M576" s="26"/>
    </row>
    <row r="577" spans="1:13" x14ac:dyDescent="0.25">
      <c r="A577" s="6">
        <v>1.10040819336934E+17</v>
      </c>
      <c r="B577" s="30" t="s">
        <v>142</v>
      </c>
      <c r="C577" s="32" t="str">
        <f t="shared" si="16"/>
        <v>Jan</v>
      </c>
      <c r="D577" s="11" t="s">
        <v>25</v>
      </c>
      <c r="E577" s="13">
        <v>123029</v>
      </c>
      <c r="F577" s="13">
        <v>7117</v>
      </c>
      <c r="G577" s="13">
        <v>3</v>
      </c>
      <c r="H577" s="13">
        <v>100</v>
      </c>
      <c r="I577" s="13">
        <v>3.1456310679611699</v>
      </c>
      <c r="J577" s="13">
        <f t="shared" si="17"/>
        <v>103.14563106796118</v>
      </c>
      <c r="K577" s="13">
        <v>52.427184466019398</v>
      </c>
      <c r="L577" s="11" t="s">
        <v>63</v>
      </c>
      <c r="M577" s="26"/>
    </row>
    <row r="578" spans="1:13" x14ac:dyDescent="0.25">
      <c r="A578" s="6">
        <v>1.1472215259146099E+17</v>
      </c>
      <c r="B578" s="30" t="s">
        <v>139</v>
      </c>
      <c r="C578" s="32" t="str">
        <f t="shared" si="16"/>
        <v>Jan</v>
      </c>
      <c r="D578" s="11" t="s">
        <v>16</v>
      </c>
      <c r="E578" s="13">
        <v>768110</v>
      </c>
      <c r="F578" s="13">
        <v>7117</v>
      </c>
      <c r="G578" s="13">
        <v>3</v>
      </c>
      <c r="H578" s="13">
        <v>172.81553398058199</v>
      </c>
      <c r="I578" s="13">
        <v>5.1844660194174796</v>
      </c>
      <c r="J578" s="13">
        <f t="shared" si="17"/>
        <v>177.99999999999946</v>
      </c>
      <c r="K578" s="13">
        <v>56.3106796116505</v>
      </c>
      <c r="L578" s="11" t="s">
        <v>54</v>
      </c>
      <c r="M578" s="26"/>
    </row>
    <row r="579" spans="1:13" x14ac:dyDescent="0.25">
      <c r="A579" s="6">
        <v>1.0632417751822301E+17</v>
      </c>
      <c r="B579" s="30" t="s">
        <v>156</v>
      </c>
      <c r="C579" s="32" t="str">
        <f t="shared" ref="C579:C642" si="18">TEXT(B579, "mmm")</f>
        <v>Jan</v>
      </c>
      <c r="D579" s="11" t="s">
        <v>25</v>
      </c>
      <c r="E579" s="13">
        <v>110074</v>
      </c>
      <c r="F579" s="13">
        <v>7117</v>
      </c>
      <c r="G579" s="13">
        <v>3</v>
      </c>
      <c r="H579" s="13">
        <v>166.01941747572801</v>
      </c>
      <c r="I579" s="13">
        <v>5.2427184466019403</v>
      </c>
      <c r="J579" s="13">
        <f t="shared" ref="J579:J642" si="19">H579+I579</f>
        <v>171.26213592232995</v>
      </c>
      <c r="K579" s="13">
        <v>49.514563106796103</v>
      </c>
      <c r="L579" s="11" t="s">
        <v>28</v>
      </c>
      <c r="M579" s="26"/>
    </row>
    <row r="580" spans="1:13" x14ac:dyDescent="0.25">
      <c r="A580" s="6">
        <v>1.14639459517234E+17</v>
      </c>
      <c r="B580" s="30" t="s">
        <v>139</v>
      </c>
      <c r="C580" s="32" t="str">
        <f t="shared" si="18"/>
        <v>Jan</v>
      </c>
      <c r="D580" s="11" t="s">
        <v>25</v>
      </c>
      <c r="E580" s="13">
        <v>390010</v>
      </c>
      <c r="F580" s="13">
        <v>7117</v>
      </c>
      <c r="G580" s="13">
        <v>3</v>
      </c>
      <c r="H580" s="13">
        <v>147.57281553397999</v>
      </c>
      <c r="I580" s="13">
        <v>4.42718446601942</v>
      </c>
      <c r="J580" s="13">
        <f t="shared" si="19"/>
        <v>151.9999999999994</v>
      </c>
      <c r="K580" s="13">
        <v>59.223300970873801</v>
      </c>
      <c r="L580" s="11" t="s">
        <v>12</v>
      </c>
      <c r="M580" s="26"/>
    </row>
    <row r="581" spans="1:13" x14ac:dyDescent="0.25">
      <c r="A581" s="6">
        <v>1.0715149769090301E+17</v>
      </c>
      <c r="B581" s="30" t="s">
        <v>150</v>
      </c>
      <c r="C581" s="32" t="str">
        <f t="shared" si="18"/>
        <v>Jan</v>
      </c>
      <c r="D581" s="11" t="s">
        <v>21</v>
      </c>
      <c r="E581" s="13">
        <v>445301</v>
      </c>
      <c r="F581" s="13">
        <v>7117</v>
      </c>
      <c r="G581" s="13">
        <v>3</v>
      </c>
      <c r="H581" s="13">
        <v>184.466019417475</v>
      </c>
      <c r="I581" s="13">
        <v>4.4854368932038797</v>
      </c>
      <c r="J581" s="13">
        <f t="shared" si="19"/>
        <v>188.95145631067888</v>
      </c>
      <c r="K581" s="13">
        <v>92.233009708737896</v>
      </c>
      <c r="L581" s="11" t="s">
        <v>41</v>
      </c>
      <c r="M581" s="26"/>
    </row>
    <row r="582" spans="1:13" x14ac:dyDescent="0.25">
      <c r="A582" s="6">
        <v>1.1636801031856499E+17</v>
      </c>
      <c r="B582" s="30" t="s">
        <v>152</v>
      </c>
      <c r="C582" s="32" t="str">
        <f t="shared" si="18"/>
        <v>Jan</v>
      </c>
      <c r="D582" s="11" t="s">
        <v>21</v>
      </c>
      <c r="E582" s="13">
        <v>743504</v>
      </c>
      <c r="F582" s="13">
        <v>7117</v>
      </c>
      <c r="G582" s="13">
        <v>3</v>
      </c>
      <c r="H582" s="13">
        <v>136.893203883495</v>
      </c>
      <c r="I582" s="13">
        <v>4.1067961165048503</v>
      </c>
      <c r="J582" s="13">
        <f t="shared" si="19"/>
        <v>140.99999999999986</v>
      </c>
      <c r="K582" s="13">
        <v>57.2815533980583</v>
      </c>
      <c r="L582" s="11" t="s">
        <v>14</v>
      </c>
      <c r="M582" s="26"/>
    </row>
    <row r="583" spans="1:13" x14ac:dyDescent="0.25">
      <c r="A583" s="6">
        <v>1.12992339971342E+17</v>
      </c>
      <c r="B583" s="30" t="s">
        <v>162</v>
      </c>
      <c r="C583" s="32" t="str">
        <f t="shared" si="18"/>
        <v>Jan</v>
      </c>
      <c r="D583" s="11" t="s">
        <v>16</v>
      </c>
      <c r="E583" s="13">
        <v>500067</v>
      </c>
      <c r="F583" s="13">
        <v>7117</v>
      </c>
      <c r="G583" s="13">
        <v>3</v>
      </c>
      <c r="H583" s="13">
        <v>148.54368932038801</v>
      </c>
      <c r="I583" s="13">
        <v>4.4563106796116498</v>
      </c>
      <c r="J583" s="13">
        <f t="shared" si="19"/>
        <v>152.99999999999966</v>
      </c>
      <c r="K583" s="13">
        <v>60.194174757281601</v>
      </c>
      <c r="L583" s="11" t="s">
        <v>53</v>
      </c>
      <c r="M583" s="26"/>
    </row>
    <row r="584" spans="1:13" x14ac:dyDescent="0.25">
      <c r="A584" s="6">
        <v>1.1388662062896701E+17</v>
      </c>
      <c r="B584" s="30" t="s">
        <v>147</v>
      </c>
      <c r="C584" s="32" t="str">
        <f t="shared" si="18"/>
        <v>Jan</v>
      </c>
      <c r="D584" s="11" t="s">
        <v>52</v>
      </c>
      <c r="E584" s="13">
        <v>517408</v>
      </c>
      <c r="F584" s="13">
        <v>7117</v>
      </c>
      <c r="G584" s="13">
        <v>3</v>
      </c>
      <c r="H584" s="13">
        <v>172.81553398058199</v>
      </c>
      <c r="I584" s="13">
        <v>4.6310679611650496</v>
      </c>
      <c r="J584" s="13">
        <f t="shared" si="19"/>
        <v>177.44660194174705</v>
      </c>
      <c r="K584" s="13">
        <v>74.757281553398101</v>
      </c>
      <c r="L584" s="11" t="s">
        <v>39</v>
      </c>
      <c r="M584" s="26"/>
    </row>
    <row r="585" spans="1:13" x14ac:dyDescent="0.25">
      <c r="A585" s="6">
        <v>1.1583985824054701E+17</v>
      </c>
      <c r="B585" s="30" t="s">
        <v>137</v>
      </c>
      <c r="C585" s="32" t="str">
        <f t="shared" si="18"/>
        <v>Jan</v>
      </c>
      <c r="D585" s="11" t="s">
        <v>16</v>
      </c>
      <c r="E585" s="13">
        <v>281005</v>
      </c>
      <c r="F585" s="13">
        <v>7117</v>
      </c>
      <c r="G585" s="13">
        <v>3</v>
      </c>
      <c r="H585" s="13">
        <v>152.42718446601901</v>
      </c>
      <c r="I585" s="13">
        <v>5.1844660194174796</v>
      </c>
      <c r="J585" s="13">
        <f t="shared" si="19"/>
        <v>157.61165048543648</v>
      </c>
      <c r="K585" s="13">
        <v>35.922330097087404</v>
      </c>
      <c r="L585" s="11" t="s">
        <v>10</v>
      </c>
      <c r="M585" s="26"/>
    </row>
    <row r="586" spans="1:13" x14ac:dyDescent="0.25">
      <c r="A586" s="6">
        <v>1.07079675185266E+17</v>
      </c>
      <c r="B586" s="30" t="s">
        <v>150</v>
      </c>
      <c r="C586" s="32" t="str">
        <f t="shared" si="18"/>
        <v>Jan</v>
      </c>
      <c r="D586" s="11" t="s">
        <v>16</v>
      </c>
      <c r="E586" s="13">
        <v>624710</v>
      </c>
      <c r="F586" s="13">
        <v>7117</v>
      </c>
      <c r="G586" s="13">
        <v>3</v>
      </c>
      <c r="H586" s="13">
        <v>160.19417475728099</v>
      </c>
      <c r="I586" s="13">
        <v>4.8058252427184502</v>
      </c>
      <c r="J586" s="13">
        <f t="shared" si="19"/>
        <v>164.99999999999943</v>
      </c>
      <c r="K586" s="13">
        <v>56.3106796116505</v>
      </c>
      <c r="L586" s="11" t="s">
        <v>27</v>
      </c>
      <c r="M586" s="26"/>
    </row>
    <row r="587" spans="1:13" x14ac:dyDescent="0.25">
      <c r="A587" s="6">
        <v>1.0606879182556E+17</v>
      </c>
      <c r="B587" s="30" t="s">
        <v>128</v>
      </c>
      <c r="C587" s="32" t="str">
        <f t="shared" si="18"/>
        <v>Jan</v>
      </c>
      <c r="D587" s="11" t="s">
        <v>16</v>
      </c>
      <c r="E587" s="13">
        <v>828402</v>
      </c>
      <c r="F587" s="13">
        <v>7117</v>
      </c>
      <c r="G587" s="13">
        <v>3</v>
      </c>
      <c r="H587" s="13">
        <v>146.601941747572</v>
      </c>
      <c r="I587" s="13">
        <v>4.9223300970873796</v>
      </c>
      <c r="J587" s="13">
        <f t="shared" si="19"/>
        <v>151.52427184465938</v>
      </c>
      <c r="K587" s="13">
        <v>39.805825242718498</v>
      </c>
      <c r="L587" s="11" t="s">
        <v>37</v>
      </c>
      <c r="M587" s="26"/>
    </row>
    <row r="588" spans="1:13" x14ac:dyDescent="0.25">
      <c r="A588" s="6">
        <v>1.1470678807468301E+17</v>
      </c>
      <c r="B588" s="30" t="s">
        <v>139</v>
      </c>
      <c r="C588" s="32" t="str">
        <f t="shared" si="18"/>
        <v>Jan</v>
      </c>
      <c r="D588" s="11" t="s">
        <v>25</v>
      </c>
      <c r="E588" s="13">
        <v>440016</v>
      </c>
      <c r="F588" s="13">
        <v>7117</v>
      </c>
      <c r="G588" s="13">
        <v>3</v>
      </c>
      <c r="H588" s="13">
        <v>170.873786407767</v>
      </c>
      <c r="I588" s="13">
        <v>5.1262135922330101</v>
      </c>
      <c r="J588" s="13">
        <f t="shared" si="19"/>
        <v>176</v>
      </c>
      <c r="K588" s="13">
        <v>59.223300970873801</v>
      </c>
      <c r="L588" s="11" t="s">
        <v>41</v>
      </c>
      <c r="M588" s="26"/>
    </row>
    <row r="589" spans="1:13" x14ac:dyDescent="0.25">
      <c r="A589" s="6">
        <v>1.1468489849703501E+17</v>
      </c>
      <c r="B589" s="30" t="s">
        <v>139</v>
      </c>
      <c r="C589" s="32" t="str">
        <f t="shared" si="18"/>
        <v>Jan</v>
      </c>
      <c r="D589" s="11" t="s">
        <v>16</v>
      </c>
      <c r="E589" s="13">
        <v>782105</v>
      </c>
      <c r="F589" s="13">
        <v>7117</v>
      </c>
      <c r="G589" s="13">
        <v>3</v>
      </c>
      <c r="H589" s="13">
        <v>189.32038834951399</v>
      </c>
      <c r="I589" s="13">
        <v>5.6796116504854401</v>
      </c>
      <c r="J589" s="13">
        <f t="shared" si="19"/>
        <v>194.99999999999943</v>
      </c>
      <c r="K589" s="13">
        <v>78.640776699029104</v>
      </c>
      <c r="L589" s="11" t="s">
        <v>35</v>
      </c>
      <c r="M589" s="26"/>
    </row>
    <row r="590" spans="1:13" x14ac:dyDescent="0.25">
      <c r="A590" s="6">
        <v>1.09711453900272E+17</v>
      </c>
      <c r="B590" s="30" t="s">
        <v>164</v>
      </c>
      <c r="C590" s="32" t="str">
        <f t="shared" si="18"/>
        <v>Jan</v>
      </c>
      <c r="D590" s="11" t="s">
        <v>16</v>
      </c>
      <c r="E590" s="13">
        <v>621719</v>
      </c>
      <c r="F590" s="13">
        <v>7117</v>
      </c>
      <c r="G590" s="13">
        <v>3</v>
      </c>
      <c r="H590" s="13">
        <v>147.57281553397999</v>
      </c>
      <c r="I590" s="13">
        <v>4.42718446601942</v>
      </c>
      <c r="J590" s="13">
        <f t="shared" si="19"/>
        <v>151.9999999999994</v>
      </c>
      <c r="K590" s="13">
        <v>59.223300970873801</v>
      </c>
      <c r="L590" s="11" t="s">
        <v>27</v>
      </c>
      <c r="M590" s="26"/>
    </row>
    <row r="591" spans="1:13" x14ac:dyDescent="0.25">
      <c r="A591" s="6">
        <v>1.15468537968266E+17</v>
      </c>
      <c r="B591" s="30" t="s">
        <v>136</v>
      </c>
      <c r="C591" s="32" t="str">
        <f t="shared" si="18"/>
        <v>Jan</v>
      </c>
      <c r="D591" s="11" t="s">
        <v>16</v>
      </c>
      <c r="E591" s="13">
        <v>332025</v>
      </c>
      <c r="F591" s="13">
        <v>7117</v>
      </c>
      <c r="G591" s="13">
        <v>3</v>
      </c>
      <c r="H591" s="13">
        <v>147.57281553397999</v>
      </c>
      <c r="I591" s="13">
        <v>4.6310679611650496</v>
      </c>
      <c r="J591" s="13">
        <f t="shared" si="19"/>
        <v>152.20388349514505</v>
      </c>
      <c r="K591" s="13">
        <v>49.514563106796103</v>
      </c>
      <c r="L591" s="11" t="s">
        <v>46</v>
      </c>
      <c r="M591" s="26"/>
    </row>
    <row r="592" spans="1:13" x14ac:dyDescent="0.25">
      <c r="A592" s="6">
        <v>1.1387983989915299E+17</v>
      </c>
      <c r="B592" s="30" t="s">
        <v>147</v>
      </c>
      <c r="C592" s="32" t="str">
        <f t="shared" si="18"/>
        <v>Jan</v>
      </c>
      <c r="D592" s="11" t="s">
        <v>16</v>
      </c>
      <c r="E592" s="13">
        <v>508222</v>
      </c>
      <c r="F592" s="13">
        <v>7117</v>
      </c>
      <c r="G592" s="13">
        <v>3</v>
      </c>
      <c r="H592" s="13">
        <v>172.81553398058199</v>
      </c>
      <c r="I592" s="13">
        <v>5.1844660194174796</v>
      </c>
      <c r="J592" s="13">
        <f t="shared" si="19"/>
        <v>177.99999999999946</v>
      </c>
      <c r="K592" s="13">
        <v>56.3106796116505</v>
      </c>
      <c r="L592" s="11" t="s">
        <v>53</v>
      </c>
      <c r="M592" s="26"/>
    </row>
    <row r="593" spans="1:13" x14ac:dyDescent="0.25">
      <c r="A593" s="6">
        <v>1.0749002398894499E+17</v>
      </c>
      <c r="B593" s="30" t="s">
        <v>140</v>
      </c>
      <c r="C593" s="32" t="str">
        <f t="shared" si="18"/>
        <v>Jan</v>
      </c>
      <c r="D593" s="11" t="s">
        <v>16</v>
      </c>
      <c r="E593" s="13">
        <v>148023</v>
      </c>
      <c r="F593" s="13">
        <v>7117</v>
      </c>
      <c r="G593" s="13">
        <v>3</v>
      </c>
      <c r="H593" s="13">
        <v>155.339805825242</v>
      </c>
      <c r="I593" s="13">
        <v>4.86407766990291</v>
      </c>
      <c r="J593" s="13">
        <f t="shared" si="19"/>
        <v>160.20388349514491</v>
      </c>
      <c r="K593" s="13">
        <v>51.456310679611697</v>
      </c>
      <c r="L593" s="11" t="s">
        <v>17</v>
      </c>
      <c r="M593" s="26"/>
    </row>
    <row r="594" spans="1:13" x14ac:dyDescent="0.25">
      <c r="A594" s="6">
        <v>1.07391612589732E+17</v>
      </c>
      <c r="B594" s="30" t="s">
        <v>140</v>
      </c>
      <c r="C594" s="32" t="str">
        <f t="shared" si="18"/>
        <v>Jan</v>
      </c>
      <c r="D594" s="11" t="s">
        <v>16</v>
      </c>
      <c r="E594" s="13">
        <v>497225</v>
      </c>
      <c r="F594" s="13">
        <v>7117</v>
      </c>
      <c r="G594" s="13">
        <v>3</v>
      </c>
      <c r="H594" s="13">
        <v>167.96116504854299</v>
      </c>
      <c r="I594" s="13">
        <v>4.7184466019417499</v>
      </c>
      <c r="J594" s="13">
        <f t="shared" si="19"/>
        <v>172.67961165048473</v>
      </c>
      <c r="K594" s="13">
        <v>68.932038834951499</v>
      </c>
      <c r="L594" s="11" t="s">
        <v>23</v>
      </c>
      <c r="M594" s="26"/>
    </row>
    <row r="595" spans="1:13" x14ac:dyDescent="0.25">
      <c r="A595" s="6">
        <v>1.0698851281302E+17</v>
      </c>
      <c r="B595" s="30" t="s">
        <v>150</v>
      </c>
      <c r="C595" s="32" t="str">
        <f t="shared" si="18"/>
        <v>Jan</v>
      </c>
      <c r="D595" s="11" t="s">
        <v>16</v>
      </c>
      <c r="E595" s="13">
        <v>764073</v>
      </c>
      <c r="F595" s="13">
        <v>7117</v>
      </c>
      <c r="G595" s="13">
        <v>3</v>
      </c>
      <c r="H595" s="13">
        <v>142.718446601941</v>
      </c>
      <c r="I595" s="13">
        <v>4.8058252427184502</v>
      </c>
      <c r="J595" s="13">
        <f t="shared" si="19"/>
        <v>147.52427184465944</v>
      </c>
      <c r="K595" s="13">
        <v>38.834951456310698</v>
      </c>
      <c r="L595" s="11" t="s">
        <v>54</v>
      </c>
      <c r="M595" s="26"/>
    </row>
    <row r="596" spans="1:13" x14ac:dyDescent="0.25">
      <c r="A596" s="6">
        <v>1.13186799287038E+17</v>
      </c>
      <c r="B596" s="30" t="s">
        <v>162</v>
      </c>
      <c r="C596" s="32" t="str">
        <f t="shared" si="18"/>
        <v>Jan</v>
      </c>
      <c r="D596" s="11" t="s">
        <v>52</v>
      </c>
      <c r="E596" s="13">
        <v>382418</v>
      </c>
      <c r="F596" s="13">
        <v>7117</v>
      </c>
      <c r="G596" s="13">
        <v>3</v>
      </c>
      <c r="H596" s="13">
        <v>160.19417475728099</v>
      </c>
      <c r="I596" s="13">
        <v>4.8058252427184502</v>
      </c>
      <c r="J596" s="13">
        <f t="shared" si="19"/>
        <v>164.99999999999943</v>
      </c>
      <c r="K596" s="13">
        <v>57.2815533980583</v>
      </c>
      <c r="L596" s="11" t="s">
        <v>12</v>
      </c>
      <c r="M596" s="26"/>
    </row>
    <row r="597" spans="1:13" x14ac:dyDescent="0.25">
      <c r="A597" s="6">
        <v>1.15016481272826E+17</v>
      </c>
      <c r="B597" s="30" t="s">
        <v>148</v>
      </c>
      <c r="C597" s="32" t="str">
        <f t="shared" si="18"/>
        <v>Jan</v>
      </c>
      <c r="D597" s="11" t="s">
        <v>25</v>
      </c>
      <c r="E597" s="13">
        <v>243751</v>
      </c>
      <c r="F597" s="13">
        <v>7117</v>
      </c>
      <c r="G597" s="13">
        <v>3</v>
      </c>
      <c r="H597" s="13">
        <v>145.631067961165</v>
      </c>
      <c r="I597" s="13">
        <v>4.6310679611650496</v>
      </c>
      <c r="J597" s="13">
        <f t="shared" si="19"/>
        <v>150.26213592233006</v>
      </c>
      <c r="K597" s="13">
        <v>47.572815533980602</v>
      </c>
      <c r="L597" s="11" t="s">
        <v>10</v>
      </c>
      <c r="M597" s="26"/>
    </row>
    <row r="598" spans="1:13" x14ac:dyDescent="0.25">
      <c r="A598" s="6">
        <v>1.0712321519284701E+17</v>
      </c>
      <c r="B598" s="30" t="s">
        <v>150</v>
      </c>
      <c r="C598" s="32" t="str">
        <f t="shared" si="18"/>
        <v>Jan</v>
      </c>
      <c r="D598" s="11" t="s">
        <v>16</v>
      </c>
      <c r="E598" s="13">
        <v>110081</v>
      </c>
      <c r="F598" s="13">
        <v>7117</v>
      </c>
      <c r="G598" s="13">
        <v>3</v>
      </c>
      <c r="H598" s="13">
        <v>122.33009708737799</v>
      </c>
      <c r="I598" s="13">
        <v>4.3106796116504897</v>
      </c>
      <c r="J598" s="13">
        <f t="shared" si="19"/>
        <v>126.64077669902848</v>
      </c>
      <c r="K598" s="13">
        <v>34.951456310679603</v>
      </c>
      <c r="L598" s="11" t="s">
        <v>28</v>
      </c>
      <c r="M598" s="26"/>
    </row>
    <row r="599" spans="1:13" x14ac:dyDescent="0.25">
      <c r="A599" s="6">
        <v>1.1690743401526099E+17</v>
      </c>
      <c r="B599" s="30" t="s">
        <v>144</v>
      </c>
      <c r="C599" s="32" t="str">
        <f t="shared" si="18"/>
        <v>Jan</v>
      </c>
      <c r="D599" s="11" t="s">
        <v>9</v>
      </c>
      <c r="E599" s="13">
        <v>123501</v>
      </c>
      <c r="F599" s="13">
        <v>7117</v>
      </c>
      <c r="G599" s="13">
        <v>3</v>
      </c>
      <c r="H599" s="13">
        <v>155.339805825242</v>
      </c>
      <c r="I599" s="13">
        <v>4.8058252427184502</v>
      </c>
      <c r="J599" s="13">
        <f t="shared" si="19"/>
        <v>160.14563106796044</v>
      </c>
      <c r="K599" s="13">
        <v>52.427184466019398</v>
      </c>
      <c r="L599" s="11" t="s">
        <v>63</v>
      </c>
      <c r="M599" s="26"/>
    </row>
    <row r="600" spans="1:13" x14ac:dyDescent="0.25">
      <c r="A600" s="6">
        <v>1.07419569890816E+17</v>
      </c>
      <c r="B600" s="30" t="s">
        <v>140</v>
      </c>
      <c r="C600" s="32" t="str">
        <f t="shared" si="18"/>
        <v>Jan</v>
      </c>
      <c r="D600" s="11" t="s">
        <v>16</v>
      </c>
      <c r="E600" s="13">
        <v>532421</v>
      </c>
      <c r="F600" s="13">
        <v>7117</v>
      </c>
      <c r="G600" s="13">
        <v>3</v>
      </c>
      <c r="H600" s="13">
        <v>145.631067961165</v>
      </c>
      <c r="I600" s="13">
        <v>4.3689320388349504</v>
      </c>
      <c r="J600" s="13">
        <f t="shared" si="19"/>
        <v>149.99999999999994</v>
      </c>
      <c r="K600" s="13">
        <v>58.252427184466001</v>
      </c>
      <c r="L600" s="11" t="s">
        <v>39</v>
      </c>
      <c r="M600" s="26"/>
    </row>
    <row r="601" spans="1:13" x14ac:dyDescent="0.25">
      <c r="A601" s="6">
        <v>1.12123669983158E+17</v>
      </c>
      <c r="B601" s="30" t="s">
        <v>158</v>
      </c>
      <c r="C601" s="32" t="str">
        <f t="shared" si="18"/>
        <v>Jan</v>
      </c>
      <c r="D601" s="11" t="s">
        <v>16</v>
      </c>
      <c r="E601" s="13">
        <v>444107</v>
      </c>
      <c r="F601" s="13">
        <v>7117</v>
      </c>
      <c r="G601" s="13">
        <v>3</v>
      </c>
      <c r="H601" s="13">
        <v>170.873786407767</v>
      </c>
      <c r="I601" s="13">
        <v>5.1262135922330101</v>
      </c>
      <c r="J601" s="13">
        <f t="shared" si="19"/>
        <v>176</v>
      </c>
      <c r="K601" s="13">
        <v>59.223300970873801</v>
      </c>
      <c r="L601" s="11" t="s">
        <v>41</v>
      </c>
      <c r="M601" s="26"/>
    </row>
    <row r="602" spans="1:13" x14ac:dyDescent="0.25">
      <c r="A602" s="6">
        <v>1.0991717017953501E+17</v>
      </c>
      <c r="B602" s="30" t="s">
        <v>142</v>
      </c>
      <c r="C602" s="32" t="str">
        <f t="shared" si="18"/>
        <v>Jan</v>
      </c>
      <c r="D602" s="11" t="s">
        <v>16</v>
      </c>
      <c r="E602" s="13">
        <v>121003</v>
      </c>
      <c r="F602" s="13">
        <v>7117</v>
      </c>
      <c r="G602" s="13">
        <v>3</v>
      </c>
      <c r="H602" s="13">
        <v>138.83495145630999</v>
      </c>
      <c r="I602" s="13">
        <v>4.8058252427184502</v>
      </c>
      <c r="J602" s="13">
        <f t="shared" si="19"/>
        <v>143.64077669902844</v>
      </c>
      <c r="K602" s="13">
        <v>35.922330097087404</v>
      </c>
      <c r="L602" s="11" t="s">
        <v>63</v>
      </c>
      <c r="M602" s="26"/>
    </row>
    <row r="603" spans="1:13" x14ac:dyDescent="0.25">
      <c r="A603" s="6">
        <v>1.0709474401402499E+17</v>
      </c>
      <c r="B603" s="30" t="s">
        <v>150</v>
      </c>
      <c r="C603" s="32" t="str">
        <f t="shared" si="18"/>
        <v>Jan</v>
      </c>
      <c r="D603" s="11" t="s">
        <v>16</v>
      </c>
      <c r="E603" s="13">
        <v>209733</v>
      </c>
      <c r="F603" s="13">
        <v>7117</v>
      </c>
      <c r="G603" s="13">
        <v>3</v>
      </c>
      <c r="H603" s="13">
        <v>134.95145631067899</v>
      </c>
      <c r="I603" s="13">
        <v>4.3106796116504897</v>
      </c>
      <c r="J603" s="13">
        <f t="shared" si="19"/>
        <v>139.26213592232949</v>
      </c>
      <c r="K603" s="13">
        <v>47.572815533980602</v>
      </c>
      <c r="L603" s="11" t="s">
        <v>10</v>
      </c>
      <c r="M603" s="26"/>
    </row>
    <row r="604" spans="1:13" x14ac:dyDescent="0.25">
      <c r="A604" s="6">
        <v>1.0824764683324301E+17</v>
      </c>
      <c r="B604" s="30" t="s">
        <v>153</v>
      </c>
      <c r="C604" s="32" t="str">
        <f t="shared" si="18"/>
        <v>Jan</v>
      </c>
      <c r="D604" s="11" t="s">
        <v>25</v>
      </c>
      <c r="E604" s="13">
        <v>517424</v>
      </c>
      <c r="F604" s="13">
        <v>7117</v>
      </c>
      <c r="G604" s="13">
        <v>3</v>
      </c>
      <c r="H604" s="13">
        <v>172.81553398058199</v>
      </c>
      <c r="I604" s="13">
        <v>5.1844660194174796</v>
      </c>
      <c r="J604" s="13">
        <f t="shared" si="19"/>
        <v>177.99999999999946</v>
      </c>
      <c r="K604" s="13">
        <v>56.3106796116505</v>
      </c>
      <c r="L604" s="11" t="s">
        <v>39</v>
      </c>
      <c r="M604" s="26"/>
    </row>
    <row r="605" spans="1:13" x14ac:dyDescent="0.25">
      <c r="A605" s="6">
        <v>1.1071792388748E+17</v>
      </c>
      <c r="B605" s="30" t="s">
        <v>143</v>
      </c>
      <c r="C605" s="32" t="str">
        <f t="shared" si="18"/>
        <v>Jan</v>
      </c>
      <c r="D605" s="11" t="s">
        <v>16</v>
      </c>
      <c r="E605" s="13">
        <v>226022</v>
      </c>
      <c r="F605" s="13">
        <v>7117</v>
      </c>
      <c r="G605" s="13">
        <v>3</v>
      </c>
      <c r="H605" s="13">
        <v>167.96116504854299</v>
      </c>
      <c r="I605" s="13">
        <v>5.8252427184466002</v>
      </c>
      <c r="J605" s="13">
        <f t="shared" si="19"/>
        <v>173.78640776698958</v>
      </c>
      <c r="K605" s="13">
        <v>33.009708737864102</v>
      </c>
      <c r="L605" s="11" t="s">
        <v>10</v>
      </c>
      <c r="M605" s="26"/>
    </row>
    <row r="606" spans="1:13" x14ac:dyDescent="0.25">
      <c r="A606" s="6">
        <v>1.12217523152552E+17</v>
      </c>
      <c r="B606" s="30" t="s">
        <v>158</v>
      </c>
      <c r="C606" s="32" t="str">
        <f t="shared" si="18"/>
        <v>Jan</v>
      </c>
      <c r="D606" s="11" t="s">
        <v>25</v>
      </c>
      <c r="E606" s="13">
        <v>753001</v>
      </c>
      <c r="F606" s="13">
        <v>7117</v>
      </c>
      <c r="G606" s="13">
        <v>3</v>
      </c>
      <c r="H606" s="13">
        <v>213.592233009708</v>
      </c>
      <c r="I606" s="13">
        <v>6.4077669902912602</v>
      </c>
      <c r="J606" s="13">
        <f t="shared" si="19"/>
        <v>219.99999999999926</v>
      </c>
      <c r="K606" s="13">
        <v>58.252427184466001</v>
      </c>
      <c r="L606" s="11" t="s">
        <v>54</v>
      </c>
      <c r="M606" s="26"/>
    </row>
    <row r="607" spans="1:13" x14ac:dyDescent="0.25">
      <c r="A607" s="6">
        <v>1.06010949387056E+17</v>
      </c>
      <c r="B607" s="30" t="s">
        <v>128</v>
      </c>
      <c r="C607" s="32" t="str">
        <f t="shared" si="18"/>
        <v>Jan</v>
      </c>
      <c r="D607" s="11" t="s">
        <v>16</v>
      </c>
      <c r="E607" s="13">
        <v>201102</v>
      </c>
      <c r="F607" s="13">
        <v>7117</v>
      </c>
      <c r="G607" s="13">
        <v>3</v>
      </c>
      <c r="H607" s="13">
        <v>170.873786407767</v>
      </c>
      <c r="I607" s="13">
        <v>5.2135922330097104</v>
      </c>
      <c r="J607" s="13">
        <f t="shared" si="19"/>
        <v>176.08737864077671</v>
      </c>
      <c r="K607" s="13">
        <v>54.368932038834998</v>
      </c>
      <c r="L607" s="11" t="s">
        <v>10</v>
      </c>
      <c r="M607" s="26"/>
    </row>
    <row r="608" spans="1:13" x14ac:dyDescent="0.25">
      <c r="A608" s="6">
        <v>1.1206034502323E+17</v>
      </c>
      <c r="B608" s="30" t="s">
        <v>158</v>
      </c>
      <c r="C608" s="32" t="str">
        <f t="shared" si="18"/>
        <v>Jan</v>
      </c>
      <c r="D608" s="11" t="s">
        <v>21</v>
      </c>
      <c r="E608" s="13">
        <v>847402</v>
      </c>
      <c r="F608" s="13">
        <v>7117</v>
      </c>
      <c r="G608" s="13">
        <v>3</v>
      </c>
      <c r="H608" s="13">
        <v>169.90291262135901</v>
      </c>
      <c r="I608" s="13">
        <v>5.0970873786407802</v>
      </c>
      <c r="J608" s="13">
        <f t="shared" si="19"/>
        <v>174.9999999999998</v>
      </c>
      <c r="K608" s="13">
        <v>59.223300970873801</v>
      </c>
      <c r="L608" s="11" t="s">
        <v>22</v>
      </c>
      <c r="M608" s="26"/>
    </row>
    <row r="609" spans="1:13" x14ac:dyDescent="0.25">
      <c r="A609" s="6">
        <v>1.07306177091756E+17</v>
      </c>
      <c r="B609" s="30" t="s">
        <v>140</v>
      </c>
      <c r="C609" s="32" t="str">
        <f t="shared" si="18"/>
        <v>Jan</v>
      </c>
      <c r="D609" s="11" t="s">
        <v>21</v>
      </c>
      <c r="E609" s="13">
        <v>759122</v>
      </c>
      <c r="F609" s="13">
        <v>7117</v>
      </c>
      <c r="G609" s="13">
        <v>3</v>
      </c>
      <c r="H609" s="13">
        <v>167.96116504854299</v>
      </c>
      <c r="I609" s="13">
        <v>5.0388349514563098</v>
      </c>
      <c r="J609" s="13">
        <f t="shared" si="19"/>
        <v>172.99999999999932</v>
      </c>
      <c r="K609" s="13">
        <v>58.252427184466001</v>
      </c>
      <c r="L609" s="11" t="s">
        <v>54</v>
      </c>
      <c r="M609" s="26"/>
    </row>
    <row r="610" spans="1:13" x14ac:dyDescent="0.25">
      <c r="A610" s="6">
        <v>1.14657532957584E+17</v>
      </c>
      <c r="B610" s="30" t="s">
        <v>139</v>
      </c>
      <c r="C610" s="32" t="str">
        <f t="shared" si="18"/>
        <v>Jan</v>
      </c>
      <c r="D610" s="11" t="s">
        <v>25</v>
      </c>
      <c r="E610" s="13">
        <v>411039</v>
      </c>
      <c r="F610" s="13">
        <v>7117</v>
      </c>
      <c r="G610" s="13">
        <v>3</v>
      </c>
      <c r="H610" s="13">
        <v>169.90291262135901</v>
      </c>
      <c r="I610" s="13">
        <v>5.0970873786407802</v>
      </c>
      <c r="J610" s="13">
        <f t="shared" si="19"/>
        <v>174.9999999999998</v>
      </c>
      <c r="K610" s="13">
        <v>59.223300970873801</v>
      </c>
      <c r="L610" s="11" t="s">
        <v>41</v>
      </c>
      <c r="M610" s="26"/>
    </row>
    <row r="611" spans="1:13" x14ac:dyDescent="0.25">
      <c r="A611" s="6">
        <v>1.07082584126944E+17</v>
      </c>
      <c r="B611" s="30" t="s">
        <v>150</v>
      </c>
      <c r="C611" s="32" t="str">
        <f t="shared" si="18"/>
        <v>Jan</v>
      </c>
      <c r="D611" s="11" t="s">
        <v>16</v>
      </c>
      <c r="E611" s="13">
        <v>274409</v>
      </c>
      <c r="F611" s="13">
        <v>7117</v>
      </c>
      <c r="G611" s="13">
        <v>3</v>
      </c>
      <c r="H611" s="13">
        <v>151.45631067961099</v>
      </c>
      <c r="I611" s="13">
        <v>4.8058252427184502</v>
      </c>
      <c r="J611" s="13">
        <f t="shared" si="19"/>
        <v>156.26213592232943</v>
      </c>
      <c r="K611" s="13">
        <v>47.572815533980602</v>
      </c>
      <c r="L611" s="11" t="s">
        <v>10</v>
      </c>
      <c r="M611" s="26"/>
    </row>
    <row r="612" spans="1:13" x14ac:dyDescent="0.25">
      <c r="A612" s="6">
        <v>1.1419410516418499E+17</v>
      </c>
      <c r="B612" s="30" t="s">
        <v>138</v>
      </c>
      <c r="C612" s="32" t="str">
        <f t="shared" si="18"/>
        <v>Jan</v>
      </c>
      <c r="D612" s="11" t="s">
        <v>21</v>
      </c>
      <c r="E612" s="13">
        <v>636905</v>
      </c>
      <c r="F612" s="13">
        <v>7117</v>
      </c>
      <c r="G612" s="13">
        <v>3</v>
      </c>
      <c r="H612" s="13">
        <v>169.90291262135901</v>
      </c>
      <c r="I612" s="13">
        <v>5.0970873786407802</v>
      </c>
      <c r="J612" s="13">
        <f t="shared" si="19"/>
        <v>174.9999999999998</v>
      </c>
      <c r="K612" s="13">
        <v>59.223300970873801</v>
      </c>
      <c r="L612" s="11" t="s">
        <v>27</v>
      </c>
      <c r="M612" s="26"/>
    </row>
    <row r="613" spans="1:13" x14ac:dyDescent="0.25">
      <c r="A613" s="6">
        <v>1.1616851943938E+17</v>
      </c>
      <c r="B613" s="30" t="s">
        <v>166</v>
      </c>
      <c r="C613" s="32" t="str">
        <f t="shared" si="18"/>
        <v>Jan</v>
      </c>
      <c r="D613" s="11" t="s">
        <v>9</v>
      </c>
      <c r="E613" s="13">
        <v>560026</v>
      </c>
      <c r="F613" s="13">
        <v>7117</v>
      </c>
      <c r="G613" s="13">
        <v>3</v>
      </c>
      <c r="H613" s="13">
        <v>168.93203883495099</v>
      </c>
      <c r="I613" s="13">
        <v>5.0679611650485397</v>
      </c>
      <c r="J613" s="13">
        <f t="shared" si="19"/>
        <v>173.99999999999952</v>
      </c>
      <c r="K613" s="13">
        <v>57.2815533980583</v>
      </c>
      <c r="L613" s="11" t="s">
        <v>19</v>
      </c>
      <c r="M613" s="26"/>
    </row>
    <row r="614" spans="1:13" x14ac:dyDescent="0.25">
      <c r="A614" s="6">
        <v>1.11707036489544E+17</v>
      </c>
      <c r="B614" s="30" t="s">
        <v>146</v>
      </c>
      <c r="C614" s="32" t="str">
        <f t="shared" si="18"/>
        <v>Jan</v>
      </c>
      <c r="D614" s="11" t="s">
        <v>71</v>
      </c>
      <c r="E614" s="13">
        <v>225409</v>
      </c>
      <c r="F614" s="13">
        <v>7117</v>
      </c>
      <c r="G614" s="13">
        <v>3</v>
      </c>
      <c r="H614" s="13">
        <v>138.83495145630999</v>
      </c>
      <c r="I614" s="13">
        <v>4.42718446601942</v>
      </c>
      <c r="J614" s="13">
        <f t="shared" si="19"/>
        <v>143.26213592232941</v>
      </c>
      <c r="K614" s="13">
        <v>50.485436893203897</v>
      </c>
      <c r="L614" s="11" t="s">
        <v>10</v>
      </c>
      <c r="M614" s="26"/>
    </row>
    <row r="615" spans="1:13" x14ac:dyDescent="0.25">
      <c r="A615" s="6">
        <v>1.0958705468669901E+17</v>
      </c>
      <c r="B615" s="30" t="s">
        <v>164</v>
      </c>
      <c r="C615" s="32" t="str">
        <f t="shared" si="18"/>
        <v>Jan</v>
      </c>
      <c r="D615" s="11" t="s">
        <v>21</v>
      </c>
      <c r="E615" s="13">
        <v>403516</v>
      </c>
      <c r="F615" s="13">
        <v>7117</v>
      </c>
      <c r="G615" s="13">
        <v>3</v>
      </c>
      <c r="H615" s="13">
        <v>166.01941747572801</v>
      </c>
      <c r="I615" s="13">
        <v>4.9805825242718402</v>
      </c>
      <c r="J615" s="13">
        <f t="shared" si="19"/>
        <v>170.99999999999986</v>
      </c>
      <c r="K615" s="13">
        <v>57.2815533980583</v>
      </c>
      <c r="L615" s="11" t="s">
        <v>104</v>
      </c>
      <c r="M615" s="26"/>
    </row>
    <row r="616" spans="1:13" x14ac:dyDescent="0.25">
      <c r="A616" s="6">
        <v>1.1646178993668099E+17</v>
      </c>
      <c r="B616" s="30" t="s">
        <v>152</v>
      </c>
      <c r="C616" s="32" t="str">
        <f t="shared" si="18"/>
        <v>Jan</v>
      </c>
      <c r="D616" s="11" t="s">
        <v>9</v>
      </c>
      <c r="E616" s="13">
        <v>302016</v>
      </c>
      <c r="F616" s="13">
        <v>7117</v>
      </c>
      <c r="G616" s="13">
        <v>3</v>
      </c>
      <c r="H616" s="13">
        <v>166.990291262135</v>
      </c>
      <c r="I616" s="13">
        <v>5.2718446601941702</v>
      </c>
      <c r="J616" s="13">
        <f t="shared" si="19"/>
        <v>172.26213592232918</v>
      </c>
      <c r="K616" s="13">
        <v>50.485436893203897</v>
      </c>
      <c r="L616" s="11" t="s">
        <v>46</v>
      </c>
      <c r="M616" s="26"/>
    </row>
    <row r="617" spans="1:13" x14ac:dyDescent="0.25">
      <c r="A617" s="6">
        <v>1.11429733144884E+17</v>
      </c>
      <c r="B617" s="30" t="s">
        <v>145</v>
      </c>
      <c r="C617" s="32" t="str">
        <f t="shared" si="18"/>
        <v>Jan</v>
      </c>
      <c r="D617" s="11" t="s">
        <v>16</v>
      </c>
      <c r="E617" s="13">
        <v>122508</v>
      </c>
      <c r="F617" s="13">
        <v>7117</v>
      </c>
      <c r="G617" s="13">
        <v>3</v>
      </c>
      <c r="H617" s="13">
        <v>161.16504854368901</v>
      </c>
      <c r="I617" s="13">
        <v>5.0970873786407802</v>
      </c>
      <c r="J617" s="13">
        <f t="shared" si="19"/>
        <v>166.2621359223298</v>
      </c>
      <c r="K617" s="13">
        <v>50.485436893203897</v>
      </c>
      <c r="L617" s="11" t="s">
        <v>63</v>
      </c>
      <c r="M617" s="26"/>
    </row>
    <row r="618" spans="1:13" x14ac:dyDescent="0.25">
      <c r="A618" s="6">
        <v>1.1544255146455299E+17</v>
      </c>
      <c r="B618" s="30" t="s">
        <v>136</v>
      </c>
      <c r="C618" s="32" t="str">
        <f t="shared" si="18"/>
        <v>Jan</v>
      </c>
      <c r="D618" s="11" t="s">
        <v>9</v>
      </c>
      <c r="E618" s="13">
        <v>425001</v>
      </c>
      <c r="F618" s="13">
        <v>7117</v>
      </c>
      <c r="G618" s="13">
        <v>3</v>
      </c>
      <c r="H618" s="13">
        <v>136.893203883495</v>
      </c>
      <c r="I618" s="13">
        <v>4.1067961165048503</v>
      </c>
      <c r="J618" s="13">
        <f t="shared" si="19"/>
        <v>140.99999999999986</v>
      </c>
      <c r="K618" s="13">
        <v>57.2815533980583</v>
      </c>
      <c r="L618" s="11" t="s">
        <v>41</v>
      </c>
      <c r="M618" s="26"/>
    </row>
    <row r="619" spans="1:13" x14ac:dyDescent="0.25">
      <c r="A619" s="6">
        <v>1.11403680594686E+17</v>
      </c>
      <c r="B619" s="30" t="s">
        <v>145</v>
      </c>
      <c r="C619" s="32" t="str">
        <f t="shared" si="18"/>
        <v>Jan</v>
      </c>
      <c r="D619" s="11" t="s">
        <v>16</v>
      </c>
      <c r="E619" s="13">
        <v>502103</v>
      </c>
      <c r="F619" s="13">
        <v>7117</v>
      </c>
      <c r="G619" s="13">
        <v>3</v>
      </c>
      <c r="H619" s="13">
        <v>147.57281553397999</v>
      </c>
      <c r="I619" s="13">
        <v>4.42718446601942</v>
      </c>
      <c r="J619" s="13">
        <f t="shared" si="19"/>
        <v>151.9999999999994</v>
      </c>
      <c r="K619" s="13">
        <v>59.223300970873801</v>
      </c>
      <c r="L619" s="11" t="s">
        <v>53</v>
      </c>
      <c r="M619" s="26"/>
    </row>
    <row r="620" spans="1:13" x14ac:dyDescent="0.25">
      <c r="A620" s="6">
        <v>1.06927010359472E+17</v>
      </c>
      <c r="B620" s="30" t="s">
        <v>150</v>
      </c>
      <c r="C620" s="32" t="str">
        <f t="shared" si="18"/>
        <v>Jan</v>
      </c>
      <c r="D620" s="11" t="s">
        <v>16</v>
      </c>
      <c r="E620" s="13">
        <v>276123</v>
      </c>
      <c r="F620" s="13">
        <v>7117</v>
      </c>
      <c r="G620" s="13">
        <v>3</v>
      </c>
      <c r="H620" s="13">
        <v>139.80582524271799</v>
      </c>
      <c r="I620" s="13">
        <v>4.4563106796116498</v>
      </c>
      <c r="J620" s="13">
        <f t="shared" si="19"/>
        <v>144.26213592232963</v>
      </c>
      <c r="K620" s="13">
        <v>47.572815533980602</v>
      </c>
      <c r="L620" s="11" t="s">
        <v>10</v>
      </c>
      <c r="M620" s="26"/>
    </row>
    <row r="621" spans="1:13" x14ac:dyDescent="0.25">
      <c r="A621" s="6">
        <v>1.1465603226916701E+17</v>
      </c>
      <c r="B621" s="30" t="s">
        <v>139</v>
      </c>
      <c r="C621" s="32" t="str">
        <f t="shared" si="18"/>
        <v>Jan</v>
      </c>
      <c r="D621" s="11" t="s">
        <v>16</v>
      </c>
      <c r="E621" s="13">
        <v>360001</v>
      </c>
      <c r="F621" s="13">
        <v>7117</v>
      </c>
      <c r="G621" s="13">
        <v>3</v>
      </c>
      <c r="H621" s="13">
        <v>172.81553398058199</v>
      </c>
      <c r="I621" s="13">
        <v>5.1844660194174796</v>
      </c>
      <c r="J621" s="13">
        <f t="shared" si="19"/>
        <v>177.99999999999946</v>
      </c>
      <c r="K621" s="13">
        <v>56.3106796116505</v>
      </c>
      <c r="L621" s="11" t="s">
        <v>12</v>
      </c>
      <c r="M621" s="26"/>
    </row>
    <row r="622" spans="1:13" x14ac:dyDescent="0.25">
      <c r="A622" s="6">
        <v>1.1657946040870099E+17</v>
      </c>
      <c r="B622" s="30" t="s">
        <v>152</v>
      </c>
      <c r="C622" s="32" t="str">
        <f t="shared" si="18"/>
        <v>Jan</v>
      </c>
      <c r="D622" s="11" t="s">
        <v>9</v>
      </c>
      <c r="E622" s="13">
        <v>490023</v>
      </c>
      <c r="F622" s="13">
        <v>7117</v>
      </c>
      <c r="G622" s="13">
        <v>3</v>
      </c>
      <c r="H622" s="13">
        <v>151.45631067961099</v>
      </c>
      <c r="I622" s="13">
        <v>4.5436893203883502</v>
      </c>
      <c r="J622" s="13">
        <f t="shared" si="19"/>
        <v>155.99999999999935</v>
      </c>
      <c r="K622" s="13">
        <v>59.223300970873801</v>
      </c>
      <c r="L622" s="11" t="s">
        <v>23</v>
      </c>
      <c r="M622" s="26"/>
    </row>
    <row r="623" spans="1:13" x14ac:dyDescent="0.25">
      <c r="A623" s="6">
        <v>1.1259028933564E+17</v>
      </c>
      <c r="B623" s="30" t="s">
        <v>154</v>
      </c>
      <c r="C623" s="32" t="str">
        <f t="shared" si="18"/>
        <v>Jan</v>
      </c>
      <c r="D623" s="11" t="s">
        <v>25</v>
      </c>
      <c r="E623" s="13">
        <v>390010</v>
      </c>
      <c r="F623" s="13">
        <v>7117</v>
      </c>
      <c r="G623" s="13">
        <v>3</v>
      </c>
      <c r="H623" s="13">
        <v>147.57281553397999</v>
      </c>
      <c r="I623" s="13">
        <v>4.42718446601942</v>
      </c>
      <c r="J623" s="13">
        <f t="shared" si="19"/>
        <v>151.9999999999994</v>
      </c>
      <c r="K623" s="13">
        <v>59.223300970873801</v>
      </c>
      <c r="L623" s="11" t="s">
        <v>12</v>
      </c>
      <c r="M623" s="26"/>
    </row>
    <row r="624" spans="1:13" x14ac:dyDescent="0.25">
      <c r="A624" s="6">
        <v>1.1151303840294499E+17</v>
      </c>
      <c r="B624" s="30" t="s">
        <v>145</v>
      </c>
      <c r="C624" s="32" t="str">
        <f t="shared" si="18"/>
        <v>Jan</v>
      </c>
      <c r="D624" s="11" t="s">
        <v>21</v>
      </c>
      <c r="E624" s="13">
        <v>583236</v>
      </c>
      <c r="F624" s="13">
        <v>7117</v>
      </c>
      <c r="G624" s="13">
        <v>3</v>
      </c>
      <c r="H624" s="13">
        <v>153.39805825242701</v>
      </c>
      <c r="I624" s="13">
        <v>5.0679611650485397</v>
      </c>
      <c r="J624" s="13">
        <f t="shared" si="19"/>
        <v>158.46601941747554</v>
      </c>
      <c r="K624" s="13">
        <v>42.7184466019418</v>
      </c>
      <c r="L624" s="11" t="s">
        <v>19</v>
      </c>
      <c r="M624" s="26"/>
    </row>
    <row r="625" spans="1:13" x14ac:dyDescent="0.25">
      <c r="A625" s="6">
        <v>1.1221667272451299E+17</v>
      </c>
      <c r="B625" s="30" t="s">
        <v>158</v>
      </c>
      <c r="C625" s="32" t="str">
        <f t="shared" si="18"/>
        <v>Jan</v>
      </c>
      <c r="D625" s="11" t="s">
        <v>16</v>
      </c>
      <c r="E625" s="13">
        <v>560091</v>
      </c>
      <c r="F625" s="13">
        <v>7117</v>
      </c>
      <c r="G625" s="13">
        <v>3</v>
      </c>
      <c r="H625" s="13">
        <v>151.45631067961099</v>
      </c>
      <c r="I625" s="13">
        <v>5.0970873786407802</v>
      </c>
      <c r="J625" s="13">
        <f t="shared" si="19"/>
        <v>156.55339805825179</v>
      </c>
      <c r="K625" s="13">
        <v>40.776699029126199</v>
      </c>
      <c r="L625" s="11" t="s">
        <v>19</v>
      </c>
      <c r="M625" s="26"/>
    </row>
    <row r="626" spans="1:13" x14ac:dyDescent="0.25">
      <c r="A626" s="6">
        <v>1.0712681972072099E+17</v>
      </c>
      <c r="B626" s="30" t="s">
        <v>150</v>
      </c>
      <c r="C626" s="32" t="str">
        <f t="shared" si="18"/>
        <v>Jan</v>
      </c>
      <c r="D626" s="11" t="s">
        <v>25</v>
      </c>
      <c r="E626" s="13">
        <v>457339</v>
      </c>
      <c r="F626" s="13">
        <v>7117</v>
      </c>
      <c r="G626" s="13">
        <v>3</v>
      </c>
      <c r="H626" s="13">
        <v>143.68932038834899</v>
      </c>
      <c r="I626" s="13">
        <v>4.3106796116504897</v>
      </c>
      <c r="J626" s="13">
        <f t="shared" si="19"/>
        <v>147.99999999999949</v>
      </c>
      <c r="K626" s="13">
        <v>56.3106796116505</v>
      </c>
      <c r="L626" s="11" t="s">
        <v>26</v>
      </c>
      <c r="M626" s="26"/>
    </row>
    <row r="627" spans="1:13" x14ac:dyDescent="0.25">
      <c r="A627" s="6">
        <v>1.07143652639536E+17</v>
      </c>
      <c r="B627" s="30" t="s">
        <v>150</v>
      </c>
      <c r="C627" s="32" t="str">
        <f t="shared" si="18"/>
        <v>Jan</v>
      </c>
      <c r="D627" s="11" t="s">
        <v>16</v>
      </c>
      <c r="E627" s="13">
        <v>700018</v>
      </c>
      <c r="F627" s="13">
        <v>7117</v>
      </c>
      <c r="G627" s="13">
        <v>3</v>
      </c>
      <c r="H627" s="13">
        <v>137.864077669902</v>
      </c>
      <c r="I627" s="13">
        <v>4.13592233009709</v>
      </c>
      <c r="J627" s="13">
        <f t="shared" si="19"/>
        <v>141.99999999999909</v>
      </c>
      <c r="K627" s="13">
        <v>59.223300970873801</v>
      </c>
      <c r="L627" s="11" t="s">
        <v>14</v>
      </c>
      <c r="M627" s="26"/>
    </row>
    <row r="628" spans="1:13" x14ac:dyDescent="0.25">
      <c r="A628" s="6">
        <v>1.1060349876194099E+17</v>
      </c>
      <c r="B628" s="30" t="s">
        <v>143</v>
      </c>
      <c r="C628" s="32" t="str">
        <f t="shared" si="18"/>
        <v>Jan</v>
      </c>
      <c r="D628" s="11" t="s">
        <v>21</v>
      </c>
      <c r="E628" s="13">
        <v>517619</v>
      </c>
      <c r="F628" s="13">
        <v>7117</v>
      </c>
      <c r="G628" s="13">
        <v>3</v>
      </c>
      <c r="H628" s="13">
        <v>159.223300970873</v>
      </c>
      <c r="I628" s="13">
        <v>5.0679611650485397</v>
      </c>
      <c r="J628" s="13">
        <f t="shared" si="19"/>
        <v>164.29126213592153</v>
      </c>
      <c r="K628" s="13">
        <v>48.543689320388303</v>
      </c>
      <c r="L628" s="11" t="s">
        <v>39</v>
      </c>
      <c r="M628" s="26"/>
    </row>
    <row r="629" spans="1:13" x14ac:dyDescent="0.25">
      <c r="A629" s="6">
        <v>1.07806223428116E+17</v>
      </c>
      <c r="B629" s="30" t="s">
        <v>141</v>
      </c>
      <c r="C629" s="32" t="str">
        <f t="shared" si="18"/>
        <v>Jan</v>
      </c>
      <c r="D629" s="11" t="s">
        <v>16</v>
      </c>
      <c r="E629" s="13">
        <v>396195</v>
      </c>
      <c r="F629" s="13">
        <v>7117</v>
      </c>
      <c r="G629" s="13">
        <v>3</v>
      </c>
      <c r="H629" s="13">
        <v>119.417475728155</v>
      </c>
      <c r="I629" s="13">
        <v>3.5825242718446599</v>
      </c>
      <c r="J629" s="13">
        <f t="shared" si="19"/>
        <v>122.99999999999966</v>
      </c>
      <c r="K629" s="13">
        <v>57.2815533980583</v>
      </c>
      <c r="L629" s="11" t="s">
        <v>12</v>
      </c>
      <c r="M629" s="26"/>
    </row>
    <row r="630" spans="1:13" x14ac:dyDescent="0.25">
      <c r="A630" s="6">
        <v>1.0700399677410099E+17</v>
      </c>
      <c r="B630" s="30" t="s">
        <v>150</v>
      </c>
      <c r="C630" s="32" t="str">
        <f t="shared" si="18"/>
        <v>Jan</v>
      </c>
      <c r="D630" s="11" t="s">
        <v>25</v>
      </c>
      <c r="E630" s="13">
        <v>627106</v>
      </c>
      <c r="F630" s="13">
        <v>7117</v>
      </c>
      <c r="G630" s="13">
        <v>3</v>
      </c>
      <c r="H630" s="13">
        <v>143.68932038834899</v>
      </c>
      <c r="I630" s="13">
        <v>4.3106796116504897</v>
      </c>
      <c r="J630" s="13">
        <f t="shared" si="19"/>
        <v>147.99999999999949</v>
      </c>
      <c r="K630" s="13">
        <v>56.3106796116505</v>
      </c>
      <c r="L630" s="11" t="s">
        <v>27</v>
      </c>
      <c r="M630" s="26"/>
    </row>
    <row r="631" spans="1:13" x14ac:dyDescent="0.25">
      <c r="A631" s="6">
        <v>1.1288557552749699E+17</v>
      </c>
      <c r="B631" s="30" t="s">
        <v>159</v>
      </c>
      <c r="C631" s="32" t="str">
        <f t="shared" si="18"/>
        <v>Jan</v>
      </c>
      <c r="D631" s="11" t="s">
        <v>9</v>
      </c>
      <c r="E631" s="13">
        <v>641050</v>
      </c>
      <c r="F631" s="13">
        <v>7117</v>
      </c>
      <c r="G631" s="13">
        <v>3</v>
      </c>
      <c r="H631" s="13">
        <v>136.893203883495</v>
      </c>
      <c r="I631" s="13">
        <v>4.1067961165048503</v>
      </c>
      <c r="J631" s="13">
        <f t="shared" si="19"/>
        <v>140.99999999999986</v>
      </c>
      <c r="K631" s="13">
        <v>57.2815533980583</v>
      </c>
      <c r="L631" s="11" t="s">
        <v>27</v>
      </c>
      <c r="M631" s="26"/>
    </row>
    <row r="632" spans="1:13" x14ac:dyDescent="0.25">
      <c r="A632" s="6">
        <v>1.10436791136616E+17</v>
      </c>
      <c r="B632" s="30" t="s">
        <v>167</v>
      </c>
      <c r="C632" s="32" t="str">
        <f t="shared" si="18"/>
        <v>Jan</v>
      </c>
      <c r="D632" s="11" t="s">
        <v>16</v>
      </c>
      <c r="E632" s="13">
        <v>140603</v>
      </c>
      <c r="F632" s="13">
        <v>7117</v>
      </c>
      <c r="G632" s="13">
        <v>3</v>
      </c>
      <c r="H632" s="13">
        <v>147.57281553397999</v>
      </c>
      <c r="I632" s="13">
        <v>5.0970873786407802</v>
      </c>
      <c r="J632" s="13">
        <f t="shared" si="19"/>
        <v>152.66990291262078</v>
      </c>
      <c r="K632" s="13">
        <v>36.893203883495197</v>
      </c>
      <c r="L632" s="11" t="s">
        <v>17</v>
      </c>
      <c r="M632" s="26"/>
    </row>
    <row r="633" spans="1:13" x14ac:dyDescent="0.25">
      <c r="A633" s="6">
        <v>1.1060120889238301E+17</v>
      </c>
      <c r="B633" s="30" t="s">
        <v>143</v>
      </c>
      <c r="C633" s="32" t="str">
        <f t="shared" si="18"/>
        <v>Jan</v>
      </c>
      <c r="D633" s="11" t="s">
        <v>25</v>
      </c>
      <c r="E633" s="13">
        <v>788734</v>
      </c>
      <c r="F633" s="13">
        <v>7117</v>
      </c>
      <c r="G633" s="13">
        <v>3</v>
      </c>
      <c r="H633" s="13">
        <v>175.728155339805</v>
      </c>
      <c r="I633" s="13">
        <v>5.2718446601941702</v>
      </c>
      <c r="J633" s="13">
        <f t="shared" si="19"/>
        <v>180.99999999999918</v>
      </c>
      <c r="K633" s="13">
        <v>77.669902912621396</v>
      </c>
      <c r="L633" s="11" t="s">
        <v>35</v>
      </c>
      <c r="M633" s="26"/>
    </row>
    <row r="634" spans="1:13" x14ac:dyDescent="0.25">
      <c r="A634" s="6">
        <v>1.0893901881455E+17</v>
      </c>
      <c r="B634" s="30" t="s">
        <v>160</v>
      </c>
      <c r="C634" s="32" t="str">
        <f t="shared" si="18"/>
        <v>Jan</v>
      </c>
      <c r="D634" s="11" t="s">
        <v>16</v>
      </c>
      <c r="E634" s="13">
        <v>151001</v>
      </c>
      <c r="F634" s="13">
        <v>7117</v>
      </c>
      <c r="G634" s="13">
        <v>3</v>
      </c>
      <c r="H634" s="13">
        <v>151.45631067961099</v>
      </c>
      <c r="I634" s="13">
        <v>5.1844660194174796</v>
      </c>
      <c r="J634" s="13">
        <f t="shared" si="19"/>
        <v>156.64077669902846</v>
      </c>
      <c r="K634" s="13">
        <v>34.951456310679603</v>
      </c>
      <c r="L634" s="11" t="s">
        <v>17</v>
      </c>
      <c r="M634" s="26"/>
    </row>
    <row r="635" spans="1:13" x14ac:dyDescent="0.25">
      <c r="A635" s="6">
        <v>1.0668162725789299E+17</v>
      </c>
      <c r="B635" s="30" t="s">
        <v>163</v>
      </c>
      <c r="C635" s="32" t="str">
        <f t="shared" si="18"/>
        <v>Jan</v>
      </c>
      <c r="D635" s="11" t="s">
        <v>16</v>
      </c>
      <c r="E635" s="13">
        <v>247129</v>
      </c>
      <c r="F635" s="13">
        <v>7117</v>
      </c>
      <c r="G635" s="13">
        <v>3</v>
      </c>
      <c r="H635" s="13">
        <v>166.01941747572801</v>
      </c>
      <c r="I635" s="13">
        <v>5.2427184466019403</v>
      </c>
      <c r="J635" s="13">
        <f t="shared" si="19"/>
        <v>171.26213592232995</v>
      </c>
      <c r="K635" s="13">
        <v>49.514563106796103</v>
      </c>
      <c r="L635" s="11" t="s">
        <v>10</v>
      </c>
      <c r="M635" s="26"/>
    </row>
    <row r="636" spans="1:13" x14ac:dyDescent="0.25">
      <c r="A636" s="6">
        <v>1.09659068779754E+17</v>
      </c>
      <c r="B636" s="30" t="s">
        <v>164</v>
      </c>
      <c r="C636" s="32" t="str">
        <f t="shared" si="18"/>
        <v>Jan</v>
      </c>
      <c r="D636" s="11" t="s">
        <v>16</v>
      </c>
      <c r="E636" s="13">
        <v>734001</v>
      </c>
      <c r="F636" s="13">
        <v>7117</v>
      </c>
      <c r="G636" s="13">
        <v>3</v>
      </c>
      <c r="H636" s="13">
        <v>141.747572815534</v>
      </c>
      <c r="I636" s="13">
        <v>4.8058252427184502</v>
      </c>
      <c r="J636" s="13">
        <f t="shared" si="19"/>
        <v>146.55339805825244</v>
      </c>
      <c r="K636" s="13">
        <v>38.834951456310698</v>
      </c>
      <c r="L636" s="11" t="s">
        <v>14</v>
      </c>
      <c r="M636" s="26"/>
    </row>
    <row r="637" spans="1:13" x14ac:dyDescent="0.25">
      <c r="A637" s="6">
        <v>1.0703705143973901E+17</v>
      </c>
      <c r="B637" s="30" t="s">
        <v>150</v>
      </c>
      <c r="C637" s="32" t="str">
        <f t="shared" si="18"/>
        <v>Jan</v>
      </c>
      <c r="D637" s="11" t="s">
        <v>21</v>
      </c>
      <c r="E637" s="13">
        <v>843329</v>
      </c>
      <c r="F637" s="13">
        <v>7117</v>
      </c>
      <c r="G637" s="13">
        <v>3</v>
      </c>
      <c r="H637" s="13">
        <v>137.864077669902</v>
      </c>
      <c r="I637" s="13">
        <v>4.13592233009709</v>
      </c>
      <c r="J637" s="13">
        <f t="shared" si="19"/>
        <v>141.99999999999909</v>
      </c>
      <c r="K637" s="13">
        <v>59.223300970873801</v>
      </c>
      <c r="L637" s="11" t="s">
        <v>22</v>
      </c>
      <c r="M637" s="26"/>
    </row>
    <row r="638" spans="1:13" x14ac:dyDescent="0.25">
      <c r="A638" s="6">
        <v>1.0731413328501101E+17</v>
      </c>
      <c r="B638" s="30" t="s">
        <v>140</v>
      </c>
      <c r="C638" s="32" t="str">
        <f t="shared" si="18"/>
        <v>Jan</v>
      </c>
      <c r="D638" s="11" t="s">
        <v>16</v>
      </c>
      <c r="E638" s="13">
        <v>562123</v>
      </c>
      <c r="F638" s="13">
        <v>7117</v>
      </c>
      <c r="G638" s="13">
        <v>3</v>
      </c>
      <c r="H638" s="13">
        <v>167.96116504854299</v>
      </c>
      <c r="I638" s="13">
        <v>5.0388349514563098</v>
      </c>
      <c r="J638" s="13">
        <f t="shared" si="19"/>
        <v>172.99999999999932</v>
      </c>
      <c r="K638" s="13">
        <v>58.252427184466001</v>
      </c>
      <c r="L638" s="11" t="s">
        <v>19</v>
      </c>
      <c r="M638" s="26"/>
    </row>
    <row r="639" spans="1:13" x14ac:dyDescent="0.25">
      <c r="A639" s="6">
        <v>1.09557143327142E+17</v>
      </c>
      <c r="B639" s="30" t="s">
        <v>164</v>
      </c>
      <c r="C639" s="32" t="str">
        <f t="shared" si="18"/>
        <v>Jan</v>
      </c>
      <c r="D639" s="11" t="s">
        <v>16</v>
      </c>
      <c r="E639" s="13">
        <v>276123</v>
      </c>
      <c r="F639" s="13">
        <v>7117</v>
      </c>
      <c r="G639" s="13">
        <v>3</v>
      </c>
      <c r="H639" s="13">
        <v>138.83495145630999</v>
      </c>
      <c r="I639" s="13">
        <v>4.42718446601942</v>
      </c>
      <c r="J639" s="13">
        <f t="shared" si="19"/>
        <v>143.26213592232941</v>
      </c>
      <c r="K639" s="13">
        <v>50.485436893203897</v>
      </c>
      <c r="L639" s="11" t="s">
        <v>10</v>
      </c>
      <c r="M639" s="26"/>
    </row>
    <row r="640" spans="1:13" x14ac:dyDescent="0.25">
      <c r="A640" s="6">
        <v>1.1417998451988499E+17</v>
      </c>
      <c r="B640" s="30" t="s">
        <v>138</v>
      </c>
      <c r="C640" s="32" t="str">
        <f t="shared" si="18"/>
        <v>Jan</v>
      </c>
      <c r="D640" s="11" t="s">
        <v>16</v>
      </c>
      <c r="E640" s="13">
        <v>848213</v>
      </c>
      <c r="F640" s="13">
        <v>7117</v>
      </c>
      <c r="G640" s="13">
        <v>3</v>
      </c>
      <c r="H640" s="13">
        <v>172.81553398058199</v>
      </c>
      <c r="I640" s="13">
        <v>5.1844660194174796</v>
      </c>
      <c r="J640" s="13">
        <f t="shared" si="19"/>
        <v>177.99999999999946</v>
      </c>
      <c r="K640" s="13">
        <v>56.3106796116505</v>
      </c>
      <c r="L640" s="11" t="s">
        <v>22</v>
      </c>
      <c r="M640" s="26"/>
    </row>
    <row r="641" spans="1:13" x14ac:dyDescent="0.25">
      <c r="A641" s="6">
        <v>1.06665745592906E+17</v>
      </c>
      <c r="B641" s="30" t="s">
        <v>163</v>
      </c>
      <c r="C641" s="32" t="str">
        <f t="shared" si="18"/>
        <v>Jan</v>
      </c>
      <c r="D641" s="11" t="s">
        <v>16</v>
      </c>
      <c r="E641" s="13">
        <v>207001</v>
      </c>
      <c r="F641" s="13">
        <v>7117</v>
      </c>
      <c r="G641" s="13">
        <v>3</v>
      </c>
      <c r="H641" s="13">
        <v>155.339805825242</v>
      </c>
      <c r="I641" s="13">
        <v>5.2135922330097104</v>
      </c>
      <c r="J641" s="13">
        <f t="shared" si="19"/>
        <v>160.5533980582517</v>
      </c>
      <c r="K641" s="13">
        <v>38.834951456310698</v>
      </c>
      <c r="L641" s="11" t="s">
        <v>10</v>
      </c>
      <c r="M641" s="26"/>
    </row>
    <row r="642" spans="1:13" x14ac:dyDescent="0.25">
      <c r="A642" s="6">
        <v>1.07487053285192E+17</v>
      </c>
      <c r="B642" s="30" t="s">
        <v>140</v>
      </c>
      <c r="C642" s="32" t="str">
        <f t="shared" si="18"/>
        <v>Jan</v>
      </c>
      <c r="D642" s="11" t="s">
        <v>16</v>
      </c>
      <c r="E642" s="13">
        <v>304504</v>
      </c>
      <c r="F642" s="13">
        <v>7117</v>
      </c>
      <c r="G642" s="13">
        <v>3</v>
      </c>
      <c r="H642" s="13">
        <v>138.83495145630999</v>
      </c>
      <c r="I642" s="13">
        <v>4.86407766990291</v>
      </c>
      <c r="J642" s="13">
        <f t="shared" si="19"/>
        <v>143.69902912621291</v>
      </c>
      <c r="K642" s="13">
        <v>34.951456310679603</v>
      </c>
      <c r="L642" s="11" t="s">
        <v>46</v>
      </c>
      <c r="M642" s="26"/>
    </row>
    <row r="643" spans="1:13" x14ac:dyDescent="0.25">
      <c r="A643" s="6">
        <v>1.1142384502573901E+17</v>
      </c>
      <c r="B643" s="30" t="s">
        <v>145</v>
      </c>
      <c r="C643" s="32" t="str">
        <f t="shared" ref="C643:C706" si="20">TEXT(B643, "mmm")</f>
        <v>Jan</v>
      </c>
      <c r="D643" s="11" t="s">
        <v>25</v>
      </c>
      <c r="E643" s="13">
        <v>700016</v>
      </c>
      <c r="F643" s="13">
        <v>7117</v>
      </c>
      <c r="G643" s="13">
        <v>3</v>
      </c>
      <c r="H643" s="13">
        <v>175.728155339805</v>
      </c>
      <c r="I643" s="13">
        <v>5.8252427184466002</v>
      </c>
      <c r="J643" s="13">
        <f t="shared" ref="J643:J706" si="21">H643+I643</f>
        <v>181.55339805825159</v>
      </c>
      <c r="K643" s="13">
        <v>40.776699029126199</v>
      </c>
      <c r="L643" s="11" t="s">
        <v>14</v>
      </c>
      <c r="M643" s="26"/>
    </row>
    <row r="644" spans="1:13" x14ac:dyDescent="0.25">
      <c r="A644" s="6">
        <v>1.06365826774266E+17</v>
      </c>
      <c r="B644" s="30" t="s">
        <v>156</v>
      </c>
      <c r="C644" s="32" t="str">
        <f t="shared" si="20"/>
        <v>Jan</v>
      </c>
      <c r="D644" s="11" t="s">
        <v>16</v>
      </c>
      <c r="E644" s="13">
        <v>110076</v>
      </c>
      <c r="F644" s="13">
        <v>7117</v>
      </c>
      <c r="G644" s="13">
        <v>3</v>
      </c>
      <c r="H644" s="13">
        <v>224.27184466019401</v>
      </c>
      <c r="I644" s="13">
        <v>6.9902912621359201</v>
      </c>
      <c r="J644" s="13">
        <f t="shared" si="21"/>
        <v>231.26213592232992</v>
      </c>
      <c r="K644" s="13">
        <v>50.485436893203897</v>
      </c>
      <c r="L644" s="11" t="s">
        <v>28</v>
      </c>
      <c r="M644" s="26"/>
    </row>
    <row r="645" spans="1:13" x14ac:dyDescent="0.25">
      <c r="A645" s="6">
        <v>1.1371784801002301E+17</v>
      </c>
      <c r="B645" s="30" t="s">
        <v>147</v>
      </c>
      <c r="C645" s="32" t="str">
        <f t="shared" si="20"/>
        <v>Jan</v>
      </c>
      <c r="D645" s="11" t="s">
        <v>16</v>
      </c>
      <c r="E645" s="13">
        <v>453112</v>
      </c>
      <c r="F645" s="13">
        <v>7117</v>
      </c>
      <c r="G645" s="13">
        <v>3</v>
      </c>
      <c r="H645" s="13">
        <v>194.17475728155301</v>
      </c>
      <c r="I645" s="13">
        <v>5.8252427184466002</v>
      </c>
      <c r="J645" s="13">
        <f t="shared" si="21"/>
        <v>199.9999999999996</v>
      </c>
      <c r="K645" s="13">
        <v>59.223300970873801</v>
      </c>
      <c r="L645" s="11" t="s">
        <v>26</v>
      </c>
      <c r="M645" s="26"/>
    </row>
    <row r="646" spans="1:13" x14ac:dyDescent="0.25">
      <c r="A646" s="6">
        <v>1.1313074302644701E+17</v>
      </c>
      <c r="B646" s="30" t="s">
        <v>162</v>
      </c>
      <c r="C646" s="32" t="str">
        <f t="shared" si="20"/>
        <v>Jan</v>
      </c>
      <c r="D646" s="11" t="s">
        <v>16</v>
      </c>
      <c r="E646" s="13">
        <v>605202</v>
      </c>
      <c r="F646" s="13">
        <v>7117</v>
      </c>
      <c r="G646" s="13">
        <v>3</v>
      </c>
      <c r="H646" s="13">
        <v>169.90291262135901</v>
      </c>
      <c r="I646" s="13">
        <v>5.0970873786407802</v>
      </c>
      <c r="J646" s="13">
        <f t="shared" si="21"/>
        <v>174.9999999999998</v>
      </c>
      <c r="K646" s="13">
        <v>59.223300970873801</v>
      </c>
      <c r="L646" s="11" t="s">
        <v>27</v>
      </c>
      <c r="M646" s="26"/>
    </row>
    <row r="647" spans="1:13" x14ac:dyDescent="0.25">
      <c r="A647" s="6">
        <v>1.1224300775096E+17</v>
      </c>
      <c r="B647" s="30" t="s">
        <v>158</v>
      </c>
      <c r="C647" s="32" t="str">
        <f t="shared" si="20"/>
        <v>Jan</v>
      </c>
      <c r="D647" s="11" t="s">
        <v>16</v>
      </c>
      <c r="E647" s="13">
        <v>835227</v>
      </c>
      <c r="F647" s="13">
        <v>7117</v>
      </c>
      <c r="G647" s="13">
        <v>3</v>
      </c>
      <c r="H647" s="13">
        <v>119.417475728155</v>
      </c>
      <c r="I647" s="13">
        <v>4.1067961165048503</v>
      </c>
      <c r="J647" s="13">
        <f t="shared" si="21"/>
        <v>123.52427184465985</v>
      </c>
      <c r="K647" s="13">
        <v>39.805825242718498</v>
      </c>
      <c r="L647" s="11" t="s">
        <v>37</v>
      </c>
      <c r="M647" s="26"/>
    </row>
    <row r="648" spans="1:13" x14ac:dyDescent="0.25">
      <c r="A648" s="6">
        <v>1.16896252511284E+17</v>
      </c>
      <c r="B648" s="30" t="s">
        <v>144</v>
      </c>
      <c r="C648" s="32" t="str">
        <f t="shared" si="20"/>
        <v>Jan</v>
      </c>
      <c r="D648" s="11" t="s">
        <v>9</v>
      </c>
      <c r="E648" s="13">
        <v>533341</v>
      </c>
      <c r="F648" s="13">
        <v>7117</v>
      </c>
      <c r="G648" s="13">
        <v>3</v>
      </c>
      <c r="H648" s="13">
        <v>172.81553398058199</v>
      </c>
      <c r="I648" s="13">
        <v>5.1844660194174796</v>
      </c>
      <c r="J648" s="13">
        <f t="shared" si="21"/>
        <v>177.99999999999946</v>
      </c>
      <c r="K648" s="13">
        <v>56.3106796116505</v>
      </c>
      <c r="L648" s="11" t="s">
        <v>39</v>
      </c>
      <c r="M648" s="26"/>
    </row>
    <row r="649" spans="1:13" x14ac:dyDescent="0.25">
      <c r="A649" s="6">
        <v>1.08948672250934E+17</v>
      </c>
      <c r="B649" s="30" t="s">
        <v>160</v>
      </c>
      <c r="C649" s="32" t="str">
        <f t="shared" si="20"/>
        <v>Jan</v>
      </c>
      <c r="D649" s="11" t="s">
        <v>25</v>
      </c>
      <c r="E649" s="13">
        <v>531133</v>
      </c>
      <c r="F649" s="13">
        <v>7117</v>
      </c>
      <c r="G649" s="13">
        <v>3</v>
      </c>
      <c r="H649" s="13">
        <v>173.78640776699001</v>
      </c>
      <c r="I649" s="13">
        <v>5.2427184466019403</v>
      </c>
      <c r="J649" s="13">
        <f t="shared" si="21"/>
        <v>179.02912621359195</v>
      </c>
      <c r="K649" s="13">
        <v>57.2815533980583</v>
      </c>
      <c r="L649" s="11" t="s">
        <v>39</v>
      </c>
      <c r="M649" s="26"/>
    </row>
    <row r="650" spans="1:13" x14ac:dyDescent="0.25">
      <c r="A650" s="6">
        <v>1.10944780435092E+17</v>
      </c>
      <c r="B650" s="30" t="s">
        <v>155</v>
      </c>
      <c r="C650" s="32" t="str">
        <f t="shared" si="20"/>
        <v>Jan</v>
      </c>
      <c r="D650" s="11" t="s">
        <v>52</v>
      </c>
      <c r="E650" s="13">
        <v>204101</v>
      </c>
      <c r="F650" s="13">
        <v>7117</v>
      </c>
      <c r="G650" s="13">
        <v>3</v>
      </c>
      <c r="H650" s="13">
        <v>150.485436893203</v>
      </c>
      <c r="I650" s="13">
        <v>5.2427184466019403</v>
      </c>
      <c r="J650" s="13">
        <f t="shared" si="21"/>
        <v>155.72815533980494</v>
      </c>
      <c r="K650" s="13">
        <v>33.980582524271803</v>
      </c>
      <c r="L650" s="11" t="s">
        <v>10</v>
      </c>
      <c r="M650" s="26"/>
    </row>
    <row r="651" spans="1:13" x14ac:dyDescent="0.25">
      <c r="A651" s="6">
        <v>1.12136573562418E+17</v>
      </c>
      <c r="B651" s="30" t="s">
        <v>158</v>
      </c>
      <c r="C651" s="32" t="str">
        <f t="shared" si="20"/>
        <v>Jan</v>
      </c>
      <c r="D651" s="11" t="s">
        <v>25</v>
      </c>
      <c r="E651" s="13">
        <v>576108</v>
      </c>
      <c r="F651" s="13">
        <v>7117</v>
      </c>
      <c r="G651" s="13">
        <v>3</v>
      </c>
      <c r="H651" s="13">
        <v>142.718446601941</v>
      </c>
      <c r="I651" s="13">
        <v>4.8058252427184502</v>
      </c>
      <c r="J651" s="13">
        <f t="shared" si="21"/>
        <v>147.52427184465944</v>
      </c>
      <c r="K651" s="13">
        <v>39.805825242718498</v>
      </c>
      <c r="L651" s="11" t="s">
        <v>19</v>
      </c>
      <c r="M651" s="26"/>
    </row>
    <row r="652" spans="1:13" x14ac:dyDescent="0.25">
      <c r="A652" s="6">
        <v>1.1469085187954899E+17</v>
      </c>
      <c r="B652" s="30" t="s">
        <v>139</v>
      </c>
      <c r="C652" s="32" t="str">
        <f t="shared" si="20"/>
        <v>Jan</v>
      </c>
      <c r="D652" s="11" t="s">
        <v>16</v>
      </c>
      <c r="E652" s="13">
        <v>201304</v>
      </c>
      <c r="F652" s="13">
        <v>7117</v>
      </c>
      <c r="G652" s="13">
        <v>3</v>
      </c>
      <c r="H652" s="13">
        <v>164.07766990291199</v>
      </c>
      <c r="I652" s="13">
        <v>5.1844660194174796</v>
      </c>
      <c r="J652" s="13">
        <f t="shared" si="21"/>
        <v>169.26213592232946</v>
      </c>
      <c r="K652" s="13">
        <v>47.572815533980602</v>
      </c>
      <c r="L652" s="11" t="s">
        <v>10</v>
      </c>
      <c r="M652" s="26"/>
    </row>
    <row r="653" spans="1:13" x14ac:dyDescent="0.25">
      <c r="A653" s="6">
        <v>1.12223999580468E+17</v>
      </c>
      <c r="B653" s="30" t="s">
        <v>158</v>
      </c>
      <c r="C653" s="32" t="str">
        <f t="shared" si="20"/>
        <v>Jan</v>
      </c>
      <c r="D653" s="11" t="s">
        <v>16</v>
      </c>
      <c r="E653" s="13">
        <v>844123</v>
      </c>
      <c r="F653" s="13">
        <v>7117</v>
      </c>
      <c r="G653" s="13">
        <v>3</v>
      </c>
      <c r="H653" s="13">
        <v>169.90291262135901</v>
      </c>
      <c r="I653" s="13">
        <v>5.0970873786407802</v>
      </c>
      <c r="J653" s="13">
        <f t="shared" si="21"/>
        <v>174.9999999999998</v>
      </c>
      <c r="K653" s="13">
        <v>59.223300970873801</v>
      </c>
      <c r="L653" s="11" t="s">
        <v>22</v>
      </c>
      <c r="M653" s="26"/>
    </row>
    <row r="654" spans="1:13" x14ac:dyDescent="0.25">
      <c r="A654" s="6">
        <v>1.1176610138976701E+17</v>
      </c>
      <c r="B654" s="30" t="s">
        <v>146</v>
      </c>
      <c r="C654" s="32" t="str">
        <f t="shared" si="20"/>
        <v>Jan</v>
      </c>
      <c r="D654" s="11" t="s">
        <v>16</v>
      </c>
      <c r="E654" s="13">
        <v>580024</v>
      </c>
      <c r="F654" s="13">
        <v>7117</v>
      </c>
      <c r="G654" s="13">
        <v>3</v>
      </c>
      <c r="H654" s="13">
        <v>194.17475728155301</v>
      </c>
      <c r="I654" s="13">
        <v>5.8252427184466002</v>
      </c>
      <c r="J654" s="13">
        <f t="shared" si="21"/>
        <v>199.9999999999996</v>
      </c>
      <c r="K654" s="13">
        <v>59.223300970873801</v>
      </c>
      <c r="L654" s="11" t="s">
        <v>19</v>
      </c>
      <c r="M654" s="26"/>
    </row>
    <row r="655" spans="1:13" x14ac:dyDescent="0.25">
      <c r="A655" s="6">
        <v>1.1178809113752E+17</v>
      </c>
      <c r="B655" s="30" t="s">
        <v>146</v>
      </c>
      <c r="C655" s="32" t="str">
        <f t="shared" si="20"/>
        <v>Jan</v>
      </c>
      <c r="D655" s="11" t="s">
        <v>16</v>
      </c>
      <c r="E655" s="13">
        <v>855102</v>
      </c>
      <c r="F655" s="13">
        <v>7117</v>
      </c>
      <c r="G655" s="13">
        <v>3</v>
      </c>
      <c r="H655" s="13">
        <v>169.90291262135901</v>
      </c>
      <c r="I655" s="13">
        <v>5.0970873786407802</v>
      </c>
      <c r="J655" s="13">
        <f t="shared" si="21"/>
        <v>174.9999999999998</v>
      </c>
      <c r="K655" s="13">
        <v>59.223300970873801</v>
      </c>
      <c r="L655" s="11" t="s">
        <v>22</v>
      </c>
      <c r="M655" s="26"/>
    </row>
    <row r="656" spans="1:13" x14ac:dyDescent="0.25">
      <c r="A656" s="6">
        <v>1.1575393903040301E+17</v>
      </c>
      <c r="B656" s="30" t="s">
        <v>137</v>
      </c>
      <c r="C656" s="32" t="str">
        <f t="shared" si="20"/>
        <v>Jan</v>
      </c>
      <c r="D656" s="11" t="s">
        <v>9</v>
      </c>
      <c r="E656" s="13">
        <v>757037</v>
      </c>
      <c r="F656" s="13">
        <v>7117</v>
      </c>
      <c r="G656" s="13">
        <v>3</v>
      </c>
      <c r="H656" s="13">
        <v>155.339805825242</v>
      </c>
      <c r="I656" s="13">
        <v>5.1844660194174796</v>
      </c>
      <c r="J656" s="13">
        <f t="shared" si="21"/>
        <v>160.52427184465947</v>
      </c>
      <c r="K656" s="13">
        <v>38.834951456310698</v>
      </c>
      <c r="L656" s="11" t="s">
        <v>54</v>
      </c>
      <c r="M656" s="26"/>
    </row>
    <row r="657" spans="1:13" x14ac:dyDescent="0.25">
      <c r="A657" s="6">
        <v>1.1493534912128E+17</v>
      </c>
      <c r="B657" s="30" t="s">
        <v>148</v>
      </c>
      <c r="C657" s="32" t="str">
        <f t="shared" si="20"/>
        <v>Jan</v>
      </c>
      <c r="D657" s="11" t="s">
        <v>16</v>
      </c>
      <c r="E657" s="13">
        <v>457339</v>
      </c>
      <c r="F657" s="13">
        <v>7117</v>
      </c>
      <c r="G657" s="13">
        <v>3</v>
      </c>
      <c r="H657" s="13">
        <v>154.368932038834</v>
      </c>
      <c r="I657" s="13">
        <v>4.6310679611650496</v>
      </c>
      <c r="J657" s="13">
        <f t="shared" si="21"/>
        <v>158.99999999999906</v>
      </c>
      <c r="K657" s="13">
        <v>56.3106796116505</v>
      </c>
      <c r="L657" s="11" t="s">
        <v>26</v>
      </c>
      <c r="M657" s="26"/>
    </row>
    <row r="658" spans="1:13" x14ac:dyDescent="0.25">
      <c r="A658" s="6">
        <v>1.14752356301962E+17</v>
      </c>
      <c r="B658" s="30" t="s">
        <v>139</v>
      </c>
      <c r="C658" s="32" t="str">
        <f t="shared" si="20"/>
        <v>Jan</v>
      </c>
      <c r="D658" s="11" t="s">
        <v>21</v>
      </c>
      <c r="E658" s="13">
        <v>500019</v>
      </c>
      <c r="F658" s="13">
        <v>7117</v>
      </c>
      <c r="G658" s="13">
        <v>3</v>
      </c>
      <c r="H658" s="13">
        <v>149.514563106796</v>
      </c>
      <c r="I658" s="13">
        <v>4.4854368932038797</v>
      </c>
      <c r="J658" s="13">
        <f t="shared" si="21"/>
        <v>153.99999999999989</v>
      </c>
      <c r="K658" s="13">
        <v>57.2815533980583</v>
      </c>
      <c r="L658" s="11" t="s">
        <v>53</v>
      </c>
      <c r="M658" s="26"/>
    </row>
    <row r="659" spans="1:13" x14ac:dyDescent="0.25">
      <c r="A659" s="6">
        <v>1.06016217021838E+17</v>
      </c>
      <c r="B659" s="30" t="s">
        <v>128</v>
      </c>
      <c r="C659" s="32" t="str">
        <f t="shared" si="20"/>
        <v>Jan</v>
      </c>
      <c r="D659" s="11" t="s">
        <v>21</v>
      </c>
      <c r="E659" s="13">
        <v>124103</v>
      </c>
      <c r="F659" s="13">
        <v>7117</v>
      </c>
      <c r="G659" s="13">
        <v>3</v>
      </c>
      <c r="H659" s="13">
        <v>154.368932038834</v>
      </c>
      <c r="I659" s="13">
        <v>4.6601941747572804</v>
      </c>
      <c r="J659" s="13">
        <f t="shared" si="21"/>
        <v>159.0291262135913</v>
      </c>
      <c r="K659" s="13">
        <v>56.3106796116505</v>
      </c>
      <c r="L659" s="11" t="s">
        <v>63</v>
      </c>
      <c r="M659" s="26"/>
    </row>
    <row r="660" spans="1:13" x14ac:dyDescent="0.25">
      <c r="A660" s="6">
        <v>1.11516208163086E+17</v>
      </c>
      <c r="B660" s="30" t="s">
        <v>145</v>
      </c>
      <c r="C660" s="32" t="str">
        <f t="shared" si="20"/>
        <v>Jan</v>
      </c>
      <c r="D660" s="11" t="s">
        <v>16</v>
      </c>
      <c r="E660" s="13">
        <v>767032</v>
      </c>
      <c r="F660" s="13">
        <v>7117</v>
      </c>
      <c r="G660" s="13">
        <v>3</v>
      </c>
      <c r="H660" s="13">
        <v>133.980582524271</v>
      </c>
      <c r="I660" s="13">
        <v>4.3980582524271803</v>
      </c>
      <c r="J660" s="13">
        <f t="shared" si="21"/>
        <v>138.37864077669818</v>
      </c>
      <c r="K660" s="13">
        <v>45.631067961165002</v>
      </c>
      <c r="L660" s="11" t="s">
        <v>54</v>
      </c>
      <c r="M660" s="26"/>
    </row>
    <row r="661" spans="1:13" x14ac:dyDescent="0.25">
      <c r="A661" s="6">
        <v>1.14342618246308E+17</v>
      </c>
      <c r="B661" s="30" t="s">
        <v>138</v>
      </c>
      <c r="C661" s="32" t="str">
        <f t="shared" si="20"/>
        <v>Jan</v>
      </c>
      <c r="D661" s="11" t="s">
        <v>52</v>
      </c>
      <c r="E661" s="13">
        <v>752091</v>
      </c>
      <c r="F661" s="13">
        <v>7117</v>
      </c>
      <c r="G661" s="13">
        <v>3</v>
      </c>
      <c r="H661" s="13">
        <v>155.339805825242</v>
      </c>
      <c r="I661" s="13">
        <v>5.1844660194174796</v>
      </c>
      <c r="J661" s="13">
        <f t="shared" si="21"/>
        <v>160.52427184465947</v>
      </c>
      <c r="K661" s="13">
        <v>38.834951456310698</v>
      </c>
      <c r="L661" s="11" t="s">
        <v>54</v>
      </c>
      <c r="M661" s="26"/>
    </row>
    <row r="662" spans="1:13" x14ac:dyDescent="0.25">
      <c r="A662" s="6">
        <v>1.1465454171540899E+17</v>
      </c>
      <c r="B662" s="30" t="s">
        <v>139</v>
      </c>
      <c r="C662" s="32" t="str">
        <f t="shared" si="20"/>
        <v>Jan</v>
      </c>
      <c r="D662" s="11" t="s">
        <v>9</v>
      </c>
      <c r="E662" s="13">
        <v>535183</v>
      </c>
      <c r="F662" s="13">
        <v>7117</v>
      </c>
      <c r="G662" s="13">
        <v>3</v>
      </c>
      <c r="H662" s="13">
        <v>172.81553398058199</v>
      </c>
      <c r="I662" s="13">
        <v>5.1844660194174796</v>
      </c>
      <c r="J662" s="13">
        <f t="shared" si="21"/>
        <v>177.99999999999946</v>
      </c>
      <c r="K662" s="13">
        <v>56.3106796116505</v>
      </c>
      <c r="L662" s="11" t="s">
        <v>39</v>
      </c>
      <c r="M662" s="26"/>
    </row>
    <row r="663" spans="1:13" x14ac:dyDescent="0.25">
      <c r="A663" s="6">
        <v>1.0598122530657901E+17</v>
      </c>
      <c r="B663" s="30" t="s">
        <v>128</v>
      </c>
      <c r="C663" s="32" t="str">
        <f t="shared" si="20"/>
        <v>Jan</v>
      </c>
      <c r="D663" s="11" t="s">
        <v>16</v>
      </c>
      <c r="E663" s="13">
        <v>509001</v>
      </c>
      <c r="F663" s="13">
        <v>7117</v>
      </c>
      <c r="G663" s="13">
        <v>3</v>
      </c>
      <c r="H663" s="13">
        <v>212.621359223301</v>
      </c>
      <c r="I663" s="13">
        <v>6.3786407766990303</v>
      </c>
      <c r="J663" s="13">
        <f t="shared" si="21"/>
        <v>219.00000000000003</v>
      </c>
      <c r="K663" s="13">
        <v>57.2815533980583</v>
      </c>
      <c r="L663" s="11" t="s">
        <v>53</v>
      </c>
      <c r="M663" s="26"/>
    </row>
    <row r="664" spans="1:13" x14ac:dyDescent="0.25">
      <c r="A664" s="6">
        <v>1.1651185730050099E+17</v>
      </c>
      <c r="B664" s="30" t="s">
        <v>152</v>
      </c>
      <c r="C664" s="32" t="str">
        <f t="shared" si="20"/>
        <v>Jan</v>
      </c>
      <c r="D664" s="11" t="s">
        <v>9</v>
      </c>
      <c r="E664" s="13">
        <v>384130</v>
      </c>
      <c r="F664" s="13">
        <v>7117</v>
      </c>
      <c r="G664" s="13">
        <v>3</v>
      </c>
      <c r="H664" s="13">
        <v>172.81553398058199</v>
      </c>
      <c r="I664" s="13">
        <v>5.1844660194174796</v>
      </c>
      <c r="J664" s="13">
        <f t="shared" si="21"/>
        <v>177.99999999999946</v>
      </c>
      <c r="K664" s="13">
        <v>56.3106796116505</v>
      </c>
      <c r="L664" s="11" t="s">
        <v>12</v>
      </c>
      <c r="M664" s="26"/>
    </row>
    <row r="665" spans="1:13" x14ac:dyDescent="0.25">
      <c r="A665" s="6">
        <v>1.07074338657956E+17</v>
      </c>
      <c r="B665" s="30" t="s">
        <v>150</v>
      </c>
      <c r="C665" s="32" t="str">
        <f t="shared" si="20"/>
        <v>Jan</v>
      </c>
      <c r="D665" s="11" t="s">
        <v>25</v>
      </c>
      <c r="E665" s="13">
        <v>743329</v>
      </c>
      <c r="F665" s="13">
        <v>7117</v>
      </c>
      <c r="G665" s="13">
        <v>3</v>
      </c>
      <c r="H665" s="13">
        <v>164.07766990291199</v>
      </c>
      <c r="I665" s="13">
        <v>4.8058252427184502</v>
      </c>
      <c r="J665" s="13">
        <f t="shared" si="21"/>
        <v>168.88349514563043</v>
      </c>
      <c r="K665" s="13">
        <v>60.194174757281601</v>
      </c>
      <c r="L665" s="11" t="s">
        <v>14</v>
      </c>
      <c r="M665" s="26"/>
    </row>
    <row r="666" spans="1:13" x14ac:dyDescent="0.25">
      <c r="A666" s="6">
        <v>1.07026852916388E+17</v>
      </c>
      <c r="B666" s="30" t="s">
        <v>150</v>
      </c>
      <c r="C666" s="32" t="str">
        <f t="shared" si="20"/>
        <v>Jan</v>
      </c>
      <c r="D666" s="11" t="s">
        <v>25</v>
      </c>
      <c r="E666" s="13">
        <v>493445</v>
      </c>
      <c r="F666" s="13">
        <v>7117</v>
      </c>
      <c r="G666" s="13">
        <v>3</v>
      </c>
      <c r="H666" s="13">
        <v>137.864077669902</v>
      </c>
      <c r="I666" s="13">
        <v>4.13592233009709</v>
      </c>
      <c r="J666" s="13">
        <f t="shared" si="21"/>
        <v>141.99999999999909</v>
      </c>
      <c r="K666" s="13">
        <v>59.223300970873801</v>
      </c>
      <c r="L666" s="11" t="s">
        <v>23</v>
      </c>
      <c r="M666" s="26"/>
    </row>
    <row r="667" spans="1:13" x14ac:dyDescent="0.25">
      <c r="A667" s="6">
        <v>1.0713657604338099E+17</v>
      </c>
      <c r="B667" s="30" t="s">
        <v>150</v>
      </c>
      <c r="C667" s="32" t="str">
        <f t="shared" si="20"/>
        <v>Jan</v>
      </c>
      <c r="D667" s="11" t="s">
        <v>25</v>
      </c>
      <c r="E667" s="13">
        <v>482056</v>
      </c>
      <c r="F667" s="13">
        <v>7117</v>
      </c>
      <c r="G667" s="13">
        <v>3</v>
      </c>
      <c r="H667" s="13">
        <v>150.485436893203</v>
      </c>
      <c r="I667" s="13">
        <v>4.5145631067961203</v>
      </c>
      <c r="J667" s="13">
        <f t="shared" si="21"/>
        <v>154.99999999999912</v>
      </c>
      <c r="K667" s="13">
        <v>59.223300970873801</v>
      </c>
      <c r="L667" s="11" t="s">
        <v>26</v>
      </c>
      <c r="M667" s="26"/>
    </row>
    <row r="668" spans="1:13" x14ac:dyDescent="0.25">
      <c r="A668" s="6">
        <v>1.10040308280226E+17</v>
      </c>
      <c r="B668" s="30" t="s">
        <v>142</v>
      </c>
      <c r="C668" s="32" t="str">
        <f t="shared" si="20"/>
        <v>Jan</v>
      </c>
      <c r="D668" s="11" t="s">
        <v>16</v>
      </c>
      <c r="E668" s="13">
        <v>272153</v>
      </c>
      <c r="F668" s="13">
        <v>7117</v>
      </c>
      <c r="G668" s="13">
        <v>3</v>
      </c>
      <c r="H668" s="13">
        <v>138.83495145630999</v>
      </c>
      <c r="I668" s="13">
        <v>4.42718446601942</v>
      </c>
      <c r="J668" s="13">
        <f t="shared" si="21"/>
        <v>143.26213592232941</v>
      </c>
      <c r="K668" s="13">
        <v>50.485436893203897</v>
      </c>
      <c r="L668" s="11" t="s">
        <v>10</v>
      </c>
      <c r="M668" s="26"/>
    </row>
    <row r="669" spans="1:13" x14ac:dyDescent="0.25">
      <c r="A669" s="6">
        <v>1.09309609139008E+17</v>
      </c>
      <c r="B669" s="30" t="s">
        <v>161</v>
      </c>
      <c r="C669" s="32" t="str">
        <f t="shared" si="20"/>
        <v>Jan</v>
      </c>
      <c r="D669" s="11" t="s">
        <v>16</v>
      </c>
      <c r="E669" s="13">
        <v>248001</v>
      </c>
      <c r="F669" s="13">
        <v>7117</v>
      </c>
      <c r="G669" s="13">
        <v>3</v>
      </c>
      <c r="H669" s="13">
        <v>157.28155339805801</v>
      </c>
      <c r="I669" s="13">
        <v>4.9805825242718402</v>
      </c>
      <c r="J669" s="13">
        <f t="shared" si="21"/>
        <v>162.26213592232986</v>
      </c>
      <c r="K669" s="13">
        <v>48.543689320388303</v>
      </c>
      <c r="L669" s="11" t="s">
        <v>49</v>
      </c>
      <c r="M669" s="26"/>
    </row>
    <row r="670" spans="1:13" x14ac:dyDescent="0.25">
      <c r="A670" s="6">
        <v>1.13104490169958E+17</v>
      </c>
      <c r="B670" s="30" t="s">
        <v>162</v>
      </c>
      <c r="C670" s="32" t="str">
        <f t="shared" si="20"/>
        <v>Jan</v>
      </c>
      <c r="D670" s="11" t="s">
        <v>16</v>
      </c>
      <c r="E670" s="13">
        <v>226016</v>
      </c>
      <c r="F670" s="13">
        <v>7117</v>
      </c>
      <c r="G670" s="13">
        <v>3</v>
      </c>
      <c r="H670" s="13">
        <v>167.96116504854299</v>
      </c>
      <c r="I670" s="13">
        <v>5.8252427184466002</v>
      </c>
      <c r="J670" s="13">
        <f t="shared" si="21"/>
        <v>173.78640776698958</v>
      </c>
      <c r="K670" s="13">
        <v>32.038834951456302</v>
      </c>
      <c r="L670" s="11" t="s">
        <v>10</v>
      </c>
      <c r="M670" s="26"/>
    </row>
    <row r="671" spans="1:13" x14ac:dyDescent="0.25">
      <c r="A671" s="6">
        <v>1.1459103680292701E+17</v>
      </c>
      <c r="B671" s="30" t="s">
        <v>139</v>
      </c>
      <c r="C671" s="32" t="str">
        <f t="shared" si="20"/>
        <v>Jan</v>
      </c>
      <c r="D671" s="11" t="s">
        <v>16</v>
      </c>
      <c r="E671" s="13">
        <v>144001</v>
      </c>
      <c r="F671" s="13">
        <v>7117</v>
      </c>
      <c r="G671" s="13">
        <v>3</v>
      </c>
      <c r="H671" s="13">
        <v>161.16504854368901</v>
      </c>
      <c r="I671" s="13">
        <v>5.0970873786407802</v>
      </c>
      <c r="J671" s="13">
        <f t="shared" si="21"/>
        <v>166.2621359223298</v>
      </c>
      <c r="K671" s="13">
        <v>50.485436893203897</v>
      </c>
      <c r="L671" s="11" t="s">
        <v>17</v>
      </c>
      <c r="M671" s="26"/>
    </row>
    <row r="672" spans="1:13" x14ac:dyDescent="0.25">
      <c r="A672" s="6">
        <v>1.1113380788666E+17</v>
      </c>
      <c r="B672" s="30" t="s">
        <v>155</v>
      </c>
      <c r="C672" s="32" t="str">
        <f t="shared" si="20"/>
        <v>Jan</v>
      </c>
      <c r="D672" s="11" t="s">
        <v>25</v>
      </c>
      <c r="E672" s="13">
        <v>332001</v>
      </c>
      <c r="F672" s="13">
        <v>7117</v>
      </c>
      <c r="G672" s="13">
        <v>3</v>
      </c>
      <c r="H672" s="13">
        <v>157.28155339805801</v>
      </c>
      <c r="I672" s="13">
        <v>4.9805825242718402</v>
      </c>
      <c r="J672" s="13">
        <f t="shared" si="21"/>
        <v>162.26213592232986</v>
      </c>
      <c r="K672" s="13">
        <v>48.543689320388303</v>
      </c>
      <c r="L672" s="11" t="s">
        <v>46</v>
      </c>
      <c r="M672" s="26"/>
    </row>
    <row r="673" spans="1:13" x14ac:dyDescent="0.25">
      <c r="A673" s="6">
        <v>1.09242975197134E+17</v>
      </c>
      <c r="B673" s="30" t="s">
        <v>161</v>
      </c>
      <c r="C673" s="32" t="str">
        <f t="shared" si="20"/>
        <v>Jan</v>
      </c>
      <c r="D673" s="11" t="s">
        <v>25</v>
      </c>
      <c r="E673" s="13">
        <v>788101</v>
      </c>
      <c r="F673" s="13">
        <v>7117</v>
      </c>
      <c r="G673" s="13">
        <v>3</v>
      </c>
      <c r="H673" s="13">
        <v>188.349514563106</v>
      </c>
      <c r="I673" s="13">
        <v>5.5339805825242703</v>
      </c>
      <c r="J673" s="13">
        <f t="shared" si="21"/>
        <v>193.88349514563026</v>
      </c>
      <c r="K673" s="13">
        <v>77.669902912621396</v>
      </c>
      <c r="L673" s="11" t="s">
        <v>35</v>
      </c>
      <c r="M673" s="26"/>
    </row>
    <row r="674" spans="1:13" x14ac:dyDescent="0.25">
      <c r="A674" s="6">
        <v>1.13888020238988E+17</v>
      </c>
      <c r="B674" s="30" t="s">
        <v>147</v>
      </c>
      <c r="C674" s="32" t="str">
        <f t="shared" si="20"/>
        <v>Jan</v>
      </c>
      <c r="D674" s="11" t="s">
        <v>16</v>
      </c>
      <c r="E674" s="13">
        <v>852202</v>
      </c>
      <c r="F674" s="13">
        <v>7117</v>
      </c>
      <c r="G674" s="13">
        <v>3</v>
      </c>
      <c r="H674" s="13">
        <v>153.39805825242701</v>
      </c>
      <c r="I674" s="13">
        <v>4.6310679611650496</v>
      </c>
      <c r="J674" s="13">
        <f t="shared" si="21"/>
        <v>158.02912621359206</v>
      </c>
      <c r="K674" s="13">
        <v>55.339805825242699</v>
      </c>
      <c r="L674" s="11" t="s">
        <v>22</v>
      </c>
      <c r="M674" s="26"/>
    </row>
    <row r="675" spans="1:13" x14ac:dyDescent="0.25">
      <c r="A675" s="6">
        <v>1.1616560857251901E+17</v>
      </c>
      <c r="B675" s="30" t="s">
        <v>166</v>
      </c>
      <c r="C675" s="32" t="str">
        <f t="shared" si="20"/>
        <v>Jan</v>
      </c>
      <c r="D675" s="11" t="s">
        <v>9</v>
      </c>
      <c r="E675" s="13">
        <v>560026</v>
      </c>
      <c r="F675" s="13">
        <v>7117</v>
      </c>
      <c r="G675" s="13">
        <v>3</v>
      </c>
      <c r="H675" s="13">
        <v>168.93203883495099</v>
      </c>
      <c r="I675" s="13">
        <v>5.0679611650485397</v>
      </c>
      <c r="J675" s="13">
        <f t="shared" si="21"/>
        <v>173.99999999999952</v>
      </c>
      <c r="K675" s="13">
        <v>57.2815533980583</v>
      </c>
      <c r="L675" s="11" t="s">
        <v>19</v>
      </c>
      <c r="M675" s="26"/>
    </row>
    <row r="676" spans="1:13" x14ac:dyDescent="0.25">
      <c r="A676" s="6">
        <v>1.11754426879992E+17</v>
      </c>
      <c r="B676" s="30" t="s">
        <v>146</v>
      </c>
      <c r="C676" s="32" t="str">
        <f t="shared" si="20"/>
        <v>Jan</v>
      </c>
      <c r="D676" s="11" t="s">
        <v>52</v>
      </c>
      <c r="E676" s="13">
        <v>385340</v>
      </c>
      <c r="F676" s="13">
        <v>7117</v>
      </c>
      <c r="G676" s="13">
        <v>3</v>
      </c>
      <c r="H676" s="13">
        <v>155.339805825242</v>
      </c>
      <c r="I676" s="13">
        <v>5.1844660194174796</v>
      </c>
      <c r="J676" s="13">
        <f t="shared" si="21"/>
        <v>160.52427184465947</v>
      </c>
      <c r="K676" s="13">
        <v>38.834951456310698</v>
      </c>
      <c r="L676" s="11" t="s">
        <v>12</v>
      </c>
      <c r="M676" s="26"/>
    </row>
    <row r="677" spans="1:13" x14ac:dyDescent="0.25">
      <c r="A677" s="6">
        <v>1.0751688533517101E+17</v>
      </c>
      <c r="B677" s="30" t="s">
        <v>140</v>
      </c>
      <c r="C677" s="32" t="str">
        <f t="shared" si="20"/>
        <v>Jan</v>
      </c>
      <c r="D677" s="11" t="s">
        <v>16</v>
      </c>
      <c r="E677" s="13">
        <v>736182</v>
      </c>
      <c r="F677" s="13">
        <v>7117</v>
      </c>
      <c r="G677" s="13">
        <v>3</v>
      </c>
      <c r="H677" s="13">
        <v>154.368932038834</v>
      </c>
      <c r="I677" s="13">
        <v>4.6310679611650496</v>
      </c>
      <c r="J677" s="13">
        <f t="shared" si="21"/>
        <v>158.99999999999906</v>
      </c>
      <c r="K677" s="13">
        <v>57.2815533980583</v>
      </c>
      <c r="L677" s="11" t="s">
        <v>14</v>
      </c>
      <c r="M677" s="26"/>
    </row>
    <row r="678" spans="1:13" x14ac:dyDescent="0.25">
      <c r="A678" s="6">
        <v>1.07083630257664E+17</v>
      </c>
      <c r="B678" s="30" t="s">
        <v>150</v>
      </c>
      <c r="C678" s="32" t="str">
        <f t="shared" si="20"/>
        <v>Jan</v>
      </c>
      <c r="D678" s="11" t="s">
        <v>25</v>
      </c>
      <c r="E678" s="13">
        <v>273006</v>
      </c>
      <c r="F678" s="13">
        <v>7117</v>
      </c>
      <c r="G678" s="13">
        <v>3</v>
      </c>
      <c r="H678" s="13">
        <v>135.92233009708701</v>
      </c>
      <c r="I678" s="13">
        <v>4.8058252427184502</v>
      </c>
      <c r="J678" s="13">
        <f t="shared" si="21"/>
        <v>140.72815533980545</v>
      </c>
      <c r="K678" s="13">
        <v>32.038834951456302</v>
      </c>
      <c r="L678" s="11" t="s">
        <v>10</v>
      </c>
      <c r="M678" s="26"/>
    </row>
    <row r="679" spans="1:13" x14ac:dyDescent="0.25">
      <c r="A679" s="6">
        <v>1.1223907936272301E+17</v>
      </c>
      <c r="B679" s="30" t="s">
        <v>158</v>
      </c>
      <c r="C679" s="32" t="str">
        <f t="shared" si="20"/>
        <v>Jan</v>
      </c>
      <c r="D679" s="11" t="s">
        <v>16</v>
      </c>
      <c r="E679" s="13">
        <v>360510</v>
      </c>
      <c r="F679" s="13">
        <v>7117</v>
      </c>
      <c r="G679" s="13">
        <v>3</v>
      </c>
      <c r="H679" s="13">
        <v>147.57281553397999</v>
      </c>
      <c r="I679" s="13">
        <v>4.42718446601942</v>
      </c>
      <c r="J679" s="13">
        <f t="shared" si="21"/>
        <v>151.9999999999994</v>
      </c>
      <c r="K679" s="13">
        <v>59.223300970873801</v>
      </c>
      <c r="L679" s="11" t="s">
        <v>12</v>
      </c>
      <c r="M679" s="26"/>
    </row>
    <row r="680" spans="1:13" x14ac:dyDescent="0.25">
      <c r="A680" s="6">
        <v>1.10981072616878E+17</v>
      </c>
      <c r="B680" s="30" t="s">
        <v>155</v>
      </c>
      <c r="C680" s="32" t="str">
        <f t="shared" si="20"/>
        <v>Jan</v>
      </c>
      <c r="D680" s="11" t="s">
        <v>16</v>
      </c>
      <c r="E680" s="13">
        <v>442905</v>
      </c>
      <c r="F680" s="13">
        <v>7117</v>
      </c>
      <c r="G680" s="13">
        <v>3</v>
      </c>
      <c r="H680" s="13">
        <v>151.45631067961099</v>
      </c>
      <c r="I680" s="13">
        <v>5.0679611650485397</v>
      </c>
      <c r="J680" s="13">
        <f t="shared" si="21"/>
        <v>156.52427184465952</v>
      </c>
      <c r="K680" s="13">
        <v>39.805825242718498</v>
      </c>
      <c r="L680" s="11" t="s">
        <v>41</v>
      </c>
      <c r="M680" s="26"/>
    </row>
    <row r="681" spans="1:13" x14ac:dyDescent="0.25">
      <c r="A681" s="6">
        <v>1.1582532677248499E+17</v>
      </c>
      <c r="B681" s="30" t="s">
        <v>137</v>
      </c>
      <c r="C681" s="32" t="str">
        <f t="shared" si="20"/>
        <v>Jan</v>
      </c>
      <c r="D681" s="11" t="s">
        <v>33</v>
      </c>
      <c r="E681" s="13">
        <v>122002</v>
      </c>
      <c r="F681" s="13">
        <v>711790</v>
      </c>
      <c r="G681" s="13">
        <v>12</v>
      </c>
      <c r="H681" s="13">
        <v>91.071428571428598</v>
      </c>
      <c r="I681" s="13">
        <v>11.785714285714199</v>
      </c>
      <c r="J681" s="13">
        <f t="shared" si="21"/>
        <v>102.8571428571428</v>
      </c>
      <c r="K681" s="13">
        <v>43.75</v>
      </c>
      <c r="L681" s="11" t="s">
        <v>63</v>
      </c>
      <c r="M681" s="26"/>
    </row>
    <row r="682" spans="1:13" x14ac:dyDescent="0.25">
      <c r="A682" s="6">
        <v>1.15695086982204E+17</v>
      </c>
      <c r="B682" s="30" t="s">
        <v>137</v>
      </c>
      <c r="C682" s="32" t="str">
        <f t="shared" si="20"/>
        <v>Jan</v>
      </c>
      <c r="D682" s="11" t="s">
        <v>16</v>
      </c>
      <c r="E682" s="13">
        <v>852201</v>
      </c>
      <c r="F682" s="13">
        <v>7117</v>
      </c>
      <c r="G682" s="13">
        <v>3</v>
      </c>
      <c r="H682" s="13">
        <v>119.417475728155</v>
      </c>
      <c r="I682" s="13">
        <v>4.1067961165048503</v>
      </c>
      <c r="J682" s="13">
        <f t="shared" si="21"/>
        <v>123.52427184465985</v>
      </c>
      <c r="K682" s="13">
        <v>39.805825242718498</v>
      </c>
      <c r="L682" s="11" t="s">
        <v>22</v>
      </c>
      <c r="M682" s="26"/>
    </row>
    <row r="683" spans="1:13" x14ac:dyDescent="0.25">
      <c r="A683" s="6">
        <v>1.0748015267783901E+17</v>
      </c>
      <c r="B683" s="30" t="s">
        <v>140</v>
      </c>
      <c r="C683" s="32" t="str">
        <f t="shared" si="20"/>
        <v>Jan</v>
      </c>
      <c r="D683" s="11" t="s">
        <v>25</v>
      </c>
      <c r="E683" s="13">
        <v>516269</v>
      </c>
      <c r="F683" s="13">
        <v>7117</v>
      </c>
      <c r="G683" s="13">
        <v>3</v>
      </c>
      <c r="H683" s="13">
        <v>162.135922330097</v>
      </c>
      <c r="I683" s="13">
        <v>4.86407766990291</v>
      </c>
      <c r="J683" s="13">
        <f t="shared" si="21"/>
        <v>166.99999999999991</v>
      </c>
      <c r="K683" s="13">
        <v>58.252427184466001</v>
      </c>
      <c r="L683" s="11" t="s">
        <v>39</v>
      </c>
      <c r="M683" s="26"/>
    </row>
    <row r="684" spans="1:13" x14ac:dyDescent="0.25">
      <c r="A684" s="6">
        <v>1.1420479125253299E+17</v>
      </c>
      <c r="B684" s="30" t="s">
        <v>138</v>
      </c>
      <c r="C684" s="32" t="str">
        <f t="shared" si="20"/>
        <v>Jan</v>
      </c>
      <c r="D684" s="11" t="s">
        <v>16</v>
      </c>
      <c r="E684" s="13">
        <v>743330</v>
      </c>
      <c r="F684" s="13">
        <v>7117</v>
      </c>
      <c r="G684" s="13">
        <v>3</v>
      </c>
      <c r="H684" s="13">
        <v>172.81553398058199</v>
      </c>
      <c r="I684" s="13">
        <v>5.1844660194174796</v>
      </c>
      <c r="J684" s="13">
        <f t="shared" si="21"/>
        <v>177.99999999999946</v>
      </c>
      <c r="K684" s="13">
        <v>56.3106796116505</v>
      </c>
      <c r="L684" s="11" t="s">
        <v>14</v>
      </c>
      <c r="M684" s="26"/>
    </row>
    <row r="685" spans="1:13" x14ac:dyDescent="0.25">
      <c r="A685" s="6">
        <v>1.1074783503269501E+17</v>
      </c>
      <c r="B685" s="30" t="s">
        <v>143</v>
      </c>
      <c r="C685" s="32" t="str">
        <f t="shared" si="20"/>
        <v>Jan</v>
      </c>
      <c r="D685" s="11" t="s">
        <v>16</v>
      </c>
      <c r="E685" s="13">
        <v>212301</v>
      </c>
      <c r="F685" s="13">
        <v>7117</v>
      </c>
      <c r="G685" s="13">
        <v>3</v>
      </c>
      <c r="H685" s="13">
        <v>166.01941747572801</v>
      </c>
      <c r="I685" s="13">
        <v>5.2427184466019403</v>
      </c>
      <c r="J685" s="13">
        <f t="shared" si="21"/>
        <v>171.26213592232995</v>
      </c>
      <c r="K685" s="13">
        <v>49.514563106796103</v>
      </c>
      <c r="L685" s="11" t="s">
        <v>10</v>
      </c>
      <c r="M685" s="26"/>
    </row>
    <row r="686" spans="1:13" x14ac:dyDescent="0.25">
      <c r="A686" s="6">
        <v>1.1242846818012E+17</v>
      </c>
      <c r="B686" s="30" t="s">
        <v>154</v>
      </c>
      <c r="C686" s="32" t="str">
        <f t="shared" si="20"/>
        <v>Jan</v>
      </c>
      <c r="D686" s="11" t="s">
        <v>52</v>
      </c>
      <c r="E686" s="13">
        <v>202165</v>
      </c>
      <c r="F686" s="13">
        <v>7117</v>
      </c>
      <c r="G686" s="13">
        <v>3</v>
      </c>
      <c r="H686" s="13">
        <v>138.83495145630999</v>
      </c>
      <c r="I686" s="13">
        <v>4.42718446601942</v>
      </c>
      <c r="J686" s="13">
        <f t="shared" si="21"/>
        <v>143.26213592232941</v>
      </c>
      <c r="K686" s="13">
        <v>50.485436893203897</v>
      </c>
      <c r="L686" s="11" t="s">
        <v>10</v>
      </c>
      <c r="M686" s="26"/>
    </row>
    <row r="687" spans="1:13" x14ac:dyDescent="0.25">
      <c r="A687" s="6">
        <v>1.1548392136671501E+17</v>
      </c>
      <c r="B687" s="30" t="s">
        <v>136</v>
      </c>
      <c r="C687" s="32" t="str">
        <f t="shared" si="20"/>
        <v>Jan</v>
      </c>
      <c r="D687" s="11" t="s">
        <v>52</v>
      </c>
      <c r="E687" s="13">
        <v>121005</v>
      </c>
      <c r="F687" s="13">
        <v>7117</v>
      </c>
      <c r="G687" s="13">
        <v>3</v>
      </c>
      <c r="H687" s="13">
        <v>115.53398058252399</v>
      </c>
      <c r="I687" s="13">
        <v>4.1067961165048503</v>
      </c>
      <c r="J687" s="13">
        <f t="shared" si="21"/>
        <v>119.64077669902885</v>
      </c>
      <c r="K687" s="13">
        <v>35.922330097087404</v>
      </c>
      <c r="L687" s="11" t="s">
        <v>63</v>
      </c>
      <c r="M687" s="26"/>
    </row>
    <row r="688" spans="1:13" x14ac:dyDescent="0.25">
      <c r="A688" s="6">
        <v>1.1675333512691699E+17</v>
      </c>
      <c r="B688" s="30" t="s">
        <v>144</v>
      </c>
      <c r="C688" s="32" t="str">
        <f t="shared" si="20"/>
        <v>Jan</v>
      </c>
      <c r="D688" s="11" t="s">
        <v>9</v>
      </c>
      <c r="E688" s="13">
        <v>221308</v>
      </c>
      <c r="F688" s="13">
        <v>7117</v>
      </c>
      <c r="G688" s="13">
        <v>3</v>
      </c>
      <c r="H688" s="13">
        <v>164.07766990291199</v>
      </c>
      <c r="I688" s="13">
        <v>5.1844660194174796</v>
      </c>
      <c r="J688" s="13">
        <f t="shared" si="21"/>
        <v>169.26213592232946</v>
      </c>
      <c r="K688" s="13">
        <v>47.572815533980602</v>
      </c>
      <c r="L688" s="11" t="s">
        <v>10</v>
      </c>
      <c r="M688" s="26"/>
    </row>
    <row r="689" spans="1:13" x14ac:dyDescent="0.25">
      <c r="A689" s="6">
        <v>1.1437580842390301E+17</v>
      </c>
      <c r="B689" s="30" t="s">
        <v>138</v>
      </c>
      <c r="C689" s="32" t="str">
        <f t="shared" si="20"/>
        <v>Jan</v>
      </c>
      <c r="D689" s="11" t="s">
        <v>16</v>
      </c>
      <c r="E689" s="13">
        <v>752089</v>
      </c>
      <c r="F689" s="13">
        <v>7117</v>
      </c>
      <c r="G689" s="13">
        <v>3</v>
      </c>
      <c r="H689" s="13">
        <v>165.04854368932001</v>
      </c>
      <c r="I689" s="13">
        <v>5.1844660194174796</v>
      </c>
      <c r="J689" s="13">
        <f t="shared" si="21"/>
        <v>170.23300970873748</v>
      </c>
      <c r="K689" s="13">
        <v>48.543689320388303</v>
      </c>
      <c r="L689" s="11" t="s">
        <v>54</v>
      </c>
      <c r="M689" s="26"/>
    </row>
    <row r="690" spans="1:13" x14ac:dyDescent="0.25">
      <c r="A690" s="6">
        <v>1.1573652904195101E+17</v>
      </c>
      <c r="B690" s="30" t="s">
        <v>137</v>
      </c>
      <c r="C690" s="32" t="str">
        <f t="shared" si="20"/>
        <v>Jan</v>
      </c>
      <c r="D690" s="11" t="s">
        <v>9</v>
      </c>
      <c r="E690" s="13">
        <v>500037</v>
      </c>
      <c r="F690" s="13">
        <v>7117</v>
      </c>
      <c r="G690" s="13">
        <v>3</v>
      </c>
      <c r="H690" s="13">
        <v>160.19417475728099</v>
      </c>
      <c r="I690" s="13">
        <v>4.8058252427184502</v>
      </c>
      <c r="J690" s="13">
        <f t="shared" si="21"/>
        <v>164.99999999999943</v>
      </c>
      <c r="K690" s="13">
        <v>57.2815533980583</v>
      </c>
      <c r="L690" s="11" t="s">
        <v>53</v>
      </c>
      <c r="M690" s="26"/>
    </row>
    <row r="691" spans="1:13" x14ac:dyDescent="0.25">
      <c r="A691" s="6">
        <v>1.0714746719125101E+17</v>
      </c>
      <c r="B691" s="30" t="s">
        <v>150</v>
      </c>
      <c r="C691" s="32" t="str">
        <f t="shared" si="20"/>
        <v>Jan</v>
      </c>
      <c r="D691" s="11" t="s">
        <v>16</v>
      </c>
      <c r="E691" s="13">
        <v>110077</v>
      </c>
      <c r="F691" s="13">
        <v>7117</v>
      </c>
      <c r="G691" s="13">
        <v>3</v>
      </c>
      <c r="H691" s="13">
        <v>148.54368932038801</v>
      </c>
      <c r="I691" s="13">
        <v>4.8058252427184502</v>
      </c>
      <c r="J691" s="13">
        <f t="shared" si="21"/>
        <v>153.34951456310645</v>
      </c>
      <c r="K691" s="13">
        <v>44.660194174757301</v>
      </c>
      <c r="L691" s="11" t="s">
        <v>28</v>
      </c>
      <c r="M691" s="26"/>
    </row>
    <row r="692" spans="1:13" x14ac:dyDescent="0.25">
      <c r="A692" s="6">
        <v>1.12174747606774E+17</v>
      </c>
      <c r="B692" s="30" t="s">
        <v>158</v>
      </c>
      <c r="C692" s="32" t="str">
        <f t="shared" si="20"/>
        <v>Jan</v>
      </c>
      <c r="D692" s="11" t="s">
        <v>16</v>
      </c>
      <c r="E692" s="13">
        <v>759123</v>
      </c>
      <c r="F692" s="13">
        <v>7117</v>
      </c>
      <c r="G692" s="13">
        <v>3</v>
      </c>
      <c r="H692" s="13">
        <v>164.07766990291199</v>
      </c>
      <c r="I692" s="13">
        <v>4.9223300970873796</v>
      </c>
      <c r="J692" s="13">
        <f t="shared" si="21"/>
        <v>168.99999999999937</v>
      </c>
      <c r="K692" s="13">
        <v>57.2815533980583</v>
      </c>
      <c r="L692" s="11" t="s">
        <v>54</v>
      </c>
      <c r="M692" s="26"/>
    </row>
    <row r="693" spans="1:13" x14ac:dyDescent="0.25">
      <c r="A693" s="6">
        <v>1.07036959792324E+17</v>
      </c>
      <c r="B693" s="30" t="s">
        <v>150</v>
      </c>
      <c r="C693" s="32" t="str">
        <f t="shared" si="20"/>
        <v>Jan</v>
      </c>
      <c r="D693" s="11" t="s">
        <v>25</v>
      </c>
      <c r="E693" s="13">
        <v>246446</v>
      </c>
      <c r="F693" s="13">
        <v>7117</v>
      </c>
      <c r="G693" s="13">
        <v>3</v>
      </c>
      <c r="H693" s="13">
        <v>153.39805825242701</v>
      </c>
      <c r="I693" s="13">
        <v>4.8058252427184502</v>
      </c>
      <c r="J693" s="13">
        <f t="shared" si="21"/>
        <v>158.20388349514545</v>
      </c>
      <c r="K693" s="13">
        <v>49.514563106796103</v>
      </c>
      <c r="L693" s="11" t="s">
        <v>49</v>
      </c>
      <c r="M693" s="26"/>
    </row>
    <row r="694" spans="1:13" x14ac:dyDescent="0.25">
      <c r="A694" s="6">
        <v>1.0705641422417901E+17</v>
      </c>
      <c r="B694" s="30" t="s">
        <v>150</v>
      </c>
      <c r="C694" s="32" t="str">
        <f t="shared" si="20"/>
        <v>Jan</v>
      </c>
      <c r="D694" s="11" t="s">
        <v>25</v>
      </c>
      <c r="E694" s="13">
        <v>362630</v>
      </c>
      <c r="F694" s="13">
        <v>7117</v>
      </c>
      <c r="G694" s="13">
        <v>3</v>
      </c>
      <c r="H694" s="13">
        <v>142.718446601941</v>
      </c>
      <c r="I694" s="13">
        <v>4.8058252427184502</v>
      </c>
      <c r="J694" s="13">
        <f t="shared" si="21"/>
        <v>147.52427184465944</v>
      </c>
      <c r="K694" s="13">
        <v>38.834951456310698</v>
      </c>
      <c r="L694" s="11" t="s">
        <v>12</v>
      </c>
      <c r="M694" s="26"/>
    </row>
    <row r="695" spans="1:13" x14ac:dyDescent="0.25">
      <c r="A695" s="6">
        <v>1.16849979620094E+17</v>
      </c>
      <c r="B695" s="30" t="s">
        <v>144</v>
      </c>
      <c r="C695" s="32" t="str">
        <f t="shared" si="20"/>
        <v>Jan</v>
      </c>
      <c r="D695" s="11" t="s">
        <v>9</v>
      </c>
      <c r="E695" s="13">
        <v>276001</v>
      </c>
      <c r="F695" s="13">
        <v>7117</v>
      </c>
      <c r="G695" s="13">
        <v>3</v>
      </c>
      <c r="H695" s="13">
        <v>164.07766990291199</v>
      </c>
      <c r="I695" s="13">
        <v>5.1844660194174796</v>
      </c>
      <c r="J695" s="13">
        <f t="shared" si="21"/>
        <v>169.26213592232946</v>
      </c>
      <c r="K695" s="13">
        <v>47.572815533980602</v>
      </c>
      <c r="L695" s="11" t="s">
        <v>10</v>
      </c>
      <c r="M695" s="26"/>
    </row>
    <row r="696" spans="1:13" x14ac:dyDescent="0.25">
      <c r="A696" s="6">
        <v>1.0921741340864499E+17</v>
      </c>
      <c r="B696" s="30" t="s">
        <v>161</v>
      </c>
      <c r="C696" s="32" t="str">
        <f t="shared" si="20"/>
        <v>Jan</v>
      </c>
      <c r="D696" s="11" t="s">
        <v>21</v>
      </c>
      <c r="E696" s="13">
        <v>795005</v>
      </c>
      <c r="F696" s="13">
        <v>7117</v>
      </c>
      <c r="G696" s="13">
        <v>3</v>
      </c>
      <c r="H696" s="13">
        <v>195.14563106796101</v>
      </c>
      <c r="I696" s="13">
        <v>5.8543689320388301</v>
      </c>
      <c r="J696" s="13">
        <f t="shared" si="21"/>
        <v>200.99999999999983</v>
      </c>
      <c r="K696" s="13">
        <v>78.640776699029104</v>
      </c>
      <c r="L696" s="11" t="s">
        <v>169</v>
      </c>
      <c r="M696" s="26"/>
    </row>
    <row r="697" spans="1:13" x14ac:dyDescent="0.25">
      <c r="A697" s="6">
        <v>1.0702235381651E+17</v>
      </c>
      <c r="B697" s="30" t="s">
        <v>150</v>
      </c>
      <c r="C697" s="32" t="str">
        <f t="shared" si="20"/>
        <v>Jan</v>
      </c>
      <c r="D697" s="11" t="s">
        <v>16</v>
      </c>
      <c r="E697" s="13">
        <v>396126</v>
      </c>
      <c r="F697" s="13">
        <v>7117</v>
      </c>
      <c r="G697" s="13">
        <v>3</v>
      </c>
      <c r="H697" s="13">
        <v>143.68932038834899</v>
      </c>
      <c r="I697" s="13">
        <v>4.3106796116504897</v>
      </c>
      <c r="J697" s="13">
        <f t="shared" si="21"/>
        <v>147.99999999999949</v>
      </c>
      <c r="K697" s="13">
        <v>56.3106796116505</v>
      </c>
      <c r="L697" s="11" t="s">
        <v>12</v>
      </c>
      <c r="M697" s="26"/>
    </row>
    <row r="698" spans="1:13" x14ac:dyDescent="0.25">
      <c r="A698" s="6">
        <v>1.1395195352586301E+17</v>
      </c>
      <c r="B698" s="30" t="s">
        <v>147</v>
      </c>
      <c r="C698" s="32" t="str">
        <f t="shared" si="20"/>
        <v>Jan</v>
      </c>
      <c r="D698" s="11" t="s">
        <v>16</v>
      </c>
      <c r="E698" s="13">
        <v>560026</v>
      </c>
      <c r="F698" s="13">
        <v>7117</v>
      </c>
      <c r="G698" s="13">
        <v>3</v>
      </c>
      <c r="H698" s="13">
        <v>168.93203883495099</v>
      </c>
      <c r="I698" s="13">
        <v>5.0679611650485397</v>
      </c>
      <c r="J698" s="13">
        <f t="shared" si="21"/>
        <v>173.99999999999952</v>
      </c>
      <c r="K698" s="13">
        <v>57.2815533980583</v>
      </c>
      <c r="L698" s="11" t="s">
        <v>19</v>
      </c>
      <c r="M698" s="26"/>
    </row>
    <row r="699" spans="1:13" x14ac:dyDescent="0.25">
      <c r="A699" s="6">
        <v>1.0809870720899101E+17</v>
      </c>
      <c r="B699" s="30" t="s">
        <v>153</v>
      </c>
      <c r="C699" s="32" t="str">
        <f t="shared" si="20"/>
        <v>Jan</v>
      </c>
      <c r="D699" s="11" t="s">
        <v>21</v>
      </c>
      <c r="E699" s="13">
        <v>110086</v>
      </c>
      <c r="F699" s="13">
        <v>7117</v>
      </c>
      <c r="G699" s="13">
        <v>3</v>
      </c>
      <c r="H699" s="13">
        <v>157.28155339805801</v>
      </c>
      <c r="I699" s="13">
        <v>4.9805825242718402</v>
      </c>
      <c r="J699" s="13">
        <f t="shared" si="21"/>
        <v>162.26213592232986</v>
      </c>
      <c r="K699" s="13">
        <v>48.543689320388303</v>
      </c>
      <c r="L699" s="11" t="s">
        <v>28</v>
      </c>
      <c r="M699" s="26"/>
    </row>
    <row r="700" spans="1:13" x14ac:dyDescent="0.25">
      <c r="A700" s="6">
        <v>1.09607058579682E+17</v>
      </c>
      <c r="B700" s="30" t="s">
        <v>164</v>
      </c>
      <c r="C700" s="32" t="str">
        <f t="shared" si="20"/>
        <v>Jan</v>
      </c>
      <c r="D700" s="11" t="s">
        <v>21</v>
      </c>
      <c r="E700" s="13">
        <v>799275</v>
      </c>
      <c r="F700" s="13">
        <v>7117</v>
      </c>
      <c r="G700" s="13">
        <v>3</v>
      </c>
      <c r="H700" s="13">
        <v>233.009708737864</v>
      </c>
      <c r="I700" s="13">
        <v>6.9902912621359201</v>
      </c>
      <c r="J700" s="13">
        <f t="shared" si="21"/>
        <v>239.99999999999991</v>
      </c>
      <c r="K700" s="13">
        <v>77.669902912621396</v>
      </c>
      <c r="L700" s="11" t="s">
        <v>165</v>
      </c>
      <c r="M700" s="26"/>
    </row>
    <row r="701" spans="1:13" x14ac:dyDescent="0.25">
      <c r="A701" s="6">
        <v>1.07017124572328E+17</v>
      </c>
      <c r="B701" s="30" t="s">
        <v>150</v>
      </c>
      <c r="C701" s="32" t="str">
        <f t="shared" si="20"/>
        <v>Jan</v>
      </c>
      <c r="D701" s="11" t="s">
        <v>16</v>
      </c>
      <c r="E701" s="13">
        <v>332302</v>
      </c>
      <c r="F701" s="13">
        <v>7117</v>
      </c>
      <c r="G701" s="13">
        <v>3</v>
      </c>
      <c r="H701" s="13">
        <v>121.35922330097</v>
      </c>
      <c r="I701" s="13">
        <v>3.84466019417476</v>
      </c>
      <c r="J701" s="13">
        <f t="shared" si="21"/>
        <v>125.20388349514477</v>
      </c>
      <c r="K701" s="13">
        <v>50.485436893203897</v>
      </c>
      <c r="L701" s="11" t="s">
        <v>46</v>
      </c>
      <c r="M701" s="26"/>
    </row>
    <row r="702" spans="1:13" x14ac:dyDescent="0.25">
      <c r="A702" s="6">
        <v>1.1349634346047501E+17</v>
      </c>
      <c r="B702" s="30" t="s">
        <v>168</v>
      </c>
      <c r="C702" s="32" t="str">
        <f t="shared" si="20"/>
        <v>Jan</v>
      </c>
      <c r="D702" s="11" t="s">
        <v>16</v>
      </c>
      <c r="E702" s="13">
        <v>799131</v>
      </c>
      <c r="F702" s="13">
        <v>7117</v>
      </c>
      <c r="G702" s="13">
        <v>3</v>
      </c>
      <c r="H702" s="13">
        <v>189.32038834951399</v>
      </c>
      <c r="I702" s="13">
        <v>5.6796116504854401</v>
      </c>
      <c r="J702" s="13">
        <f t="shared" si="21"/>
        <v>194.99999999999943</v>
      </c>
      <c r="K702" s="13">
        <v>78.640776699029104</v>
      </c>
      <c r="L702" s="11" t="s">
        <v>165</v>
      </c>
      <c r="M702" s="26"/>
    </row>
    <row r="703" spans="1:13" x14ac:dyDescent="0.25">
      <c r="A703" s="6">
        <v>1.11003133078208E+17</v>
      </c>
      <c r="B703" s="30" t="s">
        <v>155</v>
      </c>
      <c r="C703" s="32" t="str">
        <f t="shared" si="20"/>
        <v>Jan</v>
      </c>
      <c r="D703" s="11" t="s">
        <v>16</v>
      </c>
      <c r="E703" s="13">
        <v>273212</v>
      </c>
      <c r="F703" s="13">
        <v>7117</v>
      </c>
      <c r="G703" s="13">
        <v>3</v>
      </c>
      <c r="H703" s="13">
        <v>157.28155339805801</v>
      </c>
      <c r="I703" s="13">
        <v>4.9805825242718402</v>
      </c>
      <c r="J703" s="13">
        <f t="shared" si="21"/>
        <v>162.26213592232986</v>
      </c>
      <c r="K703" s="13">
        <v>48.543689320388303</v>
      </c>
      <c r="L703" s="11" t="s">
        <v>10</v>
      </c>
      <c r="M703" s="26"/>
    </row>
    <row r="704" spans="1:13" x14ac:dyDescent="0.25">
      <c r="A704" s="6">
        <v>1.1416265321955E+17</v>
      </c>
      <c r="B704" s="30" t="s">
        <v>138</v>
      </c>
      <c r="C704" s="32" t="str">
        <f t="shared" si="20"/>
        <v>Jan</v>
      </c>
      <c r="D704" s="11" t="s">
        <v>16</v>
      </c>
      <c r="E704" s="13">
        <v>400053</v>
      </c>
      <c r="F704" s="13">
        <v>7117</v>
      </c>
      <c r="G704" s="13">
        <v>3</v>
      </c>
      <c r="H704" s="13">
        <v>155.339805825242</v>
      </c>
      <c r="I704" s="13">
        <v>5.1844660194174796</v>
      </c>
      <c r="J704" s="13">
        <f t="shared" si="21"/>
        <v>160.52427184465947</v>
      </c>
      <c r="K704" s="13">
        <v>38.834951456310698</v>
      </c>
      <c r="L704" s="11" t="s">
        <v>41</v>
      </c>
      <c r="M704" s="26"/>
    </row>
    <row r="705" spans="1:13" x14ac:dyDescent="0.25">
      <c r="A705" s="6">
        <v>1.06427518256706E+17</v>
      </c>
      <c r="B705" s="30" t="s">
        <v>156</v>
      </c>
      <c r="C705" s="32" t="str">
        <f t="shared" si="20"/>
        <v>Jan</v>
      </c>
      <c r="D705" s="11" t="s">
        <v>25</v>
      </c>
      <c r="E705" s="13">
        <v>532430</v>
      </c>
      <c r="F705" s="13">
        <v>7117</v>
      </c>
      <c r="G705" s="13">
        <v>3</v>
      </c>
      <c r="H705" s="13">
        <v>174.757281553398</v>
      </c>
      <c r="I705" s="13">
        <v>5.2427184466019403</v>
      </c>
      <c r="J705" s="13">
        <f t="shared" si="21"/>
        <v>179.99999999999994</v>
      </c>
      <c r="K705" s="13">
        <v>58.252427184466001</v>
      </c>
      <c r="L705" s="11" t="s">
        <v>39</v>
      </c>
      <c r="M705" s="26"/>
    </row>
    <row r="706" spans="1:13" x14ac:dyDescent="0.25">
      <c r="A706" s="6">
        <v>1.0993865819560301E+17</v>
      </c>
      <c r="B706" s="30" t="s">
        <v>142</v>
      </c>
      <c r="C706" s="32" t="str">
        <f t="shared" si="20"/>
        <v>Jan</v>
      </c>
      <c r="D706" s="11" t="s">
        <v>25</v>
      </c>
      <c r="E706" s="13">
        <v>492001</v>
      </c>
      <c r="F706" s="13">
        <v>7117</v>
      </c>
      <c r="G706" s="13">
        <v>3</v>
      </c>
      <c r="H706" s="13">
        <v>166.01941747572801</v>
      </c>
      <c r="I706" s="13">
        <v>4.9805825242718402</v>
      </c>
      <c r="J706" s="13">
        <f t="shared" si="21"/>
        <v>170.99999999999986</v>
      </c>
      <c r="K706" s="13">
        <v>57.2815533980583</v>
      </c>
      <c r="L706" s="11" t="s">
        <v>23</v>
      </c>
      <c r="M706" s="26"/>
    </row>
    <row r="707" spans="1:13" x14ac:dyDescent="0.25">
      <c r="A707" s="6">
        <v>1.13955893352398E+17</v>
      </c>
      <c r="B707" s="30" t="s">
        <v>147</v>
      </c>
      <c r="C707" s="32" t="str">
        <f t="shared" ref="C707:C770" si="22">TEXT(B707, "mmm")</f>
        <v>Jan</v>
      </c>
      <c r="D707" s="11" t="s">
        <v>16</v>
      </c>
      <c r="E707" s="13">
        <v>822117</v>
      </c>
      <c r="F707" s="13">
        <v>7117</v>
      </c>
      <c r="G707" s="13">
        <v>3</v>
      </c>
      <c r="H707" s="13">
        <v>148.54368932038801</v>
      </c>
      <c r="I707" s="13">
        <v>4.9805825242718402</v>
      </c>
      <c r="J707" s="13">
        <f t="shared" ref="J707:J770" si="23">H707+I707</f>
        <v>153.52427184465986</v>
      </c>
      <c r="K707" s="13">
        <v>39.805825242718498</v>
      </c>
      <c r="L707" s="11" t="s">
        <v>37</v>
      </c>
      <c r="M707" s="26"/>
    </row>
    <row r="708" spans="1:13" x14ac:dyDescent="0.25">
      <c r="A708" s="6">
        <v>1.1280892739079E+17</v>
      </c>
      <c r="B708" s="30" t="s">
        <v>159</v>
      </c>
      <c r="C708" s="32" t="str">
        <f t="shared" si="22"/>
        <v>Jan</v>
      </c>
      <c r="D708" s="11" t="s">
        <v>21</v>
      </c>
      <c r="E708" s="13">
        <v>854108</v>
      </c>
      <c r="F708" s="13">
        <v>7117</v>
      </c>
      <c r="G708" s="13">
        <v>3</v>
      </c>
      <c r="H708" s="13">
        <v>169.90291262135901</v>
      </c>
      <c r="I708" s="13">
        <v>5.0970873786407802</v>
      </c>
      <c r="J708" s="13">
        <f t="shared" si="23"/>
        <v>174.9999999999998</v>
      </c>
      <c r="K708" s="13">
        <v>59.223300970873801</v>
      </c>
      <c r="L708" s="11" t="s">
        <v>22</v>
      </c>
      <c r="M708" s="26"/>
    </row>
    <row r="709" spans="1:13" x14ac:dyDescent="0.25">
      <c r="A709" s="6">
        <v>1.1493141247770499E+17</v>
      </c>
      <c r="B709" s="30" t="s">
        <v>148</v>
      </c>
      <c r="C709" s="32" t="str">
        <f t="shared" si="22"/>
        <v>Jan</v>
      </c>
      <c r="D709" s="11" t="s">
        <v>9</v>
      </c>
      <c r="E709" s="13">
        <v>516227</v>
      </c>
      <c r="F709" s="13">
        <v>7117</v>
      </c>
      <c r="G709" s="13">
        <v>3</v>
      </c>
      <c r="H709" s="13">
        <v>172.81553398058199</v>
      </c>
      <c r="I709" s="13">
        <v>5.1844660194174796</v>
      </c>
      <c r="J709" s="13">
        <f t="shared" si="23"/>
        <v>177.99999999999946</v>
      </c>
      <c r="K709" s="13">
        <v>56.3106796116505</v>
      </c>
      <c r="L709" s="11" t="s">
        <v>39</v>
      </c>
      <c r="M709" s="26"/>
    </row>
    <row r="710" spans="1:13" x14ac:dyDescent="0.25">
      <c r="A710" s="6">
        <v>1.0967063489708E+17</v>
      </c>
      <c r="B710" s="30" t="s">
        <v>164</v>
      </c>
      <c r="C710" s="32" t="str">
        <f t="shared" si="22"/>
        <v>Jan</v>
      </c>
      <c r="D710" s="11" t="s">
        <v>16</v>
      </c>
      <c r="E710" s="13">
        <v>825106</v>
      </c>
      <c r="F710" s="13">
        <v>7117</v>
      </c>
      <c r="G710" s="13">
        <v>3</v>
      </c>
      <c r="H710" s="13">
        <v>172.81553398058199</v>
      </c>
      <c r="I710" s="13">
        <v>5.1844660194174796</v>
      </c>
      <c r="J710" s="13">
        <f t="shared" si="23"/>
        <v>177.99999999999946</v>
      </c>
      <c r="K710" s="13">
        <v>56.3106796116505</v>
      </c>
      <c r="L710" s="11" t="s">
        <v>37</v>
      </c>
      <c r="M710" s="26"/>
    </row>
    <row r="711" spans="1:13" x14ac:dyDescent="0.25">
      <c r="A711" s="6">
        <v>1.06670108600202E+17</v>
      </c>
      <c r="B711" s="30" t="s">
        <v>163</v>
      </c>
      <c r="C711" s="32" t="str">
        <f t="shared" si="22"/>
        <v>Jan</v>
      </c>
      <c r="D711" s="11" t="s">
        <v>25</v>
      </c>
      <c r="E711" s="13">
        <v>415639</v>
      </c>
      <c r="F711" s="13">
        <v>7117</v>
      </c>
      <c r="G711" s="13">
        <v>3</v>
      </c>
      <c r="H711" s="13">
        <v>137.864077669902</v>
      </c>
      <c r="I711" s="13">
        <v>4.6893203883495103</v>
      </c>
      <c r="J711" s="13">
        <f t="shared" si="23"/>
        <v>142.5533980582515</v>
      </c>
      <c r="K711" s="13">
        <v>40.776699029126199</v>
      </c>
      <c r="L711" s="11" t="s">
        <v>41</v>
      </c>
      <c r="M711" s="26"/>
    </row>
    <row r="712" spans="1:13" x14ac:dyDescent="0.25">
      <c r="A712" s="6">
        <v>1.14614584891042E+17</v>
      </c>
      <c r="B712" s="30" t="s">
        <v>139</v>
      </c>
      <c r="C712" s="32" t="str">
        <f t="shared" si="22"/>
        <v>Jan</v>
      </c>
      <c r="D712" s="11" t="s">
        <v>21</v>
      </c>
      <c r="E712" s="13">
        <v>712407</v>
      </c>
      <c r="F712" s="13">
        <v>7117</v>
      </c>
      <c r="G712" s="13">
        <v>3</v>
      </c>
      <c r="H712" s="13">
        <v>136.893203883495</v>
      </c>
      <c r="I712" s="13">
        <v>4.6310679611650496</v>
      </c>
      <c r="J712" s="13">
        <f t="shared" si="23"/>
        <v>141.52427184466006</v>
      </c>
      <c r="K712" s="13">
        <v>38.834951456310698</v>
      </c>
      <c r="L712" s="11" t="s">
        <v>14</v>
      </c>
      <c r="M712" s="26"/>
    </row>
    <row r="713" spans="1:13" x14ac:dyDescent="0.25">
      <c r="A713" s="6">
        <v>1.07924627704316E+17</v>
      </c>
      <c r="B713" s="30" t="s">
        <v>153</v>
      </c>
      <c r="C713" s="32" t="str">
        <f t="shared" si="22"/>
        <v>Jan</v>
      </c>
      <c r="D713" s="11" t="s">
        <v>16</v>
      </c>
      <c r="E713" s="13">
        <v>401208</v>
      </c>
      <c r="F713" s="13">
        <v>7117</v>
      </c>
      <c r="G713" s="13">
        <v>3</v>
      </c>
      <c r="H713" s="13">
        <v>142.718446601941</v>
      </c>
      <c r="I713" s="13">
        <v>4.8058252427184502</v>
      </c>
      <c r="J713" s="13">
        <f t="shared" si="23"/>
        <v>147.52427184465944</v>
      </c>
      <c r="K713" s="13">
        <v>39.805825242718498</v>
      </c>
      <c r="L713" s="11" t="s">
        <v>41</v>
      </c>
      <c r="M713" s="26"/>
    </row>
    <row r="714" spans="1:13" x14ac:dyDescent="0.25">
      <c r="A714" s="6">
        <v>1.1059725261527101E+17</v>
      </c>
      <c r="B714" s="30" t="s">
        <v>143</v>
      </c>
      <c r="C714" s="32" t="str">
        <f t="shared" si="22"/>
        <v>Jan</v>
      </c>
      <c r="D714" s="11" t="s">
        <v>25</v>
      </c>
      <c r="E714" s="13">
        <v>223224</v>
      </c>
      <c r="F714" s="13">
        <v>7117</v>
      </c>
      <c r="G714" s="13">
        <v>3</v>
      </c>
      <c r="H714" s="13">
        <v>133.980582524271</v>
      </c>
      <c r="I714" s="13">
        <v>4.6310679611650496</v>
      </c>
      <c r="J714" s="13">
        <f t="shared" si="23"/>
        <v>138.61165048543606</v>
      </c>
      <c r="K714" s="13">
        <v>36.893203883495197</v>
      </c>
      <c r="L714" s="11" t="s">
        <v>10</v>
      </c>
      <c r="M714" s="26"/>
    </row>
    <row r="715" spans="1:13" x14ac:dyDescent="0.25">
      <c r="A715" s="6">
        <v>1.1169356455519E+17</v>
      </c>
      <c r="B715" s="30" t="s">
        <v>146</v>
      </c>
      <c r="C715" s="32" t="str">
        <f t="shared" si="22"/>
        <v>Jan</v>
      </c>
      <c r="D715" s="11" t="s">
        <v>16</v>
      </c>
      <c r="E715" s="13">
        <v>222203</v>
      </c>
      <c r="F715" s="13">
        <v>7117</v>
      </c>
      <c r="G715" s="13">
        <v>3</v>
      </c>
      <c r="H715" s="13">
        <v>169.90291262135901</v>
      </c>
      <c r="I715" s="13">
        <v>5.0970873786407802</v>
      </c>
      <c r="J715" s="13">
        <f t="shared" si="23"/>
        <v>174.9999999999998</v>
      </c>
      <c r="K715" s="13">
        <v>59.223300970873801</v>
      </c>
      <c r="L715" s="11" t="s">
        <v>10</v>
      </c>
      <c r="M715" s="26"/>
    </row>
    <row r="716" spans="1:13" x14ac:dyDescent="0.25">
      <c r="A716" s="6">
        <v>1.16611353196954E+17</v>
      </c>
      <c r="B716" s="30" t="s">
        <v>144</v>
      </c>
      <c r="C716" s="32" t="str">
        <f t="shared" si="22"/>
        <v>Jan</v>
      </c>
      <c r="D716" s="11" t="s">
        <v>9</v>
      </c>
      <c r="E716" s="13">
        <v>670309</v>
      </c>
      <c r="F716" s="13">
        <v>7117</v>
      </c>
      <c r="G716" s="13">
        <v>3</v>
      </c>
      <c r="H716" s="13">
        <v>155.339805825242</v>
      </c>
      <c r="I716" s="13">
        <v>5.1844660194174796</v>
      </c>
      <c r="J716" s="13">
        <f t="shared" si="23"/>
        <v>160.52427184465947</v>
      </c>
      <c r="K716" s="13">
        <v>38.834951456310698</v>
      </c>
      <c r="L716" s="11" t="s">
        <v>98</v>
      </c>
      <c r="M716" s="26"/>
    </row>
    <row r="717" spans="1:13" x14ac:dyDescent="0.25">
      <c r="A717" s="6">
        <v>1.1191764630457501E+17</v>
      </c>
      <c r="B717" s="30" t="s">
        <v>158</v>
      </c>
      <c r="C717" s="32" t="str">
        <f t="shared" si="22"/>
        <v>Jan</v>
      </c>
      <c r="D717" s="11" t="s">
        <v>25</v>
      </c>
      <c r="E717" s="13">
        <v>591102</v>
      </c>
      <c r="F717" s="13">
        <v>7117</v>
      </c>
      <c r="G717" s="13">
        <v>3</v>
      </c>
      <c r="H717" s="13">
        <v>169.90291262135901</v>
      </c>
      <c r="I717" s="13">
        <v>5.0970873786407802</v>
      </c>
      <c r="J717" s="13">
        <f t="shared" si="23"/>
        <v>174.9999999999998</v>
      </c>
      <c r="K717" s="13">
        <v>59.223300970873801</v>
      </c>
      <c r="L717" s="11" t="s">
        <v>19</v>
      </c>
      <c r="M717" s="26"/>
    </row>
    <row r="718" spans="1:13" x14ac:dyDescent="0.25">
      <c r="A718" s="6">
        <v>1.15634174673882E+17</v>
      </c>
      <c r="B718" s="30" t="s">
        <v>137</v>
      </c>
      <c r="C718" s="32" t="str">
        <f t="shared" si="22"/>
        <v>Jan</v>
      </c>
      <c r="D718" s="11" t="s">
        <v>21</v>
      </c>
      <c r="E718" s="13">
        <v>486669</v>
      </c>
      <c r="F718" s="13">
        <v>7117</v>
      </c>
      <c r="G718" s="13">
        <v>3</v>
      </c>
      <c r="H718" s="13">
        <v>170.873786407767</v>
      </c>
      <c r="I718" s="13">
        <v>5.1262135922330101</v>
      </c>
      <c r="J718" s="13">
        <f t="shared" si="23"/>
        <v>176</v>
      </c>
      <c r="K718" s="13">
        <v>59.223300970873801</v>
      </c>
      <c r="L718" s="11" t="s">
        <v>26</v>
      </c>
      <c r="M718" s="26"/>
    </row>
    <row r="719" spans="1:13" x14ac:dyDescent="0.25">
      <c r="A719" s="6">
        <v>1.0587620923738499E+17</v>
      </c>
      <c r="B719" s="30" t="s">
        <v>128</v>
      </c>
      <c r="C719" s="32" t="str">
        <f t="shared" si="22"/>
        <v>Jan</v>
      </c>
      <c r="D719" s="11" t="s">
        <v>25</v>
      </c>
      <c r="E719" s="13">
        <v>272155</v>
      </c>
      <c r="F719" s="13">
        <v>7117</v>
      </c>
      <c r="G719" s="13">
        <v>3</v>
      </c>
      <c r="H719" s="13">
        <v>147.57281553397999</v>
      </c>
      <c r="I719" s="13">
        <v>4.6893203883495103</v>
      </c>
      <c r="J719" s="13">
        <f t="shared" si="23"/>
        <v>152.26213592232949</v>
      </c>
      <c r="K719" s="13">
        <v>49.514563106796103</v>
      </c>
      <c r="L719" s="11" t="s">
        <v>10</v>
      </c>
      <c r="M719" s="26"/>
    </row>
    <row r="720" spans="1:13" x14ac:dyDescent="0.25">
      <c r="A720" s="6">
        <v>1.0636110952270701E+17</v>
      </c>
      <c r="B720" s="30" t="s">
        <v>156</v>
      </c>
      <c r="C720" s="32" t="str">
        <f t="shared" si="22"/>
        <v>Jan</v>
      </c>
      <c r="D720" s="11" t="s">
        <v>16</v>
      </c>
      <c r="E720" s="13">
        <v>847122</v>
      </c>
      <c r="F720" s="13">
        <v>7117</v>
      </c>
      <c r="G720" s="13">
        <v>3</v>
      </c>
      <c r="H720" s="13">
        <v>147.57281553397999</v>
      </c>
      <c r="I720" s="13">
        <v>4.42718446601942</v>
      </c>
      <c r="J720" s="13">
        <f t="shared" si="23"/>
        <v>151.9999999999994</v>
      </c>
      <c r="K720" s="13">
        <v>59.223300970873801</v>
      </c>
      <c r="L720" s="11" t="s">
        <v>22</v>
      </c>
      <c r="M720" s="26"/>
    </row>
    <row r="721" spans="1:13" x14ac:dyDescent="0.25">
      <c r="A721" s="6">
        <v>1.12488636548936E+17</v>
      </c>
      <c r="B721" s="30" t="s">
        <v>154</v>
      </c>
      <c r="C721" s="32" t="str">
        <f t="shared" si="22"/>
        <v>Jan</v>
      </c>
      <c r="D721" s="11" t="s">
        <v>25</v>
      </c>
      <c r="E721" s="13">
        <v>461775</v>
      </c>
      <c r="F721" s="13">
        <v>7117</v>
      </c>
      <c r="G721" s="13">
        <v>3</v>
      </c>
      <c r="H721" s="13">
        <v>146.601941747572</v>
      </c>
      <c r="I721" s="13">
        <v>4.3980582524271803</v>
      </c>
      <c r="J721" s="13">
        <f t="shared" si="23"/>
        <v>150.99999999999918</v>
      </c>
      <c r="K721" s="13">
        <v>58.252427184466001</v>
      </c>
      <c r="L721" s="11" t="s">
        <v>26</v>
      </c>
      <c r="M721" s="26"/>
    </row>
    <row r="722" spans="1:13" x14ac:dyDescent="0.25">
      <c r="A722" s="6">
        <v>1.0752799004035901E+17</v>
      </c>
      <c r="B722" s="30" t="s">
        <v>140</v>
      </c>
      <c r="C722" s="32" t="str">
        <f t="shared" si="22"/>
        <v>Jan</v>
      </c>
      <c r="D722" s="11" t="s">
        <v>16</v>
      </c>
      <c r="E722" s="13">
        <v>577229</v>
      </c>
      <c r="F722" s="13">
        <v>7117</v>
      </c>
      <c r="G722" s="13">
        <v>3</v>
      </c>
      <c r="H722" s="13">
        <v>162.135922330097</v>
      </c>
      <c r="I722" s="13">
        <v>4.86407766990291</v>
      </c>
      <c r="J722" s="13">
        <f t="shared" si="23"/>
        <v>166.99999999999991</v>
      </c>
      <c r="K722" s="13">
        <v>58.252427184466001</v>
      </c>
      <c r="L722" s="11" t="s">
        <v>19</v>
      </c>
      <c r="M722" s="26"/>
    </row>
    <row r="723" spans="1:13" x14ac:dyDescent="0.25">
      <c r="A723" s="6">
        <v>1.1351935936813101E+17</v>
      </c>
      <c r="B723" s="30" t="s">
        <v>168</v>
      </c>
      <c r="C723" s="32" t="str">
        <f t="shared" si="22"/>
        <v>Jan</v>
      </c>
      <c r="D723" s="11" t="s">
        <v>52</v>
      </c>
      <c r="E723" s="13">
        <v>825301</v>
      </c>
      <c r="F723" s="13">
        <v>7117</v>
      </c>
      <c r="G723" s="13">
        <v>3</v>
      </c>
      <c r="H723" s="13">
        <v>164.07766990291199</v>
      </c>
      <c r="I723" s="13">
        <v>4.9223300970873796</v>
      </c>
      <c r="J723" s="13">
        <f t="shared" si="23"/>
        <v>168.99999999999937</v>
      </c>
      <c r="K723" s="13">
        <v>57.2815533980583</v>
      </c>
      <c r="L723" s="11" t="s">
        <v>37</v>
      </c>
      <c r="M723" s="26"/>
    </row>
    <row r="724" spans="1:13" x14ac:dyDescent="0.25">
      <c r="A724" s="6">
        <v>1.12547668840046E+17</v>
      </c>
      <c r="B724" s="30" t="s">
        <v>154</v>
      </c>
      <c r="C724" s="32" t="str">
        <f t="shared" si="22"/>
        <v>Jan</v>
      </c>
      <c r="D724" s="11" t="s">
        <v>71</v>
      </c>
      <c r="E724" s="13">
        <v>273202</v>
      </c>
      <c r="F724" s="13">
        <v>7117</v>
      </c>
      <c r="G724" s="13">
        <v>3</v>
      </c>
      <c r="H724" s="13">
        <v>162.135922330097</v>
      </c>
      <c r="I724" s="13">
        <v>5.1262135922330101</v>
      </c>
      <c r="J724" s="13">
        <f t="shared" si="23"/>
        <v>167.26213592233</v>
      </c>
      <c r="K724" s="13">
        <v>50.485436893203897</v>
      </c>
      <c r="L724" s="11" t="s">
        <v>10</v>
      </c>
      <c r="M724" s="26"/>
    </row>
    <row r="725" spans="1:13" x14ac:dyDescent="0.25">
      <c r="A725" s="6">
        <v>1.11510288125288E+17</v>
      </c>
      <c r="B725" s="30" t="s">
        <v>145</v>
      </c>
      <c r="C725" s="32" t="str">
        <f t="shared" si="22"/>
        <v>Jan</v>
      </c>
      <c r="D725" s="11" t="s">
        <v>16</v>
      </c>
      <c r="E725" s="13">
        <v>770042</v>
      </c>
      <c r="F725" s="13">
        <v>7117</v>
      </c>
      <c r="G725" s="13">
        <v>3</v>
      </c>
      <c r="H725" s="13">
        <v>169.90291262135901</v>
      </c>
      <c r="I725" s="13">
        <v>5.0970873786407802</v>
      </c>
      <c r="J725" s="13">
        <f t="shared" si="23"/>
        <v>174.9999999999998</v>
      </c>
      <c r="K725" s="13">
        <v>59.223300970873801</v>
      </c>
      <c r="L725" s="11" t="s">
        <v>54</v>
      </c>
      <c r="M725" s="26"/>
    </row>
    <row r="726" spans="1:13" x14ac:dyDescent="0.25">
      <c r="A726" s="6">
        <v>1.0661070605244E+17</v>
      </c>
      <c r="B726" s="30" t="s">
        <v>163</v>
      </c>
      <c r="C726" s="32" t="str">
        <f t="shared" si="22"/>
        <v>Jan</v>
      </c>
      <c r="D726" s="11" t="s">
        <v>16</v>
      </c>
      <c r="E726" s="13">
        <v>121102</v>
      </c>
      <c r="F726" s="13">
        <v>7117</v>
      </c>
      <c r="G726" s="13">
        <v>3</v>
      </c>
      <c r="H726" s="13">
        <v>152.42718446601901</v>
      </c>
      <c r="I726" s="13">
        <v>5.2427184466019403</v>
      </c>
      <c r="J726" s="13">
        <f t="shared" si="23"/>
        <v>157.66990291262096</v>
      </c>
      <c r="K726" s="13">
        <v>35.922330097087404</v>
      </c>
      <c r="L726" s="11" t="s">
        <v>63</v>
      </c>
      <c r="M726" s="26"/>
    </row>
    <row r="727" spans="1:13" x14ac:dyDescent="0.25">
      <c r="A727" s="6">
        <v>1.1495047399554899E+17</v>
      </c>
      <c r="B727" s="30" t="s">
        <v>148</v>
      </c>
      <c r="C727" s="32" t="str">
        <f t="shared" si="22"/>
        <v>Jan</v>
      </c>
      <c r="D727" s="11" t="s">
        <v>16</v>
      </c>
      <c r="E727" s="13">
        <v>497111</v>
      </c>
      <c r="F727" s="13">
        <v>7117</v>
      </c>
      <c r="G727" s="13">
        <v>3</v>
      </c>
      <c r="H727" s="13">
        <v>154.368932038834</v>
      </c>
      <c r="I727" s="13">
        <v>4.6310679611650496</v>
      </c>
      <c r="J727" s="13">
        <f t="shared" si="23"/>
        <v>158.99999999999906</v>
      </c>
      <c r="K727" s="13">
        <v>56.3106796116505</v>
      </c>
      <c r="L727" s="11" t="s">
        <v>23</v>
      </c>
      <c r="M727" s="26"/>
    </row>
    <row r="728" spans="1:13" x14ac:dyDescent="0.25">
      <c r="A728" s="6">
        <v>1.1062538472642099E+17</v>
      </c>
      <c r="B728" s="30" t="s">
        <v>143</v>
      </c>
      <c r="C728" s="32" t="str">
        <f t="shared" si="22"/>
        <v>Jan</v>
      </c>
      <c r="D728" s="11" t="s">
        <v>16</v>
      </c>
      <c r="E728" s="13">
        <v>222161</v>
      </c>
      <c r="F728" s="13">
        <v>7117</v>
      </c>
      <c r="G728" s="13">
        <v>3</v>
      </c>
      <c r="H728" s="13">
        <v>131.06796116504799</v>
      </c>
      <c r="I728" s="13">
        <v>4.6310679611650496</v>
      </c>
      <c r="J728" s="13">
        <f t="shared" si="23"/>
        <v>135.69902912621305</v>
      </c>
      <c r="K728" s="13">
        <v>33.980582524271803</v>
      </c>
      <c r="L728" s="11" t="s">
        <v>10</v>
      </c>
      <c r="M728" s="26"/>
    </row>
    <row r="729" spans="1:13" x14ac:dyDescent="0.25">
      <c r="A729" s="6">
        <v>1.0711555596766E+17</v>
      </c>
      <c r="B729" s="30" t="s">
        <v>150</v>
      </c>
      <c r="C729" s="32" t="str">
        <f t="shared" si="22"/>
        <v>Jan</v>
      </c>
      <c r="D729" s="11" t="s">
        <v>25</v>
      </c>
      <c r="E729" s="13">
        <v>621716</v>
      </c>
      <c r="F729" s="13">
        <v>7117</v>
      </c>
      <c r="G729" s="13">
        <v>3</v>
      </c>
      <c r="H729" s="13">
        <v>119.417475728155</v>
      </c>
      <c r="I729" s="13">
        <v>4.13592233009709</v>
      </c>
      <c r="J729" s="13">
        <f t="shared" si="23"/>
        <v>123.55339805825209</v>
      </c>
      <c r="K729" s="13">
        <v>40.776699029126199</v>
      </c>
      <c r="L729" s="11" t="s">
        <v>27</v>
      </c>
      <c r="M729" s="26"/>
    </row>
    <row r="730" spans="1:13" x14ac:dyDescent="0.25">
      <c r="A730" s="6">
        <v>1.0708393562396701E+17</v>
      </c>
      <c r="B730" s="30" t="s">
        <v>150</v>
      </c>
      <c r="C730" s="32" t="str">
        <f t="shared" si="22"/>
        <v>Jan</v>
      </c>
      <c r="D730" s="11" t="s">
        <v>52</v>
      </c>
      <c r="E730" s="13">
        <v>815353</v>
      </c>
      <c r="F730" s="13">
        <v>7117</v>
      </c>
      <c r="G730" s="13">
        <v>3</v>
      </c>
      <c r="H730" s="13">
        <v>142.718446601941</v>
      </c>
      <c r="I730" s="13">
        <v>4.8058252427184502</v>
      </c>
      <c r="J730" s="13">
        <f t="shared" si="23"/>
        <v>147.52427184465944</v>
      </c>
      <c r="K730" s="13">
        <v>38.834951456310698</v>
      </c>
      <c r="L730" s="11" t="s">
        <v>37</v>
      </c>
      <c r="M730" s="26"/>
    </row>
    <row r="731" spans="1:13" x14ac:dyDescent="0.25">
      <c r="A731" s="6">
        <v>1.0732656183823501E+17</v>
      </c>
      <c r="B731" s="30" t="s">
        <v>140</v>
      </c>
      <c r="C731" s="32" t="str">
        <f t="shared" si="22"/>
        <v>Jan</v>
      </c>
      <c r="D731" s="11" t="s">
        <v>25</v>
      </c>
      <c r="E731" s="13">
        <v>276123</v>
      </c>
      <c r="F731" s="13">
        <v>7117</v>
      </c>
      <c r="G731" s="13">
        <v>3</v>
      </c>
      <c r="H731" s="13">
        <v>153.39805825242701</v>
      </c>
      <c r="I731" s="13">
        <v>4.86407766990291</v>
      </c>
      <c r="J731" s="13">
        <f t="shared" si="23"/>
        <v>158.26213592232992</v>
      </c>
      <c r="K731" s="13">
        <v>49.514563106796103</v>
      </c>
      <c r="L731" s="11" t="s">
        <v>157</v>
      </c>
      <c r="M731" s="26"/>
    </row>
    <row r="732" spans="1:13" x14ac:dyDescent="0.25">
      <c r="A732" s="6">
        <v>1.1414396473869901E+17</v>
      </c>
      <c r="B732" s="30" t="s">
        <v>138</v>
      </c>
      <c r="C732" s="32" t="str">
        <f t="shared" si="22"/>
        <v>Jan</v>
      </c>
      <c r="D732" s="11" t="s">
        <v>21</v>
      </c>
      <c r="E732" s="13">
        <v>276139</v>
      </c>
      <c r="F732" s="13">
        <v>7117</v>
      </c>
      <c r="G732" s="13">
        <v>3</v>
      </c>
      <c r="H732" s="13">
        <v>185.43689320388299</v>
      </c>
      <c r="I732" s="13">
        <v>5.8252427184466002</v>
      </c>
      <c r="J732" s="13">
        <f t="shared" si="23"/>
        <v>191.26213592232958</v>
      </c>
      <c r="K732" s="13">
        <v>50.485436893203897</v>
      </c>
      <c r="L732" s="11" t="s">
        <v>10</v>
      </c>
      <c r="M732" s="26"/>
    </row>
    <row r="733" spans="1:13" x14ac:dyDescent="0.25">
      <c r="A733" s="6">
        <v>1.13886516388066E+17</v>
      </c>
      <c r="B733" s="30" t="s">
        <v>147</v>
      </c>
      <c r="C733" s="32" t="str">
        <f t="shared" si="22"/>
        <v>Jan</v>
      </c>
      <c r="D733" s="11" t="s">
        <v>16</v>
      </c>
      <c r="E733" s="13">
        <v>561203</v>
      </c>
      <c r="F733" s="13">
        <v>7117</v>
      </c>
      <c r="G733" s="13">
        <v>3</v>
      </c>
      <c r="H733" s="13">
        <v>167.96116504854299</v>
      </c>
      <c r="I733" s="13">
        <v>5.1844660194174796</v>
      </c>
      <c r="J733" s="13">
        <f t="shared" si="23"/>
        <v>173.14563106796047</v>
      </c>
      <c r="K733" s="13">
        <v>51.456310679611697</v>
      </c>
      <c r="L733" s="11" t="s">
        <v>19</v>
      </c>
      <c r="M733" s="26"/>
    </row>
    <row r="734" spans="1:13" x14ac:dyDescent="0.25">
      <c r="A734" s="6">
        <v>1.12548308959166E+17</v>
      </c>
      <c r="B734" s="30" t="s">
        <v>154</v>
      </c>
      <c r="C734" s="32" t="str">
        <f t="shared" si="22"/>
        <v>Jan</v>
      </c>
      <c r="D734" s="11" t="s">
        <v>25</v>
      </c>
      <c r="E734" s="13">
        <v>231221</v>
      </c>
      <c r="F734" s="13">
        <v>7117</v>
      </c>
      <c r="G734" s="13">
        <v>3</v>
      </c>
      <c r="H734" s="13">
        <v>161.16504854368901</v>
      </c>
      <c r="I734" s="13">
        <v>5.0970873786407802</v>
      </c>
      <c r="J734" s="13">
        <f t="shared" si="23"/>
        <v>166.2621359223298</v>
      </c>
      <c r="K734" s="13">
        <v>50.485436893203897</v>
      </c>
      <c r="L734" s="11" t="s">
        <v>10</v>
      </c>
      <c r="M734" s="26"/>
    </row>
    <row r="735" spans="1:13" x14ac:dyDescent="0.25">
      <c r="A735" s="6">
        <v>1.1750366647137101E+17</v>
      </c>
      <c r="B735" s="30" t="s">
        <v>170</v>
      </c>
      <c r="C735" s="32" t="str">
        <f t="shared" si="22"/>
        <v>Feb</v>
      </c>
      <c r="D735" s="11" t="s">
        <v>21</v>
      </c>
      <c r="E735" s="13">
        <v>562159</v>
      </c>
      <c r="F735" s="13">
        <v>7117</v>
      </c>
      <c r="G735" s="13">
        <v>3</v>
      </c>
      <c r="H735" s="13">
        <v>150.485436893203</v>
      </c>
      <c r="I735" s="13">
        <v>4.5145631067961203</v>
      </c>
      <c r="J735" s="13">
        <f t="shared" si="23"/>
        <v>154.99999999999912</v>
      </c>
      <c r="K735" s="13">
        <v>57.2815533980583</v>
      </c>
      <c r="L735" s="11" t="s">
        <v>19</v>
      </c>
      <c r="M735" s="26"/>
    </row>
    <row r="736" spans="1:13" x14ac:dyDescent="0.25">
      <c r="A736" s="6">
        <v>9.0476957670185904E+16</v>
      </c>
      <c r="B736" s="30" t="s">
        <v>84</v>
      </c>
      <c r="C736" s="32" t="str">
        <f t="shared" si="22"/>
        <v>Nov</v>
      </c>
      <c r="D736" s="11" t="s">
        <v>25</v>
      </c>
      <c r="E736" s="13">
        <v>208013</v>
      </c>
      <c r="F736" s="13">
        <v>7117</v>
      </c>
      <c r="G736" s="13">
        <v>3</v>
      </c>
      <c r="H736" s="13">
        <v>0</v>
      </c>
      <c r="I736" s="13">
        <v>0</v>
      </c>
      <c r="J736" s="13">
        <f t="shared" si="23"/>
        <v>0</v>
      </c>
      <c r="K736" s="13">
        <v>-24.271844660194201</v>
      </c>
      <c r="L736" s="11" t="s">
        <v>10</v>
      </c>
      <c r="M736" s="26"/>
    </row>
    <row r="737" spans="1:13" x14ac:dyDescent="0.25">
      <c r="A737" s="6">
        <v>1.2149125974653699E+17</v>
      </c>
      <c r="B737" s="30" t="s">
        <v>171</v>
      </c>
      <c r="C737" s="32" t="str">
        <f t="shared" si="22"/>
        <v>Feb</v>
      </c>
      <c r="D737" s="11" t="s">
        <v>16</v>
      </c>
      <c r="E737" s="13">
        <v>626114</v>
      </c>
      <c r="F737" s="13">
        <v>7117</v>
      </c>
      <c r="G737" s="13">
        <v>3</v>
      </c>
      <c r="H737" s="13">
        <v>172.81553398058199</v>
      </c>
      <c r="I737" s="13">
        <v>5.1844660194174796</v>
      </c>
      <c r="J737" s="13">
        <f t="shared" si="23"/>
        <v>177.99999999999946</v>
      </c>
      <c r="K737" s="13">
        <v>56.3106796116505</v>
      </c>
      <c r="L737" s="11" t="s">
        <v>27</v>
      </c>
      <c r="M737" s="26"/>
    </row>
    <row r="738" spans="1:13" x14ac:dyDescent="0.25">
      <c r="A738" s="6">
        <v>1.2149111308556701E+17</v>
      </c>
      <c r="B738" s="30" t="s">
        <v>171</v>
      </c>
      <c r="C738" s="32" t="str">
        <f t="shared" si="22"/>
        <v>Feb</v>
      </c>
      <c r="D738" s="11" t="s">
        <v>16</v>
      </c>
      <c r="E738" s="13">
        <v>626114</v>
      </c>
      <c r="F738" s="13">
        <v>7117</v>
      </c>
      <c r="G738" s="13">
        <v>3</v>
      </c>
      <c r="H738" s="13">
        <v>172.81553398058199</v>
      </c>
      <c r="I738" s="13">
        <v>5.1844660194174796</v>
      </c>
      <c r="J738" s="13">
        <f t="shared" si="23"/>
        <v>177.99999999999946</v>
      </c>
      <c r="K738" s="13">
        <v>56.3106796116505</v>
      </c>
      <c r="L738" s="11" t="s">
        <v>27</v>
      </c>
      <c r="M738" s="26"/>
    </row>
    <row r="739" spans="1:13" x14ac:dyDescent="0.25">
      <c r="A739" s="6">
        <v>1.2264541440317901E+17</v>
      </c>
      <c r="B739" s="30" t="s">
        <v>172</v>
      </c>
      <c r="C739" s="32" t="str">
        <f t="shared" si="22"/>
        <v>Feb</v>
      </c>
      <c r="D739" s="11" t="s">
        <v>16</v>
      </c>
      <c r="E739" s="13">
        <v>486001</v>
      </c>
      <c r="F739" s="13">
        <v>7117</v>
      </c>
      <c r="G739" s="13">
        <v>3</v>
      </c>
      <c r="H739" s="13">
        <v>166.01941747572801</v>
      </c>
      <c r="I739" s="13">
        <v>5.0970873786407802</v>
      </c>
      <c r="J739" s="13">
        <f t="shared" si="23"/>
        <v>171.1165048543688</v>
      </c>
      <c r="K739" s="13">
        <v>55.339805825242699</v>
      </c>
      <c r="L739" s="11" t="s">
        <v>26</v>
      </c>
      <c r="M739" s="26"/>
    </row>
    <row r="740" spans="1:13" x14ac:dyDescent="0.25">
      <c r="A740" s="6">
        <v>1.2144403710607E+17</v>
      </c>
      <c r="B740" s="30" t="s">
        <v>171</v>
      </c>
      <c r="C740" s="32" t="str">
        <f t="shared" si="22"/>
        <v>Feb</v>
      </c>
      <c r="D740" s="11" t="s">
        <v>16</v>
      </c>
      <c r="E740" s="13">
        <v>845306</v>
      </c>
      <c r="F740" s="13">
        <v>7117</v>
      </c>
      <c r="G740" s="13">
        <v>3</v>
      </c>
      <c r="H740" s="13">
        <v>136.893203883495</v>
      </c>
      <c r="I740" s="13">
        <v>4.6310679611650496</v>
      </c>
      <c r="J740" s="13">
        <f t="shared" si="23"/>
        <v>141.52427184466006</v>
      </c>
      <c r="K740" s="13">
        <v>38.834951456310698</v>
      </c>
      <c r="L740" s="11" t="s">
        <v>22</v>
      </c>
      <c r="M740" s="26"/>
    </row>
    <row r="741" spans="1:13" x14ac:dyDescent="0.25">
      <c r="A741" s="6">
        <v>1.1974721841986301E+17</v>
      </c>
      <c r="B741" s="30" t="s">
        <v>174</v>
      </c>
      <c r="C741" s="32" t="str">
        <f t="shared" si="22"/>
        <v>Feb</v>
      </c>
      <c r="D741" s="11" t="s">
        <v>16</v>
      </c>
      <c r="E741" s="13">
        <v>456010</v>
      </c>
      <c r="F741" s="13">
        <v>7117</v>
      </c>
      <c r="G741" s="13">
        <v>3</v>
      </c>
      <c r="H741" s="13">
        <v>155.339805825242</v>
      </c>
      <c r="I741" s="13">
        <v>5.1844660194174796</v>
      </c>
      <c r="J741" s="13">
        <f t="shared" si="23"/>
        <v>160.52427184465947</v>
      </c>
      <c r="K741" s="13">
        <v>38.834951456310698</v>
      </c>
      <c r="L741" s="11" t="s">
        <v>26</v>
      </c>
      <c r="M741" s="26"/>
    </row>
    <row r="742" spans="1:13" x14ac:dyDescent="0.25">
      <c r="A742" s="6">
        <v>1.2263308124818099E+17</v>
      </c>
      <c r="B742" s="30" t="s">
        <v>172</v>
      </c>
      <c r="C742" s="32" t="str">
        <f t="shared" si="22"/>
        <v>Feb</v>
      </c>
      <c r="D742" s="11" t="s">
        <v>52</v>
      </c>
      <c r="E742" s="13">
        <v>284003</v>
      </c>
      <c r="F742" s="13">
        <v>7117</v>
      </c>
      <c r="G742" s="13">
        <v>3</v>
      </c>
      <c r="H742" s="13">
        <v>136.893203883495</v>
      </c>
      <c r="I742" s="13">
        <v>4.8058252427184502</v>
      </c>
      <c r="J742" s="13">
        <f t="shared" si="23"/>
        <v>141.69902912621345</v>
      </c>
      <c r="K742" s="13">
        <v>33.980582524271803</v>
      </c>
      <c r="L742" s="11" t="s">
        <v>10</v>
      </c>
      <c r="M742" s="26"/>
    </row>
    <row r="743" spans="1:13" x14ac:dyDescent="0.25">
      <c r="A743" s="6">
        <v>1.2277699232306301E+17</v>
      </c>
      <c r="B743" s="30" t="s">
        <v>173</v>
      </c>
      <c r="C743" s="32" t="str">
        <f t="shared" si="22"/>
        <v>Feb</v>
      </c>
      <c r="D743" s="11" t="s">
        <v>16</v>
      </c>
      <c r="E743" s="13">
        <v>229301</v>
      </c>
      <c r="F743" s="13">
        <v>7117</v>
      </c>
      <c r="G743" s="13">
        <v>3</v>
      </c>
      <c r="H743" s="13">
        <v>131.06796116504799</v>
      </c>
      <c r="I743" s="13">
        <v>4.6310679611650496</v>
      </c>
      <c r="J743" s="13">
        <f t="shared" si="23"/>
        <v>135.69902912621305</v>
      </c>
      <c r="K743" s="13">
        <v>33.009708737864102</v>
      </c>
      <c r="L743" s="11" t="s">
        <v>10</v>
      </c>
      <c r="M743" s="26"/>
    </row>
    <row r="744" spans="1:13" x14ac:dyDescent="0.25">
      <c r="A744" s="6">
        <v>1.2012036324291E+17</v>
      </c>
      <c r="B744" s="30" t="s">
        <v>175</v>
      </c>
      <c r="C744" s="32" t="str">
        <f t="shared" si="22"/>
        <v>Feb</v>
      </c>
      <c r="D744" s="11" t="s">
        <v>25</v>
      </c>
      <c r="E744" s="13">
        <v>221003</v>
      </c>
      <c r="F744" s="13">
        <v>7117</v>
      </c>
      <c r="G744" s="13">
        <v>3</v>
      </c>
      <c r="H744" s="13">
        <v>151.45631067961099</v>
      </c>
      <c r="I744" s="13">
        <v>4.8058252427184502</v>
      </c>
      <c r="J744" s="13">
        <f t="shared" si="23"/>
        <v>156.26213592232943</v>
      </c>
      <c r="K744" s="13">
        <v>48.543689320388303</v>
      </c>
      <c r="L744" s="11" t="s">
        <v>10</v>
      </c>
      <c r="M744" s="26"/>
    </row>
    <row r="745" spans="1:13" x14ac:dyDescent="0.25">
      <c r="A745" s="6">
        <v>8.9236241979675904E+16</v>
      </c>
      <c r="B745" s="30" t="s">
        <v>78</v>
      </c>
      <c r="C745" s="32" t="str">
        <f t="shared" si="22"/>
        <v>Nov</v>
      </c>
      <c r="D745" s="11" t="s">
        <v>25</v>
      </c>
      <c r="E745" s="13">
        <v>845401</v>
      </c>
      <c r="F745" s="13">
        <v>7117</v>
      </c>
      <c r="G745" s="13">
        <v>3</v>
      </c>
      <c r="H745" s="13">
        <v>0</v>
      </c>
      <c r="I745" s="13">
        <v>0</v>
      </c>
      <c r="J745" s="13">
        <f t="shared" si="23"/>
        <v>0</v>
      </c>
      <c r="K745" s="13">
        <v>-1.9417475728155</v>
      </c>
      <c r="L745" s="11" t="s">
        <v>22</v>
      </c>
      <c r="M745" s="26"/>
    </row>
    <row r="746" spans="1:13" x14ac:dyDescent="0.25">
      <c r="A746" s="6">
        <v>1.2275586212013299E+17</v>
      </c>
      <c r="B746" s="30" t="s">
        <v>172</v>
      </c>
      <c r="C746" s="32" t="str">
        <f t="shared" si="22"/>
        <v>Feb</v>
      </c>
      <c r="D746" s="11" t="s">
        <v>16</v>
      </c>
      <c r="E746" s="13">
        <v>285001</v>
      </c>
      <c r="F746" s="13">
        <v>7117</v>
      </c>
      <c r="G746" s="13">
        <v>3</v>
      </c>
      <c r="H746" s="13">
        <v>145.631067961165</v>
      </c>
      <c r="I746" s="13">
        <v>4.6310679611650496</v>
      </c>
      <c r="J746" s="13">
        <f t="shared" si="23"/>
        <v>150.26213592233006</v>
      </c>
      <c r="K746" s="13">
        <v>47.572815533980602</v>
      </c>
      <c r="L746" s="11" t="s">
        <v>10</v>
      </c>
      <c r="M746" s="26"/>
    </row>
    <row r="747" spans="1:13" x14ac:dyDescent="0.25">
      <c r="A747" s="6">
        <v>1.1748570416627299E+17</v>
      </c>
      <c r="B747" s="30" t="s">
        <v>170</v>
      </c>
      <c r="C747" s="32" t="str">
        <f t="shared" si="22"/>
        <v>Feb</v>
      </c>
      <c r="D747" s="11" t="s">
        <v>21</v>
      </c>
      <c r="E747" s="13">
        <v>176051</v>
      </c>
      <c r="F747" s="13">
        <v>7117</v>
      </c>
      <c r="G747" s="13">
        <v>3</v>
      </c>
      <c r="H747" s="13">
        <v>152.42718446601901</v>
      </c>
      <c r="I747" s="13">
        <v>4.8349514563106801</v>
      </c>
      <c r="J747" s="13">
        <f t="shared" si="23"/>
        <v>157.26213592232969</v>
      </c>
      <c r="K747" s="13">
        <v>47.572815533980602</v>
      </c>
      <c r="L747" s="11" t="s">
        <v>44</v>
      </c>
      <c r="M747" s="26"/>
    </row>
    <row r="748" spans="1:13" x14ac:dyDescent="0.25">
      <c r="A748" s="6">
        <v>1.19003712592178E+17</v>
      </c>
      <c r="B748" s="30" t="s">
        <v>177</v>
      </c>
      <c r="C748" s="32" t="str">
        <f t="shared" si="22"/>
        <v>Feb</v>
      </c>
      <c r="D748" s="11" t="s">
        <v>16</v>
      </c>
      <c r="E748" s="13">
        <v>121007</v>
      </c>
      <c r="F748" s="13">
        <v>7117</v>
      </c>
      <c r="G748" s="13">
        <v>3</v>
      </c>
      <c r="H748" s="13">
        <v>164.07766990291199</v>
      </c>
      <c r="I748" s="13">
        <v>5.1844660194174796</v>
      </c>
      <c r="J748" s="13">
        <f t="shared" si="23"/>
        <v>169.26213592232946</v>
      </c>
      <c r="K748" s="13">
        <v>47.572815533980602</v>
      </c>
      <c r="L748" s="11" t="s">
        <v>63</v>
      </c>
      <c r="M748" s="26"/>
    </row>
    <row r="749" spans="1:13" x14ac:dyDescent="0.25">
      <c r="A749" s="6">
        <v>1.2596792550834E+17</v>
      </c>
      <c r="B749" s="30" t="s">
        <v>179</v>
      </c>
      <c r="C749" s="32" t="str">
        <f t="shared" si="22"/>
        <v>Feb</v>
      </c>
      <c r="D749" s="11" t="s">
        <v>9</v>
      </c>
      <c r="E749" s="13">
        <v>272162</v>
      </c>
      <c r="F749" s="13">
        <v>7117</v>
      </c>
      <c r="G749" s="13">
        <v>3</v>
      </c>
      <c r="H749" s="13">
        <v>168.93203883495099</v>
      </c>
      <c r="I749" s="13">
        <v>5.3300970873786397</v>
      </c>
      <c r="J749" s="13">
        <f t="shared" si="23"/>
        <v>174.26213592232963</v>
      </c>
      <c r="K749" s="13">
        <v>47.572815533980602</v>
      </c>
      <c r="L749" s="11" t="s">
        <v>10</v>
      </c>
      <c r="M749" s="26"/>
    </row>
    <row r="750" spans="1:13" x14ac:dyDescent="0.25">
      <c r="A750" s="6">
        <v>1.21948045668676E+17</v>
      </c>
      <c r="B750" s="30" t="s">
        <v>181</v>
      </c>
      <c r="C750" s="32" t="str">
        <f t="shared" si="22"/>
        <v>Feb</v>
      </c>
      <c r="D750" s="11" t="s">
        <v>16</v>
      </c>
      <c r="E750" s="13">
        <v>122015</v>
      </c>
      <c r="F750" s="13">
        <v>7117</v>
      </c>
      <c r="G750" s="13">
        <v>3</v>
      </c>
      <c r="H750" s="13">
        <v>147.57281553397999</v>
      </c>
      <c r="I750" s="13">
        <v>5.0970873786407802</v>
      </c>
      <c r="J750" s="13">
        <f t="shared" si="23"/>
        <v>152.66990291262078</v>
      </c>
      <c r="K750" s="13">
        <v>36.893203883495197</v>
      </c>
      <c r="L750" s="11" t="s">
        <v>63</v>
      </c>
      <c r="M750" s="26"/>
    </row>
    <row r="751" spans="1:13" x14ac:dyDescent="0.25">
      <c r="A751" s="6">
        <v>1.1744831355655299E+17</v>
      </c>
      <c r="B751" s="30" t="s">
        <v>170</v>
      </c>
      <c r="C751" s="32" t="str">
        <f t="shared" si="22"/>
        <v>Feb</v>
      </c>
      <c r="D751" s="11" t="s">
        <v>21</v>
      </c>
      <c r="E751" s="13">
        <v>152128</v>
      </c>
      <c r="F751" s="13">
        <v>7117</v>
      </c>
      <c r="G751" s="13">
        <v>3</v>
      </c>
      <c r="H751" s="13">
        <v>137.864077669902</v>
      </c>
      <c r="I751" s="13">
        <v>4.3398058252427196</v>
      </c>
      <c r="J751" s="13">
        <f t="shared" si="23"/>
        <v>142.20388349514471</v>
      </c>
      <c r="K751" s="13">
        <v>49.514563106796103</v>
      </c>
      <c r="L751" s="11" t="s">
        <v>17</v>
      </c>
      <c r="M751" s="26"/>
    </row>
    <row r="752" spans="1:13" x14ac:dyDescent="0.25">
      <c r="A752" s="6">
        <v>1.26291729287772E+17</v>
      </c>
      <c r="B752" s="30" t="s">
        <v>180</v>
      </c>
      <c r="C752" s="32" t="str">
        <f t="shared" si="22"/>
        <v>Feb</v>
      </c>
      <c r="D752" s="11" t="s">
        <v>9</v>
      </c>
      <c r="E752" s="13">
        <v>445001</v>
      </c>
      <c r="F752" s="13">
        <v>7117</v>
      </c>
      <c r="G752" s="13">
        <v>3</v>
      </c>
      <c r="H752" s="13">
        <v>156.31067961164999</v>
      </c>
      <c r="I752" s="13">
        <v>4.6893203883495103</v>
      </c>
      <c r="J752" s="13">
        <f t="shared" si="23"/>
        <v>160.99999999999949</v>
      </c>
      <c r="K752" s="13">
        <v>59.223300970873801</v>
      </c>
      <c r="L752" s="11" t="s">
        <v>41</v>
      </c>
      <c r="M752" s="26"/>
    </row>
    <row r="753" spans="1:13" x14ac:dyDescent="0.25">
      <c r="A753" s="6">
        <v>1.2145541757336301E+17</v>
      </c>
      <c r="B753" s="30" t="s">
        <v>171</v>
      </c>
      <c r="C753" s="32" t="str">
        <f t="shared" si="22"/>
        <v>Feb</v>
      </c>
      <c r="D753" s="11" t="s">
        <v>21</v>
      </c>
      <c r="E753" s="13">
        <v>284404</v>
      </c>
      <c r="F753" s="13">
        <v>7117</v>
      </c>
      <c r="G753" s="13">
        <v>3</v>
      </c>
      <c r="H753" s="13">
        <v>138.83495145630999</v>
      </c>
      <c r="I753" s="13">
        <v>4.42718446601942</v>
      </c>
      <c r="J753" s="13">
        <f t="shared" si="23"/>
        <v>143.26213592232941</v>
      </c>
      <c r="K753" s="13">
        <v>50.485436893203897</v>
      </c>
      <c r="L753" s="11" t="s">
        <v>10</v>
      </c>
      <c r="M753" s="26"/>
    </row>
    <row r="754" spans="1:13" x14ac:dyDescent="0.25">
      <c r="A754" s="6">
        <v>1.1748361914839501E+17</v>
      </c>
      <c r="B754" s="30" t="s">
        <v>170</v>
      </c>
      <c r="C754" s="32" t="str">
        <f t="shared" si="22"/>
        <v>Feb</v>
      </c>
      <c r="D754" s="11" t="s">
        <v>16</v>
      </c>
      <c r="E754" s="13">
        <v>333032</v>
      </c>
      <c r="F754" s="13">
        <v>7117</v>
      </c>
      <c r="G754" s="13">
        <v>3</v>
      </c>
      <c r="H754" s="13">
        <v>154.368932038834</v>
      </c>
      <c r="I754" s="13">
        <v>4.8349514563106801</v>
      </c>
      <c r="J754" s="13">
        <f t="shared" si="23"/>
        <v>159.20388349514468</v>
      </c>
      <c r="K754" s="13">
        <v>49.514563106796103</v>
      </c>
      <c r="L754" s="11" t="s">
        <v>46</v>
      </c>
      <c r="M754" s="26"/>
    </row>
    <row r="755" spans="1:13" x14ac:dyDescent="0.25">
      <c r="A755" s="6">
        <v>1.1760819876412899E+17</v>
      </c>
      <c r="B755" s="30" t="s">
        <v>170</v>
      </c>
      <c r="C755" s="32" t="str">
        <f t="shared" si="22"/>
        <v>Feb</v>
      </c>
      <c r="D755" s="11" t="s">
        <v>16</v>
      </c>
      <c r="E755" s="13">
        <v>735222</v>
      </c>
      <c r="F755" s="13">
        <v>7117</v>
      </c>
      <c r="G755" s="13">
        <v>3</v>
      </c>
      <c r="H755" s="13">
        <v>144.66019417475701</v>
      </c>
      <c r="I755" s="13">
        <v>4.3398058252427196</v>
      </c>
      <c r="J755" s="13">
        <f t="shared" si="23"/>
        <v>148.99999999999972</v>
      </c>
      <c r="K755" s="13">
        <v>56.3106796116505</v>
      </c>
      <c r="L755" s="11" t="s">
        <v>14</v>
      </c>
      <c r="M755" s="26"/>
    </row>
    <row r="756" spans="1:13" x14ac:dyDescent="0.25">
      <c r="A756" s="6">
        <v>8.88911766325932E+16</v>
      </c>
      <c r="B756" s="30" t="s">
        <v>70</v>
      </c>
      <c r="C756" s="32" t="str">
        <f t="shared" si="22"/>
        <v>Nov</v>
      </c>
      <c r="D756" s="11" t="s">
        <v>25</v>
      </c>
      <c r="E756" s="13">
        <v>143507</v>
      </c>
      <c r="F756" s="13">
        <v>340600</v>
      </c>
      <c r="G756" s="13">
        <v>12</v>
      </c>
      <c r="H756" s="13">
        <v>0</v>
      </c>
      <c r="I756" s="13">
        <v>0</v>
      </c>
      <c r="J756" s="13">
        <f t="shared" si="23"/>
        <v>0</v>
      </c>
      <c r="K756" s="13">
        <v>-8.0357142857143007</v>
      </c>
      <c r="L756" s="11" t="s">
        <v>17</v>
      </c>
      <c r="M756" s="26"/>
    </row>
    <row r="757" spans="1:13" x14ac:dyDescent="0.25">
      <c r="A757" s="6">
        <v>1.2552076466034499E+17</v>
      </c>
      <c r="B757" s="30" t="s">
        <v>185</v>
      </c>
      <c r="C757" s="32" t="str">
        <f t="shared" si="22"/>
        <v>Feb</v>
      </c>
      <c r="D757" s="11" t="s">
        <v>9</v>
      </c>
      <c r="E757" s="13">
        <v>133302</v>
      </c>
      <c r="F757" s="13">
        <v>7117</v>
      </c>
      <c r="G757" s="13">
        <v>3</v>
      </c>
      <c r="H757" s="13">
        <v>84.466019417475707</v>
      </c>
      <c r="I757" s="13">
        <v>3.1747572815534002</v>
      </c>
      <c r="J757" s="13">
        <f t="shared" si="23"/>
        <v>87.640776699029104</v>
      </c>
      <c r="K757" s="13">
        <v>36.893203883495197</v>
      </c>
      <c r="L757" s="11" t="s">
        <v>63</v>
      </c>
      <c r="M757" s="26"/>
    </row>
    <row r="758" spans="1:13" x14ac:dyDescent="0.25">
      <c r="A758" s="6">
        <v>1.2086863101286301E+17</v>
      </c>
      <c r="B758" s="30" t="s">
        <v>186</v>
      </c>
      <c r="C758" s="32" t="str">
        <f t="shared" si="22"/>
        <v>Feb</v>
      </c>
      <c r="D758" s="11" t="s">
        <v>16</v>
      </c>
      <c r="E758" s="13">
        <v>222148</v>
      </c>
      <c r="F758" s="13">
        <v>7117</v>
      </c>
      <c r="G758" s="13">
        <v>3</v>
      </c>
      <c r="H758" s="13">
        <v>161.16504854368901</v>
      </c>
      <c r="I758" s="13">
        <v>5.0970873786407802</v>
      </c>
      <c r="J758" s="13">
        <f t="shared" si="23"/>
        <v>166.2621359223298</v>
      </c>
      <c r="K758" s="13">
        <v>50.485436893203897</v>
      </c>
      <c r="L758" s="11" t="s">
        <v>10</v>
      </c>
      <c r="M758" s="26"/>
    </row>
    <row r="759" spans="1:13" x14ac:dyDescent="0.25">
      <c r="A759" s="6">
        <v>1.193790838048E+17</v>
      </c>
      <c r="B759" s="30" t="s">
        <v>178</v>
      </c>
      <c r="C759" s="32" t="str">
        <f t="shared" si="22"/>
        <v>Feb</v>
      </c>
      <c r="D759" s="11" t="s">
        <v>16</v>
      </c>
      <c r="E759" s="13">
        <v>533229</v>
      </c>
      <c r="F759" s="13">
        <v>7117</v>
      </c>
      <c r="G759" s="13">
        <v>3</v>
      </c>
      <c r="H759" s="13">
        <v>170.873786407767</v>
      </c>
      <c r="I759" s="13">
        <v>5.1262135922330101</v>
      </c>
      <c r="J759" s="13">
        <f t="shared" si="23"/>
        <v>176</v>
      </c>
      <c r="K759" s="13">
        <v>54.368932038834998</v>
      </c>
      <c r="L759" s="11" t="s">
        <v>39</v>
      </c>
      <c r="M759" s="26"/>
    </row>
    <row r="760" spans="1:13" x14ac:dyDescent="0.25">
      <c r="A760" s="6">
        <v>1.22733284428992E+17</v>
      </c>
      <c r="B760" s="30" t="s">
        <v>172</v>
      </c>
      <c r="C760" s="32" t="str">
        <f t="shared" si="22"/>
        <v>Feb</v>
      </c>
      <c r="D760" s="11" t="s">
        <v>16</v>
      </c>
      <c r="E760" s="13">
        <v>342603</v>
      </c>
      <c r="F760" s="13">
        <v>7117</v>
      </c>
      <c r="G760" s="13">
        <v>3</v>
      </c>
      <c r="H760" s="13">
        <v>172.81553398058199</v>
      </c>
      <c r="I760" s="13">
        <v>5.1844660194174796</v>
      </c>
      <c r="J760" s="13">
        <f t="shared" si="23"/>
        <v>177.99999999999946</v>
      </c>
      <c r="K760" s="13">
        <v>56.3106796116505</v>
      </c>
      <c r="L760" s="11" t="s">
        <v>46</v>
      </c>
      <c r="M760" s="26"/>
    </row>
    <row r="761" spans="1:13" x14ac:dyDescent="0.25">
      <c r="A761" s="6">
        <v>8.3364523666969904E+16</v>
      </c>
      <c r="B761" s="30" t="s">
        <v>34</v>
      </c>
      <c r="C761" s="32" t="str">
        <f t="shared" si="22"/>
        <v>Oct</v>
      </c>
      <c r="D761" s="11" t="s">
        <v>33</v>
      </c>
      <c r="E761" s="13">
        <v>123401</v>
      </c>
      <c r="F761" s="13">
        <v>7117</v>
      </c>
      <c r="G761" s="13">
        <v>3</v>
      </c>
      <c r="H761" s="13">
        <v>0</v>
      </c>
      <c r="I761" s="13">
        <v>0</v>
      </c>
      <c r="J761" s="13">
        <f t="shared" si="23"/>
        <v>0</v>
      </c>
      <c r="K761" s="13">
        <v>-6.7961165048543997</v>
      </c>
      <c r="L761" s="11" t="s">
        <v>63</v>
      </c>
      <c r="M761" s="26"/>
    </row>
    <row r="762" spans="1:13" x14ac:dyDescent="0.25">
      <c r="A762" s="6">
        <v>1.17469107401682E+17</v>
      </c>
      <c r="B762" s="30" t="s">
        <v>170</v>
      </c>
      <c r="C762" s="32" t="str">
        <f t="shared" si="22"/>
        <v>Feb</v>
      </c>
      <c r="D762" s="11" t="s">
        <v>16</v>
      </c>
      <c r="E762" s="13">
        <v>821108</v>
      </c>
      <c r="F762" s="13">
        <v>7117</v>
      </c>
      <c r="G762" s="13">
        <v>3</v>
      </c>
      <c r="H762" s="13">
        <v>161.16504854368901</v>
      </c>
      <c r="I762" s="13">
        <v>4.8349514563106801</v>
      </c>
      <c r="J762" s="13">
        <f t="shared" si="23"/>
        <v>165.99999999999969</v>
      </c>
      <c r="K762" s="13">
        <v>56.3106796116505</v>
      </c>
      <c r="L762" s="11" t="s">
        <v>22</v>
      </c>
      <c r="M762" s="26"/>
    </row>
    <row r="763" spans="1:13" x14ac:dyDescent="0.25">
      <c r="A763" s="6">
        <v>1.2360885255303699E+17</v>
      </c>
      <c r="B763" s="30" t="s">
        <v>188</v>
      </c>
      <c r="C763" s="32" t="str">
        <f t="shared" si="22"/>
        <v>Feb</v>
      </c>
      <c r="D763" s="11" t="s">
        <v>25</v>
      </c>
      <c r="E763" s="13">
        <v>410503</v>
      </c>
      <c r="F763" s="13">
        <v>7117</v>
      </c>
      <c r="G763" s="13">
        <v>3</v>
      </c>
      <c r="H763" s="13">
        <v>209.70873786407699</v>
      </c>
      <c r="I763" s="13">
        <v>6.29126213592233</v>
      </c>
      <c r="J763" s="13">
        <f t="shared" si="23"/>
        <v>215.99999999999932</v>
      </c>
      <c r="K763" s="13">
        <v>59.223300970873801</v>
      </c>
      <c r="L763" s="11" t="s">
        <v>41</v>
      </c>
      <c r="M763" s="26"/>
    </row>
    <row r="764" spans="1:13" x14ac:dyDescent="0.25">
      <c r="A764" s="6">
        <v>1.1974749539706099E+17</v>
      </c>
      <c r="B764" s="30" t="s">
        <v>174</v>
      </c>
      <c r="C764" s="32" t="str">
        <f t="shared" si="22"/>
        <v>Feb</v>
      </c>
      <c r="D764" s="11" t="s">
        <v>16</v>
      </c>
      <c r="E764" s="13">
        <v>110044</v>
      </c>
      <c r="F764" s="13">
        <v>7117</v>
      </c>
      <c r="G764" s="13">
        <v>3</v>
      </c>
      <c r="H764" s="13">
        <v>151.45631067961099</v>
      </c>
      <c r="I764" s="13">
        <v>4.8058252427184502</v>
      </c>
      <c r="J764" s="13">
        <f t="shared" si="23"/>
        <v>156.26213592232943</v>
      </c>
      <c r="K764" s="13">
        <v>48.543689320388303</v>
      </c>
      <c r="L764" s="11" t="s">
        <v>28</v>
      </c>
      <c r="M764" s="26"/>
    </row>
    <row r="765" spans="1:13" x14ac:dyDescent="0.25">
      <c r="A765" s="6">
        <v>8.05450147526536E+16</v>
      </c>
      <c r="B765" s="30" t="s">
        <v>51</v>
      </c>
      <c r="C765" s="32" t="str">
        <f t="shared" si="22"/>
        <v>Oct</v>
      </c>
      <c r="D765" s="11" t="s">
        <v>25</v>
      </c>
      <c r="E765" s="13">
        <v>141016</v>
      </c>
      <c r="F765" s="13">
        <v>7117</v>
      </c>
      <c r="G765" s="13">
        <v>3</v>
      </c>
      <c r="H765" s="13">
        <v>0</v>
      </c>
      <c r="I765" s="13">
        <v>0</v>
      </c>
      <c r="J765" s="13">
        <f t="shared" si="23"/>
        <v>0</v>
      </c>
      <c r="K765" s="13">
        <v>-9.7087378640776993</v>
      </c>
      <c r="L765" s="11" t="s">
        <v>17</v>
      </c>
      <c r="M765" s="26"/>
    </row>
    <row r="766" spans="1:13" x14ac:dyDescent="0.25">
      <c r="A766" s="6">
        <v>1.21542298522776E+17</v>
      </c>
      <c r="B766" s="30" t="s">
        <v>171</v>
      </c>
      <c r="C766" s="32" t="str">
        <f t="shared" si="22"/>
        <v>Feb</v>
      </c>
      <c r="D766" s="11" t="s">
        <v>52</v>
      </c>
      <c r="E766" s="13">
        <v>212601</v>
      </c>
      <c r="F766" s="13">
        <v>7117</v>
      </c>
      <c r="G766" s="13">
        <v>3</v>
      </c>
      <c r="H766" s="13">
        <v>145.631067961165</v>
      </c>
      <c r="I766" s="13">
        <v>5.0679611650485397</v>
      </c>
      <c r="J766" s="13">
        <f t="shared" si="23"/>
        <v>150.69902912621353</v>
      </c>
      <c r="K766" s="13">
        <v>33.980582524271803</v>
      </c>
      <c r="L766" s="11" t="s">
        <v>10</v>
      </c>
      <c r="M766" s="26"/>
    </row>
    <row r="767" spans="1:13" x14ac:dyDescent="0.25">
      <c r="A767" s="6">
        <v>1.2521652468334E+17</v>
      </c>
      <c r="B767" s="30" t="s">
        <v>189</v>
      </c>
      <c r="C767" s="32" t="str">
        <f t="shared" si="22"/>
        <v>Feb</v>
      </c>
      <c r="D767" s="11" t="s">
        <v>25</v>
      </c>
      <c r="E767" s="13">
        <v>769001</v>
      </c>
      <c r="F767" s="13">
        <v>7117</v>
      </c>
      <c r="G767" s="13">
        <v>3</v>
      </c>
      <c r="H767" s="13">
        <v>177.66990291262101</v>
      </c>
      <c r="I767" s="13">
        <v>5.3300970873786397</v>
      </c>
      <c r="J767" s="13">
        <f t="shared" si="23"/>
        <v>182.99999999999966</v>
      </c>
      <c r="K767" s="13">
        <v>56.3106796116505</v>
      </c>
      <c r="L767" s="11" t="s">
        <v>54</v>
      </c>
      <c r="M767" s="26"/>
    </row>
    <row r="768" spans="1:13" x14ac:dyDescent="0.25">
      <c r="A768" s="6">
        <v>1.1797000739228499E+17</v>
      </c>
      <c r="B768" s="30" t="s">
        <v>184</v>
      </c>
      <c r="C768" s="32" t="str">
        <f t="shared" si="22"/>
        <v>Feb</v>
      </c>
      <c r="D768" s="11" t="s">
        <v>21</v>
      </c>
      <c r="E768" s="13">
        <v>782445</v>
      </c>
      <c r="F768" s="13">
        <v>7117</v>
      </c>
      <c r="G768" s="13">
        <v>3</v>
      </c>
      <c r="H768" s="13">
        <v>172.81553398058199</v>
      </c>
      <c r="I768" s="13">
        <v>5.1844660194174796</v>
      </c>
      <c r="J768" s="13">
        <f t="shared" si="23"/>
        <v>177.99999999999946</v>
      </c>
      <c r="K768" s="13">
        <v>74.757281553398101</v>
      </c>
      <c r="L768" s="11" t="s">
        <v>35</v>
      </c>
      <c r="M768" s="26"/>
    </row>
    <row r="769" spans="1:13" x14ac:dyDescent="0.25">
      <c r="A769" s="6">
        <v>1.1941996730426499E+17</v>
      </c>
      <c r="B769" s="30" t="s">
        <v>178</v>
      </c>
      <c r="C769" s="32" t="str">
        <f t="shared" si="22"/>
        <v>Feb</v>
      </c>
      <c r="D769" s="11" t="s">
        <v>16</v>
      </c>
      <c r="E769" s="13">
        <v>272302</v>
      </c>
      <c r="F769" s="13">
        <v>7117</v>
      </c>
      <c r="G769" s="13">
        <v>3</v>
      </c>
      <c r="H769" s="13">
        <v>155.339805825242</v>
      </c>
      <c r="I769" s="13">
        <v>4.8932038834951497</v>
      </c>
      <c r="J769" s="13">
        <f t="shared" si="23"/>
        <v>160.23300970873714</v>
      </c>
      <c r="K769" s="13">
        <v>46.601941747572802</v>
      </c>
      <c r="L769" s="11" t="s">
        <v>10</v>
      </c>
      <c r="M769" s="26"/>
    </row>
    <row r="770" spans="1:13" x14ac:dyDescent="0.25">
      <c r="A770" s="6">
        <v>1.22661062259798E+17</v>
      </c>
      <c r="B770" s="30" t="s">
        <v>172</v>
      </c>
      <c r="C770" s="32" t="str">
        <f t="shared" si="22"/>
        <v>Feb</v>
      </c>
      <c r="D770" s="11" t="s">
        <v>16</v>
      </c>
      <c r="E770" s="13">
        <v>813210</v>
      </c>
      <c r="F770" s="13">
        <v>7117</v>
      </c>
      <c r="G770" s="13">
        <v>3</v>
      </c>
      <c r="H770" s="13">
        <v>154.368932038834</v>
      </c>
      <c r="I770" s="13">
        <v>4.6310679611650496</v>
      </c>
      <c r="J770" s="13">
        <f t="shared" si="23"/>
        <v>158.99999999999906</v>
      </c>
      <c r="K770" s="13">
        <v>56.3106796116505</v>
      </c>
      <c r="L770" s="11" t="s">
        <v>22</v>
      </c>
      <c r="M770" s="26"/>
    </row>
    <row r="771" spans="1:13" x14ac:dyDescent="0.25">
      <c r="A771" s="6">
        <v>1.1751170523977699E+17</v>
      </c>
      <c r="B771" s="30" t="s">
        <v>170</v>
      </c>
      <c r="C771" s="32" t="str">
        <f t="shared" ref="C771:C834" si="24">TEXT(B771, "mmm")</f>
        <v>Feb</v>
      </c>
      <c r="D771" s="11" t="s">
        <v>21</v>
      </c>
      <c r="E771" s="13">
        <v>123001</v>
      </c>
      <c r="F771" s="13">
        <v>7117</v>
      </c>
      <c r="G771" s="13">
        <v>3</v>
      </c>
      <c r="H771" s="13">
        <v>154.368932038834</v>
      </c>
      <c r="I771" s="13">
        <v>4.8349514563106801</v>
      </c>
      <c r="J771" s="13">
        <f t="shared" ref="J771:J834" si="25">H771+I771</f>
        <v>159.20388349514468</v>
      </c>
      <c r="K771" s="13">
        <v>49.514563106796103</v>
      </c>
      <c r="L771" s="11" t="s">
        <v>63</v>
      </c>
      <c r="M771" s="26"/>
    </row>
    <row r="772" spans="1:13" x14ac:dyDescent="0.25">
      <c r="A772" s="6">
        <v>1.19659524197084E+17</v>
      </c>
      <c r="B772" s="30" t="s">
        <v>174</v>
      </c>
      <c r="C772" s="32" t="str">
        <f t="shared" si="24"/>
        <v>Feb</v>
      </c>
      <c r="D772" s="11" t="s">
        <v>16</v>
      </c>
      <c r="E772" s="13">
        <v>814112</v>
      </c>
      <c r="F772" s="13">
        <v>7117</v>
      </c>
      <c r="G772" s="13">
        <v>3</v>
      </c>
      <c r="H772" s="13">
        <v>170.873786407767</v>
      </c>
      <c r="I772" s="13">
        <v>5.1262135922330101</v>
      </c>
      <c r="J772" s="13">
        <f t="shared" si="25"/>
        <v>176</v>
      </c>
      <c r="K772" s="13">
        <v>54.368932038834998</v>
      </c>
      <c r="L772" s="11" t="s">
        <v>37</v>
      </c>
      <c r="M772" s="26"/>
    </row>
    <row r="773" spans="1:13" x14ac:dyDescent="0.25">
      <c r="A773" s="6">
        <v>1.1892148243660499E+17</v>
      </c>
      <c r="B773" s="30" t="s">
        <v>177</v>
      </c>
      <c r="C773" s="32" t="str">
        <f t="shared" si="24"/>
        <v>Feb</v>
      </c>
      <c r="D773" s="11" t="s">
        <v>25</v>
      </c>
      <c r="E773" s="13">
        <v>389120</v>
      </c>
      <c r="F773" s="13">
        <v>7117</v>
      </c>
      <c r="G773" s="13">
        <v>3</v>
      </c>
      <c r="H773" s="13">
        <v>154.368932038834</v>
      </c>
      <c r="I773" s="13">
        <v>4.6310679611650496</v>
      </c>
      <c r="J773" s="13">
        <f t="shared" si="25"/>
        <v>158.99999999999906</v>
      </c>
      <c r="K773" s="13">
        <v>56.3106796116505</v>
      </c>
      <c r="L773" s="11" t="s">
        <v>12</v>
      </c>
      <c r="M773" s="26"/>
    </row>
    <row r="774" spans="1:13" x14ac:dyDescent="0.25">
      <c r="A774" s="6">
        <v>8.0865079555253904E+16</v>
      </c>
      <c r="B774" s="30" t="s">
        <v>31</v>
      </c>
      <c r="C774" s="32" t="str">
        <f t="shared" si="24"/>
        <v>Oct</v>
      </c>
      <c r="D774" s="11" t="s">
        <v>25</v>
      </c>
      <c r="E774" s="13">
        <v>144211</v>
      </c>
      <c r="F774" s="13">
        <v>7117</v>
      </c>
      <c r="G774" s="13">
        <v>3</v>
      </c>
      <c r="H774" s="13">
        <v>0</v>
      </c>
      <c r="I774" s="13">
        <v>0</v>
      </c>
      <c r="J774" s="13">
        <f t="shared" si="25"/>
        <v>0</v>
      </c>
      <c r="K774" s="13">
        <v>-6.7961165048543997</v>
      </c>
      <c r="L774" s="11" t="s">
        <v>17</v>
      </c>
      <c r="M774" s="26"/>
    </row>
    <row r="775" spans="1:13" x14ac:dyDescent="0.25">
      <c r="A775" s="6">
        <v>1.2295943377206899E+17</v>
      </c>
      <c r="B775" s="30" t="s">
        <v>173</v>
      </c>
      <c r="C775" s="32" t="str">
        <f t="shared" si="24"/>
        <v>Feb</v>
      </c>
      <c r="D775" s="11" t="s">
        <v>16</v>
      </c>
      <c r="E775" s="13">
        <v>457001</v>
      </c>
      <c r="F775" s="13">
        <v>7117</v>
      </c>
      <c r="G775" s="13">
        <v>3</v>
      </c>
      <c r="H775" s="13">
        <v>155.339805825242</v>
      </c>
      <c r="I775" s="13">
        <v>5.1844660194174796</v>
      </c>
      <c r="J775" s="13">
        <f t="shared" si="25"/>
        <v>160.52427184465947</v>
      </c>
      <c r="K775" s="13">
        <v>38.834951456310698</v>
      </c>
      <c r="L775" s="11" t="s">
        <v>26</v>
      </c>
      <c r="M775" s="26"/>
    </row>
    <row r="776" spans="1:13" x14ac:dyDescent="0.25">
      <c r="A776" s="6">
        <v>7.9700916300670592E+16</v>
      </c>
      <c r="B776" s="30" t="s">
        <v>40</v>
      </c>
      <c r="C776" s="32" t="str">
        <f t="shared" si="24"/>
        <v>Oct</v>
      </c>
      <c r="D776" s="11" t="s">
        <v>25</v>
      </c>
      <c r="E776" s="13">
        <v>572137</v>
      </c>
      <c r="F776" s="13">
        <v>7117</v>
      </c>
      <c r="G776" s="13">
        <v>3</v>
      </c>
      <c r="H776" s="13">
        <v>0</v>
      </c>
      <c r="I776" s="13">
        <v>0</v>
      </c>
      <c r="J776" s="13">
        <f t="shared" si="25"/>
        <v>0</v>
      </c>
      <c r="K776" s="13">
        <v>-5.8252427184466002</v>
      </c>
      <c r="L776" s="11" t="s">
        <v>19</v>
      </c>
      <c r="M776" s="26"/>
    </row>
    <row r="777" spans="1:13" x14ac:dyDescent="0.25">
      <c r="A777" s="6">
        <v>8.3238848961325904E+16</v>
      </c>
      <c r="B777" s="30" t="s">
        <v>32</v>
      </c>
      <c r="C777" s="32" t="str">
        <f t="shared" si="24"/>
        <v>Oct</v>
      </c>
      <c r="D777" s="11" t="s">
        <v>25</v>
      </c>
      <c r="E777" s="13">
        <v>271855</v>
      </c>
      <c r="F777" s="13">
        <v>7117</v>
      </c>
      <c r="G777" s="13">
        <v>3</v>
      </c>
      <c r="H777" s="13">
        <v>0</v>
      </c>
      <c r="I777" s="13">
        <v>0</v>
      </c>
      <c r="J777" s="13">
        <f t="shared" si="25"/>
        <v>0</v>
      </c>
      <c r="K777" s="13">
        <v>-9.7087378640776993</v>
      </c>
      <c r="L777" s="11" t="s">
        <v>10</v>
      </c>
      <c r="M777" s="26"/>
    </row>
    <row r="778" spans="1:13" x14ac:dyDescent="0.25">
      <c r="A778" s="6">
        <v>1.2057378556598301E+17</v>
      </c>
      <c r="B778" s="30" t="s">
        <v>176</v>
      </c>
      <c r="C778" s="32" t="str">
        <f t="shared" si="24"/>
        <v>Feb</v>
      </c>
      <c r="D778" s="11" t="s">
        <v>16</v>
      </c>
      <c r="E778" s="13">
        <v>734003</v>
      </c>
      <c r="F778" s="13">
        <v>7117</v>
      </c>
      <c r="G778" s="13">
        <v>3</v>
      </c>
      <c r="H778" s="13">
        <v>169.90291262135901</v>
      </c>
      <c r="I778" s="13">
        <v>5.0970873786407802</v>
      </c>
      <c r="J778" s="13">
        <f t="shared" si="25"/>
        <v>174.9999999999998</v>
      </c>
      <c r="K778" s="13">
        <v>59.223300970873801</v>
      </c>
      <c r="L778" s="11" t="s">
        <v>14</v>
      </c>
      <c r="M778" s="26"/>
    </row>
    <row r="779" spans="1:13" x14ac:dyDescent="0.25">
      <c r="A779" s="6">
        <v>1.2185602621049699E+17</v>
      </c>
      <c r="B779" s="30" t="s">
        <v>181</v>
      </c>
      <c r="C779" s="32" t="str">
        <f t="shared" si="24"/>
        <v>Feb</v>
      </c>
      <c r="D779" s="11" t="s">
        <v>16</v>
      </c>
      <c r="E779" s="13">
        <v>261001</v>
      </c>
      <c r="F779" s="13">
        <v>7117</v>
      </c>
      <c r="G779" s="13">
        <v>3</v>
      </c>
      <c r="H779" s="13">
        <v>164.07766990291199</v>
      </c>
      <c r="I779" s="13">
        <v>5.1844660194174796</v>
      </c>
      <c r="J779" s="13">
        <f t="shared" si="25"/>
        <v>169.26213592232946</v>
      </c>
      <c r="K779" s="13">
        <v>47.572815533980602</v>
      </c>
      <c r="L779" s="11" t="s">
        <v>10</v>
      </c>
      <c r="M779" s="26"/>
    </row>
    <row r="780" spans="1:13" x14ac:dyDescent="0.25">
      <c r="A780" s="6">
        <v>1.2239160934516701E+17</v>
      </c>
      <c r="B780" s="30" t="s">
        <v>182</v>
      </c>
      <c r="C780" s="32" t="str">
        <f t="shared" si="24"/>
        <v>Feb</v>
      </c>
      <c r="D780" s="11" t="s">
        <v>16</v>
      </c>
      <c r="E780" s="13">
        <v>462044</v>
      </c>
      <c r="F780" s="13">
        <v>7117</v>
      </c>
      <c r="G780" s="13">
        <v>3</v>
      </c>
      <c r="H780" s="13">
        <v>172.81553398058199</v>
      </c>
      <c r="I780" s="13">
        <v>5.1844660194174796</v>
      </c>
      <c r="J780" s="13">
        <f t="shared" si="25"/>
        <v>177.99999999999946</v>
      </c>
      <c r="K780" s="13">
        <v>56.3106796116505</v>
      </c>
      <c r="L780" s="11" t="s">
        <v>26</v>
      </c>
      <c r="M780" s="26"/>
    </row>
    <row r="781" spans="1:13" x14ac:dyDescent="0.25">
      <c r="A781" s="6">
        <v>1.21535902279598E+17</v>
      </c>
      <c r="B781" s="30" t="s">
        <v>171</v>
      </c>
      <c r="C781" s="32" t="str">
        <f t="shared" si="24"/>
        <v>Feb</v>
      </c>
      <c r="D781" s="11" t="s">
        <v>16</v>
      </c>
      <c r="E781" s="13">
        <v>394210</v>
      </c>
      <c r="F781" s="13">
        <v>7117</v>
      </c>
      <c r="G781" s="13">
        <v>3</v>
      </c>
      <c r="H781" s="13">
        <v>107.766990291262</v>
      </c>
      <c r="I781" s="13">
        <v>3.78640776699029</v>
      </c>
      <c r="J781" s="13">
        <f t="shared" si="25"/>
        <v>111.5533980582523</v>
      </c>
      <c r="K781" s="13">
        <v>40.776699029126199</v>
      </c>
      <c r="L781" s="11" t="s">
        <v>12</v>
      </c>
      <c r="M781" s="26"/>
    </row>
    <row r="782" spans="1:13" x14ac:dyDescent="0.25">
      <c r="A782" s="6">
        <v>8.10092355226284E+16</v>
      </c>
      <c r="B782" s="30" t="s">
        <v>31</v>
      </c>
      <c r="C782" s="32" t="str">
        <f t="shared" si="24"/>
        <v>Oct</v>
      </c>
      <c r="D782" s="11" t="s">
        <v>25</v>
      </c>
      <c r="E782" s="13">
        <v>201102</v>
      </c>
      <c r="F782" s="13">
        <v>7117</v>
      </c>
      <c r="G782" s="13">
        <v>3</v>
      </c>
      <c r="H782" s="13">
        <v>0</v>
      </c>
      <c r="I782" s="13">
        <v>0</v>
      </c>
      <c r="J782" s="13">
        <f t="shared" si="25"/>
        <v>0</v>
      </c>
      <c r="K782" s="13">
        <v>-9.7087378640776993</v>
      </c>
      <c r="L782" s="11" t="s">
        <v>10</v>
      </c>
      <c r="M782" s="26"/>
    </row>
    <row r="783" spans="1:13" x14ac:dyDescent="0.25">
      <c r="A783" s="6">
        <v>1.17245979736002E+17</v>
      </c>
      <c r="B783" s="30" t="s">
        <v>151</v>
      </c>
      <c r="C783" s="32" t="str">
        <f t="shared" si="24"/>
        <v>Feb</v>
      </c>
      <c r="D783" s="11" t="s">
        <v>16</v>
      </c>
      <c r="E783" s="13">
        <v>390010</v>
      </c>
      <c r="F783" s="13">
        <v>7117</v>
      </c>
      <c r="G783" s="13">
        <v>3</v>
      </c>
      <c r="H783" s="13">
        <v>147.57281553397999</v>
      </c>
      <c r="I783" s="13">
        <v>4.42718446601942</v>
      </c>
      <c r="J783" s="13">
        <f t="shared" si="25"/>
        <v>151.9999999999994</v>
      </c>
      <c r="K783" s="13">
        <v>59.223300970873801</v>
      </c>
      <c r="L783" s="11" t="s">
        <v>12</v>
      </c>
      <c r="M783" s="26"/>
    </row>
    <row r="784" spans="1:13" x14ac:dyDescent="0.25">
      <c r="A784" s="6">
        <v>8.6706459009807104E+16</v>
      </c>
      <c r="B784" s="30" t="s">
        <v>90</v>
      </c>
      <c r="C784" s="32" t="str">
        <f t="shared" si="24"/>
        <v>Nov</v>
      </c>
      <c r="D784" s="11" t="s">
        <v>25</v>
      </c>
      <c r="E784" s="13">
        <v>160101</v>
      </c>
      <c r="F784" s="13">
        <v>7117</v>
      </c>
      <c r="G784" s="13">
        <v>3</v>
      </c>
      <c r="H784" s="13">
        <v>0</v>
      </c>
      <c r="I784" s="13">
        <v>0</v>
      </c>
      <c r="J784" s="13">
        <f t="shared" si="25"/>
        <v>0</v>
      </c>
      <c r="K784" s="13">
        <v>-9.7087378640776993</v>
      </c>
      <c r="L784" s="11" t="s">
        <v>85</v>
      </c>
      <c r="M784" s="26"/>
    </row>
    <row r="785" spans="1:13" x14ac:dyDescent="0.25">
      <c r="A785" s="6">
        <v>1.1729365464236499E+17</v>
      </c>
      <c r="B785" s="30" t="s">
        <v>151</v>
      </c>
      <c r="C785" s="32" t="str">
        <f t="shared" si="24"/>
        <v>Feb</v>
      </c>
      <c r="D785" s="11" t="s">
        <v>16</v>
      </c>
      <c r="E785" s="13">
        <v>301019</v>
      </c>
      <c r="F785" s="13">
        <v>7117</v>
      </c>
      <c r="G785" s="13">
        <v>3</v>
      </c>
      <c r="H785" s="13">
        <v>167.96116504854299</v>
      </c>
      <c r="I785" s="13">
        <v>5.1844660194174796</v>
      </c>
      <c r="J785" s="13">
        <f t="shared" si="25"/>
        <v>173.14563106796047</v>
      </c>
      <c r="K785" s="13">
        <v>51.456310679611697</v>
      </c>
      <c r="L785" s="11" t="s">
        <v>46</v>
      </c>
      <c r="M785" s="26"/>
    </row>
    <row r="786" spans="1:13" x14ac:dyDescent="0.25">
      <c r="A786" s="6">
        <v>1.1897879313383101E+17</v>
      </c>
      <c r="B786" s="30" t="s">
        <v>177</v>
      </c>
      <c r="C786" s="32" t="str">
        <f t="shared" si="24"/>
        <v>Feb</v>
      </c>
      <c r="D786" s="11" t="s">
        <v>25</v>
      </c>
      <c r="E786" s="13">
        <v>143501</v>
      </c>
      <c r="F786" s="13">
        <v>7117</v>
      </c>
      <c r="G786" s="13">
        <v>3</v>
      </c>
      <c r="H786" s="13">
        <v>164.07766990291199</v>
      </c>
      <c r="I786" s="13">
        <v>5.1844660194174796</v>
      </c>
      <c r="J786" s="13">
        <f t="shared" si="25"/>
        <v>169.26213592232946</v>
      </c>
      <c r="K786" s="13">
        <v>47.572815533980602</v>
      </c>
      <c r="L786" s="11" t="s">
        <v>17</v>
      </c>
      <c r="M786" s="26"/>
    </row>
    <row r="787" spans="1:13" x14ac:dyDescent="0.25">
      <c r="A787" s="6">
        <v>1.1751289489538701E+17</v>
      </c>
      <c r="B787" s="30" t="s">
        <v>170</v>
      </c>
      <c r="C787" s="32" t="str">
        <f t="shared" si="24"/>
        <v>Feb</v>
      </c>
      <c r="D787" s="11" t="s">
        <v>16</v>
      </c>
      <c r="E787" s="13">
        <v>829210</v>
      </c>
      <c r="F787" s="13">
        <v>7117</v>
      </c>
      <c r="G787" s="13">
        <v>3</v>
      </c>
      <c r="H787" s="13">
        <v>143.68932038834899</v>
      </c>
      <c r="I787" s="13">
        <v>4.8349514563106801</v>
      </c>
      <c r="J787" s="13">
        <f t="shared" si="25"/>
        <v>148.52427184465967</v>
      </c>
      <c r="K787" s="13">
        <v>38.834951456310698</v>
      </c>
      <c r="L787" s="11" t="s">
        <v>37</v>
      </c>
      <c r="M787" s="26"/>
    </row>
    <row r="788" spans="1:13" x14ac:dyDescent="0.25">
      <c r="A788" s="6">
        <v>1.17101768911122E+17</v>
      </c>
      <c r="B788" s="30" t="s">
        <v>151</v>
      </c>
      <c r="C788" s="32" t="str">
        <f t="shared" si="24"/>
        <v>Feb</v>
      </c>
      <c r="D788" s="11" t="s">
        <v>16</v>
      </c>
      <c r="E788" s="13">
        <v>110084</v>
      </c>
      <c r="F788" s="13">
        <v>7117</v>
      </c>
      <c r="G788" s="13">
        <v>3</v>
      </c>
      <c r="H788" s="13">
        <v>145.631067961165</v>
      </c>
      <c r="I788" s="13">
        <v>4.6310679611650496</v>
      </c>
      <c r="J788" s="13">
        <f t="shared" si="25"/>
        <v>150.26213592233006</v>
      </c>
      <c r="K788" s="13">
        <v>47.572815533980602</v>
      </c>
      <c r="L788" s="11" t="s">
        <v>28</v>
      </c>
      <c r="M788" s="26"/>
    </row>
    <row r="789" spans="1:13" x14ac:dyDescent="0.25">
      <c r="A789" s="6">
        <v>1.2016822005651299E+17</v>
      </c>
      <c r="B789" s="30" t="s">
        <v>175</v>
      </c>
      <c r="C789" s="32" t="str">
        <f t="shared" si="24"/>
        <v>Feb</v>
      </c>
      <c r="D789" s="11" t="s">
        <v>25</v>
      </c>
      <c r="E789" s="13">
        <v>518502</v>
      </c>
      <c r="F789" s="13">
        <v>7117</v>
      </c>
      <c r="G789" s="13">
        <v>3</v>
      </c>
      <c r="H789" s="13">
        <v>170.873786407767</v>
      </c>
      <c r="I789" s="13">
        <v>5.1262135922330101</v>
      </c>
      <c r="J789" s="13">
        <f t="shared" si="25"/>
        <v>176</v>
      </c>
      <c r="K789" s="13">
        <v>59.223300970873801</v>
      </c>
      <c r="L789" s="11" t="s">
        <v>39</v>
      </c>
      <c r="M789" s="26"/>
    </row>
    <row r="790" spans="1:13" x14ac:dyDescent="0.25">
      <c r="A790" s="6">
        <v>1.19821325828214E+17</v>
      </c>
      <c r="B790" s="30" t="s">
        <v>174</v>
      </c>
      <c r="C790" s="32" t="str">
        <f t="shared" si="24"/>
        <v>Feb</v>
      </c>
      <c r="D790" s="11" t="s">
        <v>21</v>
      </c>
      <c r="E790" s="13">
        <v>843129</v>
      </c>
      <c r="F790" s="13">
        <v>7117</v>
      </c>
      <c r="G790" s="13">
        <v>3</v>
      </c>
      <c r="H790" s="13">
        <v>169.90291262135901</v>
      </c>
      <c r="I790" s="13">
        <v>5.0970873786407802</v>
      </c>
      <c r="J790" s="13">
        <f t="shared" si="25"/>
        <v>174.9999999999998</v>
      </c>
      <c r="K790" s="13">
        <v>59.223300970873801</v>
      </c>
      <c r="L790" s="11" t="s">
        <v>22</v>
      </c>
      <c r="M790" s="26"/>
    </row>
    <row r="791" spans="1:13" x14ac:dyDescent="0.25">
      <c r="A791" s="6">
        <v>1.17629672610886E+17</v>
      </c>
      <c r="B791" s="30" t="s">
        <v>170</v>
      </c>
      <c r="C791" s="32" t="str">
        <f t="shared" si="24"/>
        <v>Feb</v>
      </c>
      <c r="D791" s="11" t="s">
        <v>21</v>
      </c>
      <c r="E791" s="13">
        <v>761035</v>
      </c>
      <c r="F791" s="13">
        <v>7117</v>
      </c>
      <c r="G791" s="13">
        <v>3</v>
      </c>
      <c r="H791" s="13">
        <v>161.16504854368901</v>
      </c>
      <c r="I791" s="13">
        <v>4.8349514563106801</v>
      </c>
      <c r="J791" s="13">
        <f t="shared" si="25"/>
        <v>165.99999999999969</v>
      </c>
      <c r="K791" s="13">
        <v>56.3106796116505</v>
      </c>
      <c r="L791" s="11" t="s">
        <v>54</v>
      </c>
      <c r="M791" s="26"/>
    </row>
    <row r="792" spans="1:13" x14ac:dyDescent="0.25">
      <c r="A792" s="6">
        <v>1.19317096441344E+17</v>
      </c>
      <c r="B792" s="30" t="s">
        <v>178</v>
      </c>
      <c r="C792" s="32" t="str">
        <f t="shared" si="24"/>
        <v>Feb</v>
      </c>
      <c r="D792" s="11" t="s">
        <v>25</v>
      </c>
      <c r="E792" s="13">
        <v>786614</v>
      </c>
      <c r="F792" s="13">
        <v>961590</v>
      </c>
      <c r="G792" s="13">
        <v>12</v>
      </c>
      <c r="H792" s="13">
        <v>161.60714285714201</v>
      </c>
      <c r="I792" s="13">
        <v>19.3928571428571</v>
      </c>
      <c r="J792" s="13">
        <f t="shared" si="25"/>
        <v>180.99999999999912</v>
      </c>
      <c r="K792" s="13">
        <v>67.857142857142904</v>
      </c>
      <c r="L792" s="11" t="s">
        <v>35</v>
      </c>
      <c r="M792" s="26"/>
    </row>
    <row r="793" spans="1:13" x14ac:dyDescent="0.25">
      <c r="A793" s="6">
        <v>1.2258074976652099E+17</v>
      </c>
      <c r="B793" s="30" t="s">
        <v>172</v>
      </c>
      <c r="C793" s="32" t="str">
        <f t="shared" si="24"/>
        <v>Feb</v>
      </c>
      <c r="D793" s="11" t="s">
        <v>25</v>
      </c>
      <c r="E793" s="13">
        <v>486001</v>
      </c>
      <c r="F793" s="13">
        <v>7117</v>
      </c>
      <c r="G793" s="13">
        <v>3</v>
      </c>
      <c r="H793" s="13">
        <v>166.01941747572801</v>
      </c>
      <c r="I793" s="13">
        <v>5.0970873786407802</v>
      </c>
      <c r="J793" s="13">
        <f t="shared" si="25"/>
        <v>171.1165048543688</v>
      </c>
      <c r="K793" s="13">
        <v>55.339805825242699</v>
      </c>
      <c r="L793" s="11" t="s">
        <v>26</v>
      </c>
      <c r="M793" s="26"/>
    </row>
    <row r="794" spans="1:13" x14ac:dyDescent="0.25">
      <c r="A794" s="6">
        <v>1.1763172361764499E+17</v>
      </c>
      <c r="B794" s="30" t="s">
        <v>170</v>
      </c>
      <c r="C794" s="32" t="str">
        <f t="shared" si="24"/>
        <v>Feb</v>
      </c>
      <c r="D794" s="11" t="s">
        <v>16</v>
      </c>
      <c r="E794" s="13">
        <v>484771</v>
      </c>
      <c r="F794" s="13">
        <v>7117</v>
      </c>
      <c r="G794" s="13">
        <v>3</v>
      </c>
      <c r="H794" s="13">
        <v>156.31067961164999</v>
      </c>
      <c r="I794" s="13">
        <v>4.8349514563106801</v>
      </c>
      <c r="J794" s="13">
        <f t="shared" si="25"/>
        <v>161.14563106796066</v>
      </c>
      <c r="K794" s="13">
        <v>51.456310679611697</v>
      </c>
      <c r="L794" s="11" t="s">
        <v>26</v>
      </c>
      <c r="M794" s="26"/>
    </row>
    <row r="795" spans="1:13" x14ac:dyDescent="0.25">
      <c r="A795" s="6">
        <v>1.25128857598888E+17</v>
      </c>
      <c r="B795" s="30" t="s">
        <v>189</v>
      </c>
      <c r="C795" s="32" t="str">
        <f t="shared" si="24"/>
        <v>Feb</v>
      </c>
      <c r="D795" s="11" t="s">
        <v>33</v>
      </c>
      <c r="E795" s="13">
        <v>140201</v>
      </c>
      <c r="F795" s="13">
        <v>7117</v>
      </c>
      <c r="G795" s="13">
        <v>3</v>
      </c>
      <c r="H795" s="13">
        <v>146.601941747572</v>
      </c>
      <c r="I795" s="13">
        <v>4.6601941747572804</v>
      </c>
      <c r="J795" s="13">
        <f t="shared" si="25"/>
        <v>151.26213592232929</v>
      </c>
      <c r="K795" s="13">
        <v>52.427184466019398</v>
      </c>
      <c r="L795" s="11" t="s">
        <v>17</v>
      </c>
      <c r="M795" s="26"/>
    </row>
    <row r="796" spans="1:13" x14ac:dyDescent="0.25">
      <c r="A796" s="6">
        <v>1.21140068655822E+17</v>
      </c>
      <c r="B796" s="30" t="s">
        <v>187</v>
      </c>
      <c r="C796" s="32" t="str">
        <f t="shared" si="24"/>
        <v>Feb</v>
      </c>
      <c r="D796" s="11" t="s">
        <v>16</v>
      </c>
      <c r="E796" s="13">
        <v>209861</v>
      </c>
      <c r="F796" s="13">
        <v>7117</v>
      </c>
      <c r="G796" s="13">
        <v>3</v>
      </c>
      <c r="H796" s="13">
        <v>164.07766990291199</v>
      </c>
      <c r="I796" s="13">
        <v>5.1844660194174796</v>
      </c>
      <c r="J796" s="13">
        <f t="shared" si="25"/>
        <v>169.26213592232946</v>
      </c>
      <c r="K796" s="13">
        <v>47.572815533980602</v>
      </c>
      <c r="L796" s="11" t="s">
        <v>10</v>
      </c>
      <c r="M796" s="26"/>
    </row>
    <row r="797" spans="1:13" x14ac:dyDescent="0.25">
      <c r="A797" s="6">
        <v>7.6989792849111904E+16</v>
      </c>
      <c r="B797" s="30" t="s">
        <v>30</v>
      </c>
      <c r="C797" s="32" t="str">
        <f t="shared" si="24"/>
        <v>Oct</v>
      </c>
      <c r="D797" s="11" t="s">
        <v>25</v>
      </c>
      <c r="E797" s="13">
        <v>700041</v>
      </c>
      <c r="F797" s="13">
        <v>7117</v>
      </c>
      <c r="G797" s="13">
        <v>3</v>
      </c>
      <c r="H797" s="13">
        <v>0</v>
      </c>
      <c r="I797" s="13">
        <v>0</v>
      </c>
      <c r="J797" s="13">
        <f t="shared" si="25"/>
        <v>0</v>
      </c>
      <c r="K797" s="13">
        <v>-18.446601941747598</v>
      </c>
      <c r="L797" s="11" t="s">
        <v>14</v>
      </c>
      <c r="M797" s="26"/>
    </row>
    <row r="798" spans="1:13" x14ac:dyDescent="0.25">
      <c r="A798" s="6">
        <v>1.17626681724006E+17</v>
      </c>
      <c r="B798" s="30" t="s">
        <v>170</v>
      </c>
      <c r="C798" s="32" t="str">
        <f t="shared" si="24"/>
        <v>Feb</v>
      </c>
      <c r="D798" s="11" t="s">
        <v>16</v>
      </c>
      <c r="E798" s="13">
        <v>828202</v>
      </c>
      <c r="F798" s="13">
        <v>7117</v>
      </c>
      <c r="G798" s="13">
        <v>3</v>
      </c>
      <c r="H798" s="13">
        <v>127.184466019417</v>
      </c>
      <c r="I798" s="13">
        <v>4.3398058252427196</v>
      </c>
      <c r="J798" s="13">
        <f t="shared" si="25"/>
        <v>131.52427184465972</v>
      </c>
      <c r="K798" s="13">
        <v>38.834951456310698</v>
      </c>
      <c r="L798" s="11" t="s">
        <v>37</v>
      </c>
      <c r="M798" s="26"/>
    </row>
    <row r="799" spans="1:13" x14ac:dyDescent="0.25">
      <c r="A799" s="6">
        <v>1.2190920279185299E+17</v>
      </c>
      <c r="B799" s="30" t="s">
        <v>181</v>
      </c>
      <c r="C799" s="32" t="str">
        <f t="shared" si="24"/>
        <v>Feb</v>
      </c>
      <c r="D799" s="11" t="s">
        <v>25</v>
      </c>
      <c r="E799" s="13">
        <v>676101</v>
      </c>
      <c r="F799" s="13">
        <v>7117</v>
      </c>
      <c r="G799" s="13">
        <v>3</v>
      </c>
      <c r="H799" s="13">
        <v>134.95145631067899</v>
      </c>
      <c r="I799" s="13">
        <v>4.0485436893203897</v>
      </c>
      <c r="J799" s="13">
        <f t="shared" si="25"/>
        <v>138.99999999999937</v>
      </c>
      <c r="K799" s="13">
        <v>67.961165048543705</v>
      </c>
      <c r="L799" s="11" t="s">
        <v>98</v>
      </c>
      <c r="M799" s="26"/>
    </row>
    <row r="800" spans="1:13" x14ac:dyDescent="0.25">
      <c r="A800" s="6">
        <v>1.1747998961145E+17</v>
      </c>
      <c r="B800" s="30" t="s">
        <v>170</v>
      </c>
      <c r="C800" s="32" t="str">
        <f t="shared" si="24"/>
        <v>Feb</v>
      </c>
      <c r="D800" s="11" t="s">
        <v>21</v>
      </c>
      <c r="E800" s="13">
        <v>395013</v>
      </c>
      <c r="F800" s="13">
        <v>7117</v>
      </c>
      <c r="G800" s="13">
        <v>3</v>
      </c>
      <c r="H800" s="13">
        <v>161.16504854368901</v>
      </c>
      <c r="I800" s="13">
        <v>4.8349514563106801</v>
      </c>
      <c r="J800" s="13">
        <f t="shared" si="25"/>
        <v>165.99999999999969</v>
      </c>
      <c r="K800" s="13">
        <v>56.3106796116505</v>
      </c>
      <c r="L800" s="11" t="s">
        <v>12</v>
      </c>
      <c r="M800" s="26"/>
    </row>
    <row r="801" spans="1:13" x14ac:dyDescent="0.25">
      <c r="A801" s="6">
        <v>1.2568173951030899E+17</v>
      </c>
      <c r="B801" s="30" t="s">
        <v>179</v>
      </c>
      <c r="C801" s="32" t="str">
        <f t="shared" si="24"/>
        <v>Feb</v>
      </c>
      <c r="D801" s="11" t="s">
        <v>9</v>
      </c>
      <c r="E801" s="13">
        <v>682010</v>
      </c>
      <c r="F801" s="13">
        <v>7117</v>
      </c>
      <c r="G801" s="13">
        <v>3</v>
      </c>
      <c r="H801" s="13">
        <v>143.68932038834899</v>
      </c>
      <c r="I801" s="13">
        <v>4.9514563106796103</v>
      </c>
      <c r="J801" s="13">
        <f t="shared" si="25"/>
        <v>148.64077669902861</v>
      </c>
      <c r="K801" s="13">
        <v>48.543689320388303</v>
      </c>
      <c r="L801" s="11" t="s">
        <v>98</v>
      </c>
      <c r="M801" s="26"/>
    </row>
    <row r="802" spans="1:13" x14ac:dyDescent="0.25">
      <c r="A802" s="6">
        <v>1.20780893915868E+17</v>
      </c>
      <c r="B802" s="30" t="s">
        <v>186</v>
      </c>
      <c r="C802" s="32" t="str">
        <f t="shared" si="24"/>
        <v>Feb</v>
      </c>
      <c r="D802" s="11" t="s">
        <v>16</v>
      </c>
      <c r="E802" s="13">
        <v>812006</v>
      </c>
      <c r="F802" s="13">
        <v>7117</v>
      </c>
      <c r="G802" s="13">
        <v>3</v>
      </c>
      <c r="H802" s="13">
        <v>147.57281553397999</v>
      </c>
      <c r="I802" s="13">
        <v>4.42718446601942</v>
      </c>
      <c r="J802" s="13">
        <f t="shared" si="25"/>
        <v>151.9999999999994</v>
      </c>
      <c r="K802" s="13">
        <v>59.223300970873801</v>
      </c>
      <c r="L802" s="11" t="s">
        <v>22</v>
      </c>
      <c r="M802" s="26"/>
    </row>
    <row r="803" spans="1:13" x14ac:dyDescent="0.25">
      <c r="A803" s="6">
        <v>1.1969061072997101E+17</v>
      </c>
      <c r="B803" s="30" t="s">
        <v>174</v>
      </c>
      <c r="C803" s="32" t="str">
        <f t="shared" si="24"/>
        <v>Feb</v>
      </c>
      <c r="D803" s="11" t="s">
        <v>25</v>
      </c>
      <c r="E803" s="13">
        <v>274501</v>
      </c>
      <c r="F803" s="13">
        <v>7117</v>
      </c>
      <c r="G803" s="13">
        <v>3</v>
      </c>
      <c r="H803" s="13">
        <v>163.106796116504</v>
      </c>
      <c r="I803" s="13">
        <v>5.1262135922330101</v>
      </c>
      <c r="J803" s="13">
        <f t="shared" si="25"/>
        <v>168.233009708737</v>
      </c>
      <c r="K803" s="13">
        <v>46.601941747572802</v>
      </c>
      <c r="L803" s="11" t="s">
        <v>10</v>
      </c>
      <c r="M803" s="26"/>
    </row>
    <row r="804" spans="1:13" x14ac:dyDescent="0.25">
      <c r="A804" s="6">
        <v>1.2156081509839299E+17</v>
      </c>
      <c r="B804" s="30" t="s">
        <v>171</v>
      </c>
      <c r="C804" s="32" t="str">
        <f t="shared" si="24"/>
        <v>Feb</v>
      </c>
      <c r="D804" s="11" t="s">
        <v>16</v>
      </c>
      <c r="E804" s="13">
        <v>734003</v>
      </c>
      <c r="F804" s="13">
        <v>7117</v>
      </c>
      <c r="G804" s="13">
        <v>3</v>
      </c>
      <c r="H804" s="13">
        <v>194.17475728155301</v>
      </c>
      <c r="I804" s="13">
        <v>5.8252427184466002</v>
      </c>
      <c r="J804" s="13">
        <f t="shared" si="25"/>
        <v>199.9999999999996</v>
      </c>
      <c r="K804" s="13">
        <v>59.223300970873801</v>
      </c>
      <c r="L804" s="11" t="s">
        <v>14</v>
      </c>
      <c r="M804" s="26"/>
    </row>
    <row r="805" spans="1:13" x14ac:dyDescent="0.25">
      <c r="A805" s="6">
        <v>1.2125185281900099E+17</v>
      </c>
      <c r="B805" s="30" t="s">
        <v>187</v>
      </c>
      <c r="C805" s="32" t="str">
        <f t="shared" si="24"/>
        <v>Feb</v>
      </c>
      <c r="D805" s="11" t="s">
        <v>16</v>
      </c>
      <c r="E805" s="13">
        <v>281501</v>
      </c>
      <c r="F805" s="13">
        <v>7117</v>
      </c>
      <c r="G805" s="13">
        <v>3</v>
      </c>
      <c r="H805" s="13">
        <v>164.07766990291199</v>
      </c>
      <c r="I805" s="13">
        <v>5.1844660194174796</v>
      </c>
      <c r="J805" s="13">
        <f t="shared" si="25"/>
        <v>169.26213592232946</v>
      </c>
      <c r="K805" s="13">
        <v>47.572815533980602</v>
      </c>
      <c r="L805" s="11" t="s">
        <v>10</v>
      </c>
      <c r="M805" s="26"/>
    </row>
    <row r="806" spans="1:13" x14ac:dyDescent="0.25">
      <c r="A806" s="6">
        <v>1.2073046907039299E+17</v>
      </c>
      <c r="B806" s="30" t="s">
        <v>186</v>
      </c>
      <c r="C806" s="32" t="str">
        <f t="shared" si="24"/>
        <v>Feb</v>
      </c>
      <c r="D806" s="11" t="s">
        <v>16</v>
      </c>
      <c r="E806" s="13">
        <v>221603</v>
      </c>
      <c r="F806" s="13">
        <v>7117</v>
      </c>
      <c r="G806" s="13">
        <v>3</v>
      </c>
      <c r="H806" s="13">
        <v>157.28155339805801</v>
      </c>
      <c r="I806" s="13">
        <v>4.9805825242718402</v>
      </c>
      <c r="J806" s="13">
        <f t="shared" si="25"/>
        <v>162.26213592232986</v>
      </c>
      <c r="K806" s="13">
        <v>48.543689320388303</v>
      </c>
      <c r="L806" s="11" t="s">
        <v>10</v>
      </c>
      <c r="M806" s="26"/>
    </row>
    <row r="807" spans="1:13" x14ac:dyDescent="0.25">
      <c r="A807" s="6">
        <v>1.20066106221294E+17</v>
      </c>
      <c r="B807" s="30" t="s">
        <v>175</v>
      </c>
      <c r="C807" s="32" t="str">
        <f t="shared" si="24"/>
        <v>Feb</v>
      </c>
      <c r="D807" s="11" t="s">
        <v>16</v>
      </c>
      <c r="E807" s="13">
        <v>695002</v>
      </c>
      <c r="F807" s="13">
        <v>7117</v>
      </c>
      <c r="G807" s="13">
        <v>3</v>
      </c>
      <c r="H807" s="13">
        <v>149.514563106796</v>
      </c>
      <c r="I807" s="13">
        <v>5.0679611650485397</v>
      </c>
      <c r="J807" s="13">
        <f t="shared" si="25"/>
        <v>154.58252427184453</v>
      </c>
      <c r="K807" s="13">
        <v>46.601941747572802</v>
      </c>
      <c r="L807" s="11" t="s">
        <v>98</v>
      </c>
      <c r="M807" s="26"/>
    </row>
    <row r="808" spans="1:13" x14ac:dyDescent="0.25">
      <c r="A808" s="6">
        <v>1.2294011692999E+17</v>
      </c>
      <c r="B808" s="30" t="s">
        <v>173</v>
      </c>
      <c r="C808" s="32" t="str">
        <f t="shared" si="24"/>
        <v>Feb</v>
      </c>
      <c r="D808" s="11" t="s">
        <v>16</v>
      </c>
      <c r="E808" s="13">
        <v>413216</v>
      </c>
      <c r="F808" s="13">
        <v>7117</v>
      </c>
      <c r="G808" s="13">
        <v>3</v>
      </c>
      <c r="H808" s="13">
        <v>172.81553398058199</v>
      </c>
      <c r="I808" s="13">
        <v>5.1844660194174796</v>
      </c>
      <c r="J808" s="13">
        <f t="shared" si="25"/>
        <v>177.99999999999946</v>
      </c>
      <c r="K808" s="13">
        <v>56.3106796116505</v>
      </c>
      <c r="L808" s="11" t="s">
        <v>41</v>
      </c>
      <c r="M808" s="26"/>
    </row>
    <row r="809" spans="1:13" x14ac:dyDescent="0.25">
      <c r="A809" s="6">
        <v>8.0985967641105696E+16</v>
      </c>
      <c r="B809" s="30" t="s">
        <v>31</v>
      </c>
      <c r="C809" s="32" t="str">
        <f t="shared" si="24"/>
        <v>Oct</v>
      </c>
      <c r="D809" s="11" t="s">
        <v>25</v>
      </c>
      <c r="E809" s="13">
        <v>301701</v>
      </c>
      <c r="F809" s="13">
        <v>7117</v>
      </c>
      <c r="G809" s="13">
        <v>3</v>
      </c>
      <c r="H809" s="13">
        <v>0</v>
      </c>
      <c r="I809" s="13">
        <v>0</v>
      </c>
      <c r="J809" s="13">
        <f t="shared" si="25"/>
        <v>0</v>
      </c>
      <c r="K809" s="13">
        <v>-6.7961165048543997</v>
      </c>
      <c r="L809" s="11" t="s">
        <v>46</v>
      </c>
      <c r="M809" s="26"/>
    </row>
    <row r="810" spans="1:13" x14ac:dyDescent="0.25">
      <c r="A810" s="6">
        <v>1.19815628269548E+17</v>
      </c>
      <c r="B810" s="30" t="s">
        <v>174</v>
      </c>
      <c r="C810" s="32" t="str">
        <f t="shared" si="24"/>
        <v>Feb</v>
      </c>
      <c r="D810" s="11" t="s">
        <v>52</v>
      </c>
      <c r="E810" s="13">
        <v>324002</v>
      </c>
      <c r="F810" s="13">
        <v>7117</v>
      </c>
      <c r="G810" s="13">
        <v>3</v>
      </c>
      <c r="H810" s="13">
        <v>164.07766990291199</v>
      </c>
      <c r="I810" s="13">
        <v>5.1844660194174796</v>
      </c>
      <c r="J810" s="13">
        <f t="shared" si="25"/>
        <v>169.26213592232946</v>
      </c>
      <c r="K810" s="13">
        <v>47.572815533980602</v>
      </c>
      <c r="L810" s="11" t="s">
        <v>46</v>
      </c>
      <c r="M810" s="26"/>
    </row>
    <row r="811" spans="1:13" x14ac:dyDescent="0.25">
      <c r="A811" s="6">
        <v>1.2082949988892301E+17</v>
      </c>
      <c r="B811" s="30" t="s">
        <v>186</v>
      </c>
      <c r="C811" s="32" t="str">
        <f t="shared" si="24"/>
        <v>Feb</v>
      </c>
      <c r="D811" s="11" t="s">
        <v>21</v>
      </c>
      <c r="E811" s="13">
        <v>803101</v>
      </c>
      <c r="F811" s="13">
        <v>7117</v>
      </c>
      <c r="G811" s="13">
        <v>3</v>
      </c>
      <c r="H811" s="13">
        <v>147.57281553397999</v>
      </c>
      <c r="I811" s="13">
        <v>4.42718446601942</v>
      </c>
      <c r="J811" s="13">
        <f t="shared" si="25"/>
        <v>151.9999999999994</v>
      </c>
      <c r="K811" s="13">
        <v>59.223300970873801</v>
      </c>
      <c r="L811" s="11" t="s">
        <v>22</v>
      </c>
      <c r="M811" s="26"/>
    </row>
    <row r="812" spans="1:13" x14ac:dyDescent="0.25">
      <c r="A812" s="6">
        <v>1.2030403881388899E+17</v>
      </c>
      <c r="B812" s="30" t="s">
        <v>176</v>
      </c>
      <c r="C812" s="32" t="str">
        <f t="shared" si="24"/>
        <v>Feb</v>
      </c>
      <c r="D812" s="11" t="s">
        <v>16</v>
      </c>
      <c r="E812" s="13">
        <v>852139</v>
      </c>
      <c r="F812" s="13">
        <v>7117</v>
      </c>
      <c r="G812" s="13">
        <v>3</v>
      </c>
      <c r="H812" s="13">
        <v>172.81553398058199</v>
      </c>
      <c r="I812" s="13">
        <v>5.1844660194174796</v>
      </c>
      <c r="J812" s="13">
        <f t="shared" si="25"/>
        <v>177.99999999999946</v>
      </c>
      <c r="K812" s="13">
        <v>56.3106796116505</v>
      </c>
      <c r="L812" s="11" t="s">
        <v>22</v>
      </c>
      <c r="M812" s="26"/>
    </row>
    <row r="813" spans="1:13" x14ac:dyDescent="0.25">
      <c r="A813" s="6">
        <v>1.2310283856143699E+17</v>
      </c>
      <c r="B813" s="30" t="s">
        <v>173</v>
      </c>
      <c r="C813" s="32" t="str">
        <f t="shared" si="24"/>
        <v>Feb</v>
      </c>
      <c r="D813" s="11" t="s">
        <v>16</v>
      </c>
      <c r="E813" s="13">
        <v>110085</v>
      </c>
      <c r="F813" s="13">
        <v>7117</v>
      </c>
      <c r="G813" s="13">
        <v>3</v>
      </c>
      <c r="H813" s="13">
        <v>200</v>
      </c>
      <c r="I813" s="13">
        <v>6.6407766990291304</v>
      </c>
      <c r="J813" s="13">
        <f t="shared" si="25"/>
        <v>206.64077669902912</v>
      </c>
      <c r="K813" s="13">
        <v>34.951456310679603</v>
      </c>
      <c r="L813" s="11" t="s">
        <v>28</v>
      </c>
      <c r="M813" s="26"/>
    </row>
    <row r="814" spans="1:13" x14ac:dyDescent="0.25">
      <c r="A814" s="6">
        <v>1.2270101743038899E+17</v>
      </c>
      <c r="B814" s="30" t="s">
        <v>172</v>
      </c>
      <c r="C814" s="32" t="str">
        <f t="shared" si="24"/>
        <v>Feb</v>
      </c>
      <c r="D814" s="11" t="s">
        <v>16</v>
      </c>
      <c r="E814" s="13">
        <v>600118</v>
      </c>
      <c r="F814" s="13">
        <v>7117</v>
      </c>
      <c r="G814" s="13">
        <v>3</v>
      </c>
      <c r="H814" s="13">
        <v>160.19417475728099</v>
      </c>
      <c r="I814" s="13">
        <v>4.8058252427184502</v>
      </c>
      <c r="J814" s="13">
        <f t="shared" si="25"/>
        <v>164.99999999999943</v>
      </c>
      <c r="K814" s="13">
        <v>57.2815533980583</v>
      </c>
      <c r="L814" s="11" t="s">
        <v>27</v>
      </c>
      <c r="M814" s="26"/>
    </row>
    <row r="815" spans="1:13" x14ac:dyDescent="0.25">
      <c r="A815" s="6">
        <v>1.22230901064232E+17</v>
      </c>
      <c r="B815" s="30" t="s">
        <v>182</v>
      </c>
      <c r="C815" s="32" t="str">
        <f t="shared" si="24"/>
        <v>Feb</v>
      </c>
      <c r="D815" s="11" t="s">
        <v>16</v>
      </c>
      <c r="E815" s="13">
        <v>497111</v>
      </c>
      <c r="F815" s="13">
        <v>7117</v>
      </c>
      <c r="G815" s="13">
        <v>3</v>
      </c>
      <c r="H815" s="13">
        <v>154.368932038834</v>
      </c>
      <c r="I815" s="13">
        <v>4.6310679611650496</v>
      </c>
      <c r="J815" s="13">
        <f t="shared" si="25"/>
        <v>158.99999999999906</v>
      </c>
      <c r="K815" s="13">
        <v>56.3106796116505</v>
      </c>
      <c r="L815" s="11" t="s">
        <v>23</v>
      </c>
      <c r="M815" s="26"/>
    </row>
    <row r="816" spans="1:13" x14ac:dyDescent="0.25">
      <c r="A816" s="6">
        <v>1.1896476366238099E+17</v>
      </c>
      <c r="B816" s="30" t="s">
        <v>177</v>
      </c>
      <c r="C816" s="32" t="str">
        <f t="shared" si="24"/>
        <v>Feb</v>
      </c>
      <c r="D816" s="11" t="s">
        <v>16</v>
      </c>
      <c r="E816" s="13">
        <v>222170</v>
      </c>
      <c r="F816" s="13">
        <v>7117</v>
      </c>
      <c r="G816" s="13">
        <v>3</v>
      </c>
      <c r="H816" s="13">
        <v>145.631067961165</v>
      </c>
      <c r="I816" s="13">
        <v>4.6310679611650496</v>
      </c>
      <c r="J816" s="13">
        <f t="shared" si="25"/>
        <v>150.26213592233006</v>
      </c>
      <c r="K816" s="13">
        <v>47.572815533980602</v>
      </c>
      <c r="L816" s="11" t="s">
        <v>10</v>
      </c>
      <c r="M816" s="26"/>
    </row>
    <row r="817" spans="1:13" x14ac:dyDescent="0.25">
      <c r="A817" s="6">
        <v>1.2160761036239299E+17</v>
      </c>
      <c r="B817" s="30" t="s">
        <v>171</v>
      </c>
      <c r="C817" s="32" t="str">
        <f t="shared" si="24"/>
        <v>Feb</v>
      </c>
      <c r="D817" s="11" t="s">
        <v>16</v>
      </c>
      <c r="E817" s="13">
        <v>123029</v>
      </c>
      <c r="F817" s="13">
        <v>7117</v>
      </c>
      <c r="G817" s="13">
        <v>3</v>
      </c>
      <c r="H817" s="13">
        <v>150.485436893203</v>
      </c>
      <c r="I817" s="13">
        <v>5.1844660194174796</v>
      </c>
      <c r="J817" s="13">
        <f t="shared" si="25"/>
        <v>155.66990291262047</v>
      </c>
      <c r="K817" s="13">
        <v>33.980582524271803</v>
      </c>
      <c r="L817" s="11" t="s">
        <v>63</v>
      </c>
      <c r="M817" s="26"/>
    </row>
    <row r="818" spans="1:13" x14ac:dyDescent="0.25">
      <c r="A818" s="6">
        <v>1.22355860335914E+17</v>
      </c>
      <c r="B818" s="30" t="s">
        <v>182</v>
      </c>
      <c r="C818" s="32" t="str">
        <f t="shared" si="24"/>
        <v>Feb</v>
      </c>
      <c r="D818" s="11" t="s">
        <v>16</v>
      </c>
      <c r="E818" s="13">
        <v>224001</v>
      </c>
      <c r="F818" s="13">
        <v>7117</v>
      </c>
      <c r="G818" s="13">
        <v>3</v>
      </c>
      <c r="H818" s="13">
        <v>164.07766990291199</v>
      </c>
      <c r="I818" s="13">
        <v>5.1844660194174796</v>
      </c>
      <c r="J818" s="13">
        <f t="shared" si="25"/>
        <v>169.26213592232946</v>
      </c>
      <c r="K818" s="13">
        <v>47.572815533980602</v>
      </c>
      <c r="L818" s="11" t="s">
        <v>10</v>
      </c>
      <c r="M818" s="26"/>
    </row>
    <row r="819" spans="1:13" x14ac:dyDescent="0.25">
      <c r="A819" s="6">
        <v>1.2263652368544E+17</v>
      </c>
      <c r="B819" s="30" t="s">
        <v>172</v>
      </c>
      <c r="C819" s="32" t="str">
        <f t="shared" si="24"/>
        <v>Feb</v>
      </c>
      <c r="D819" s="11" t="s">
        <v>16</v>
      </c>
      <c r="E819" s="13">
        <v>609108</v>
      </c>
      <c r="F819" s="13">
        <v>7117</v>
      </c>
      <c r="G819" s="13">
        <v>3</v>
      </c>
      <c r="H819" s="13">
        <v>154.368932038834</v>
      </c>
      <c r="I819" s="13">
        <v>4.6310679611650496</v>
      </c>
      <c r="J819" s="13">
        <f t="shared" si="25"/>
        <v>158.99999999999906</v>
      </c>
      <c r="K819" s="13">
        <v>56.3106796116505</v>
      </c>
      <c r="L819" s="11" t="s">
        <v>27</v>
      </c>
      <c r="M819" s="26"/>
    </row>
    <row r="820" spans="1:13" x14ac:dyDescent="0.25">
      <c r="A820" s="6">
        <v>1.1868875951137101E+17</v>
      </c>
      <c r="B820" s="30" t="s">
        <v>192</v>
      </c>
      <c r="C820" s="32" t="str">
        <f t="shared" si="24"/>
        <v>Feb</v>
      </c>
      <c r="D820" s="11" t="s">
        <v>16</v>
      </c>
      <c r="E820" s="13">
        <v>232331</v>
      </c>
      <c r="F820" s="13">
        <v>7117</v>
      </c>
      <c r="G820" s="13">
        <v>3</v>
      </c>
      <c r="H820" s="13">
        <v>164.07766990291199</v>
      </c>
      <c r="I820" s="13">
        <v>5.1844660194174796</v>
      </c>
      <c r="J820" s="13">
        <f t="shared" si="25"/>
        <v>169.26213592232946</v>
      </c>
      <c r="K820" s="13">
        <v>47.572815533980602</v>
      </c>
      <c r="L820" s="11" t="s">
        <v>10</v>
      </c>
      <c r="M820" s="26"/>
    </row>
    <row r="821" spans="1:13" x14ac:dyDescent="0.25">
      <c r="A821" s="6">
        <v>1.2218896144254899E+17</v>
      </c>
      <c r="B821" s="30" t="s">
        <v>182</v>
      </c>
      <c r="C821" s="32" t="str">
        <f t="shared" si="24"/>
        <v>Feb</v>
      </c>
      <c r="D821" s="11" t="s">
        <v>16</v>
      </c>
      <c r="E821" s="13">
        <v>110032</v>
      </c>
      <c r="F821" s="13">
        <v>7117</v>
      </c>
      <c r="G821" s="13">
        <v>3</v>
      </c>
      <c r="H821" s="13">
        <v>164.07766990291199</v>
      </c>
      <c r="I821" s="13">
        <v>5.1844660194174796</v>
      </c>
      <c r="J821" s="13">
        <f t="shared" si="25"/>
        <v>169.26213592232946</v>
      </c>
      <c r="K821" s="13">
        <v>47.572815533980602</v>
      </c>
      <c r="L821" s="11" t="s">
        <v>28</v>
      </c>
      <c r="M821" s="26"/>
    </row>
    <row r="822" spans="1:13" x14ac:dyDescent="0.25">
      <c r="A822" s="6">
        <v>1.1732148032873699E+17</v>
      </c>
      <c r="B822" s="30" t="s">
        <v>151</v>
      </c>
      <c r="C822" s="32" t="str">
        <f t="shared" si="24"/>
        <v>Feb</v>
      </c>
      <c r="D822" s="11" t="s">
        <v>16</v>
      </c>
      <c r="E822" s="13">
        <v>816104</v>
      </c>
      <c r="F822" s="13">
        <v>7117</v>
      </c>
      <c r="G822" s="13">
        <v>3</v>
      </c>
      <c r="H822" s="13">
        <v>172.81553398058199</v>
      </c>
      <c r="I822" s="13">
        <v>5.1844660194174796</v>
      </c>
      <c r="J822" s="13">
        <f t="shared" si="25"/>
        <v>177.99999999999946</v>
      </c>
      <c r="K822" s="13">
        <v>56.3106796116505</v>
      </c>
      <c r="L822" s="11" t="s">
        <v>37</v>
      </c>
      <c r="M822" s="26"/>
    </row>
    <row r="823" spans="1:13" x14ac:dyDescent="0.25">
      <c r="A823" s="6">
        <v>1.2157337311251299E+17</v>
      </c>
      <c r="B823" s="30" t="s">
        <v>171</v>
      </c>
      <c r="C823" s="32" t="str">
        <f t="shared" si="24"/>
        <v>Feb</v>
      </c>
      <c r="D823" s="11" t="s">
        <v>16</v>
      </c>
      <c r="E823" s="13">
        <v>413716</v>
      </c>
      <c r="F823" s="13">
        <v>7117</v>
      </c>
      <c r="G823" s="13">
        <v>3</v>
      </c>
      <c r="H823" s="13">
        <v>169.90291262135901</v>
      </c>
      <c r="I823" s="13">
        <v>5.0970873786407802</v>
      </c>
      <c r="J823" s="13">
        <f t="shared" si="25"/>
        <v>174.9999999999998</v>
      </c>
      <c r="K823" s="13">
        <v>59.223300970873801</v>
      </c>
      <c r="L823" s="11" t="s">
        <v>41</v>
      </c>
      <c r="M823" s="26"/>
    </row>
    <row r="824" spans="1:13" x14ac:dyDescent="0.25">
      <c r="A824" s="6">
        <v>1.1748844511025E+17</v>
      </c>
      <c r="B824" s="30" t="s">
        <v>170</v>
      </c>
      <c r="C824" s="32" t="str">
        <f t="shared" si="24"/>
        <v>Feb</v>
      </c>
      <c r="D824" s="11" t="s">
        <v>52</v>
      </c>
      <c r="E824" s="13">
        <v>695002</v>
      </c>
      <c r="F824" s="13">
        <v>7117</v>
      </c>
      <c r="G824" s="13">
        <v>3</v>
      </c>
      <c r="H824" s="13">
        <v>139.80582524271799</v>
      </c>
      <c r="I824" s="13">
        <v>4.7766990291262097</v>
      </c>
      <c r="J824" s="13">
        <f t="shared" si="25"/>
        <v>144.58252427184419</v>
      </c>
      <c r="K824" s="13">
        <v>46.601941747572802</v>
      </c>
      <c r="L824" s="11" t="s">
        <v>98</v>
      </c>
      <c r="M824" s="26"/>
    </row>
    <row r="825" spans="1:13" x14ac:dyDescent="0.25">
      <c r="A825" s="6">
        <v>1.2123718235009501E+17</v>
      </c>
      <c r="B825" s="30" t="s">
        <v>187</v>
      </c>
      <c r="C825" s="32" t="str">
        <f t="shared" si="24"/>
        <v>Feb</v>
      </c>
      <c r="D825" s="11" t="s">
        <v>16</v>
      </c>
      <c r="E825" s="13">
        <v>226014</v>
      </c>
      <c r="F825" s="13">
        <v>7117</v>
      </c>
      <c r="G825" s="13">
        <v>3</v>
      </c>
      <c r="H825" s="13">
        <v>160.19417475728099</v>
      </c>
      <c r="I825" s="13">
        <v>5.1844660194174796</v>
      </c>
      <c r="J825" s="13">
        <f t="shared" si="25"/>
        <v>165.37864077669846</v>
      </c>
      <c r="K825" s="13">
        <v>43.6893203883495</v>
      </c>
      <c r="L825" s="11" t="s">
        <v>10</v>
      </c>
      <c r="M825" s="26"/>
    </row>
    <row r="826" spans="1:13" x14ac:dyDescent="0.25">
      <c r="A826" s="6">
        <v>1.21995067888304E+17</v>
      </c>
      <c r="B826" s="30" t="s">
        <v>181</v>
      </c>
      <c r="C826" s="32" t="str">
        <f t="shared" si="24"/>
        <v>Feb</v>
      </c>
      <c r="D826" s="11" t="s">
        <v>16</v>
      </c>
      <c r="E826" s="13">
        <v>273015</v>
      </c>
      <c r="F826" s="13">
        <v>7117</v>
      </c>
      <c r="G826" s="13">
        <v>3</v>
      </c>
      <c r="H826" s="13">
        <v>149.514563106796</v>
      </c>
      <c r="I826" s="13">
        <v>5.1844660194174796</v>
      </c>
      <c r="J826" s="13">
        <f t="shared" si="25"/>
        <v>154.69902912621347</v>
      </c>
      <c r="K826" s="13">
        <v>33.009708737864102</v>
      </c>
      <c r="L826" s="11" t="s">
        <v>10</v>
      </c>
      <c r="M826" s="26"/>
    </row>
    <row r="827" spans="1:13" x14ac:dyDescent="0.25">
      <c r="A827" s="6">
        <v>1.18367729827828E+17</v>
      </c>
      <c r="B827" s="30" t="s">
        <v>190</v>
      </c>
      <c r="C827" s="32" t="str">
        <f t="shared" si="24"/>
        <v>Feb</v>
      </c>
      <c r="D827" s="11" t="s">
        <v>21</v>
      </c>
      <c r="E827" s="13">
        <v>208013</v>
      </c>
      <c r="F827" s="13">
        <v>7117</v>
      </c>
      <c r="G827" s="13">
        <v>3</v>
      </c>
      <c r="H827" s="13">
        <v>164.07766990291199</v>
      </c>
      <c r="I827" s="13">
        <v>5.1844660194174796</v>
      </c>
      <c r="J827" s="13">
        <f t="shared" si="25"/>
        <v>169.26213592232946</v>
      </c>
      <c r="K827" s="13">
        <v>47.572815533980602</v>
      </c>
      <c r="L827" s="11" t="s">
        <v>10</v>
      </c>
      <c r="M827" s="26"/>
    </row>
    <row r="828" spans="1:13" x14ac:dyDescent="0.25">
      <c r="A828" s="6">
        <v>1.1746782160843E+17</v>
      </c>
      <c r="B828" s="30" t="s">
        <v>170</v>
      </c>
      <c r="C828" s="32" t="str">
        <f t="shared" si="24"/>
        <v>Feb</v>
      </c>
      <c r="D828" s="11" t="s">
        <v>16</v>
      </c>
      <c r="E828" s="13">
        <v>821108</v>
      </c>
      <c r="F828" s="13">
        <v>7117</v>
      </c>
      <c r="G828" s="13">
        <v>3</v>
      </c>
      <c r="H828" s="13">
        <v>161.16504854368901</v>
      </c>
      <c r="I828" s="13">
        <v>4.8349514563106801</v>
      </c>
      <c r="J828" s="13">
        <f t="shared" si="25"/>
        <v>165.99999999999969</v>
      </c>
      <c r="K828" s="13">
        <v>56.3106796116505</v>
      </c>
      <c r="L828" s="11" t="s">
        <v>22</v>
      </c>
      <c r="M828" s="26"/>
    </row>
    <row r="829" spans="1:13" x14ac:dyDescent="0.25">
      <c r="A829" s="6">
        <v>1.1969298940155901E+17</v>
      </c>
      <c r="B829" s="30" t="s">
        <v>174</v>
      </c>
      <c r="C829" s="32" t="str">
        <f t="shared" si="24"/>
        <v>Feb</v>
      </c>
      <c r="D829" s="11" t="s">
        <v>16</v>
      </c>
      <c r="E829" s="13">
        <v>843326</v>
      </c>
      <c r="F829" s="13">
        <v>7117</v>
      </c>
      <c r="G829" s="13">
        <v>3</v>
      </c>
      <c r="H829" s="13">
        <v>170.873786407767</v>
      </c>
      <c r="I829" s="13">
        <v>5.1262135922330101</v>
      </c>
      <c r="J829" s="13">
        <f t="shared" si="25"/>
        <v>176</v>
      </c>
      <c r="K829" s="13">
        <v>54.368932038834998</v>
      </c>
      <c r="L829" s="11" t="s">
        <v>22</v>
      </c>
      <c r="M829" s="26"/>
    </row>
    <row r="830" spans="1:13" x14ac:dyDescent="0.25">
      <c r="A830" s="6">
        <v>1.2381889220328899E+17</v>
      </c>
      <c r="B830" s="30" t="s">
        <v>188</v>
      </c>
      <c r="C830" s="32" t="str">
        <f t="shared" si="24"/>
        <v>Feb</v>
      </c>
      <c r="D830" s="11" t="s">
        <v>25</v>
      </c>
      <c r="E830" s="13">
        <v>244223</v>
      </c>
      <c r="F830" s="13">
        <v>7117</v>
      </c>
      <c r="G830" s="13">
        <v>3</v>
      </c>
      <c r="H830" s="13">
        <v>151.45631067961099</v>
      </c>
      <c r="I830" s="13">
        <v>4.8058252427184502</v>
      </c>
      <c r="J830" s="13">
        <f t="shared" si="25"/>
        <v>156.26213592232943</v>
      </c>
      <c r="K830" s="13">
        <v>48.543689320388303</v>
      </c>
      <c r="L830" s="11" t="s">
        <v>10</v>
      </c>
      <c r="M830" s="26"/>
    </row>
    <row r="831" spans="1:13" x14ac:dyDescent="0.25">
      <c r="A831" s="6">
        <v>1.18647645514564E+17</v>
      </c>
      <c r="B831" s="30" t="s">
        <v>192</v>
      </c>
      <c r="C831" s="32" t="str">
        <f t="shared" si="24"/>
        <v>Feb</v>
      </c>
      <c r="D831" s="11" t="s">
        <v>16</v>
      </c>
      <c r="E831" s="13">
        <v>852215</v>
      </c>
      <c r="F831" s="13">
        <v>7117</v>
      </c>
      <c r="G831" s="13">
        <v>3</v>
      </c>
      <c r="H831" s="13">
        <v>154.368932038834</v>
      </c>
      <c r="I831" s="13">
        <v>4.6310679611650496</v>
      </c>
      <c r="J831" s="13">
        <f t="shared" si="25"/>
        <v>158.99999999999906</v>
      </c>
      <c r="K831" s="13">
        <v>56.3106796116505</v>
      </c>
      <c r="L831" s="11" t="s">
        <v>22</v>
      </c>
      <c r="M831" s="26"/>
    </row>
    <row r="832" spans="1:13" x14ac:dyDescent="0.25">
      <c r="A832" s="6">
        <v>1.2546995166562899E+17</v>
      </c>
      <c r="B832" s="30" t="s">
        <v>185</v>
      </c>
      <c r="C832" s="32" t="str">
        <f t="shared" si="24"/>
        <v>Feb</v>
      </c>
      <c r="D832" s="11" t="s">
        <v>71</v>
      </c>
      <c r="E832" s="13">
        <v>227808</v>
      </c>
      <c r="F832" s="13">
        <v>7117</v>
      </c>
      <c r="G832" s="13">
        <v>3</v>
      </c>
      <c r="H832" s="13">
        <v>207.766990291262</v>
      </c>
      <c r="I832" s="13">
        <v>6.6699029126213603</v>
      </c>
      <c r="J832" s="13">
        <f t="shared" si="25"/>
        <v>214.43689320388336</v>
      </c>
      <c r="K832" s="13">
        <v>42.7184466019418</v>
      </c>
      <c r="L832" s="11" t="s">
        <v>10</v>
      </c>
      <c r="M832" s="26"/>
    </row>
    <row r="833" spans="1:13" x14ac:dyDescent="0.25">
      <c r="A833" s="6">
        <v>1.2006344777767E+17</v>
      </c>
      <c r="B833" s="30" t="s">
        <v>175</v>
      </c>
      <c r="C833" s="32" t="str">
        <f t="shared" si="24"/>
        <v>Feb</v>
      </c>
      <c r="D833" s="11" t="s">
        <v>16</v>
      </c>
      <c r="E833" s="13">
        <v>160019</v>
      </c>
      <c r="F833" s="13">
        <v>7117</v>
      </c>
      <c r="G833" s="13">
        <v>3</v>
      </c>
      <c r="H833" s="13">
        <v>145.631067961165</v>
      </c>
      <c r="I833" s="13">
        <v>4.6310679611650496</v>
      </c>
      <c r="J833" s="13">
        <f t="shared" si="25"/>
        <v>150.26213592233006</v>
      </c>
      <c r="K833" s="13">
        <v>47.572815533980602</v>
      </c>
      <c r="L833" s="11" t="s">
        <v>85</v>
      </c>
      <c r="M833" s="26"/>
    </row>
    <row r="834" spans="1:13" x14ac:dyDescent="0.25">
      <c r="A834" s="6">
        <v>8.0929583877729104E+16</v>
      </c>
      <c r="B834" s="30" t="s">
        <v>31</v>
      </c>
      <c r="C834" s="32" t="str">
        <f t="shared" si="24"/>
        <v>Oct</v>
      </c>
      <c r="D834" s="11" t="s">
        <v>25</v>
      </c>
      <c r="E834" s="13">
        <v>221010</v>
      </c>
      <c r="F834" s="13">
        <v>7117</v>
      </c>
      <c r="G834" s="13">
        <v>3</v>
      </c>
      <c r="H834" s="13">
        <v>0</v>
      </c>
      <c r="I834" s="13">
        <v>0</v>
      </c>
      <c r="J834" s="13">
        <f t="shared" si="25"/>
        <v>0</v>
      </c>
      <c r="K834" s="13">
        <v>-9.7087378640776993</v>
      </c>
      <c r="L834" s="11" t="s">
        <v>10</v>
      </c>
      <c r="M834" s="26"/>
    </row>
    <row r="835" spans="1:13" x14ac:dyDescent="0.25">
      <c r="A835" s="6">
        <v>1.22185806630352E+17</v>
      </c>
      <c r="B835" s="30" t="s">
        <v>182</v>
      </c>
      <c r="C835" s="32" t="str">
        <f t="shared" ref="C835:C898" si="26">TEXT(B835, "mmm")</f>
        <v>Feb</v>
      </c>
      <c r="D835" s="11" t="s">
        <v>16</v>
      </c>
      <c r="E835" s="13">
        <v>421306</v>
      </c>
      <c r="F835" s="13">
        <v>7117</v>
      </c>
      <c r="G835" s="13">
        <v>3</v>
      </c>
      <c r="H835" s="13">
        <v>172.81553398058199</v>
      </c>
      <c r="I835" s="13">
        <v>5.1844660194174796</v>
      </c>
      <c r="J835" s="13">
        <f t="shared" ref="J835:J898" si="27">H835+I835</f>
        <v>177.99999999999946</v>
      </c>
      <c r="K835" s="13">
        <v>56.3106796116505</v>
      </c>
      <c r="L835" s="11" t="s">
        <v>41</v>
      </c>
      <c r="M835" s="26"/>
    </row>
    <row r="836" spans="1:13" x14ac:dyDescent="0.25">
      <c r="A836" s="6">
        <v>1.1754010679315299E+17</v>
      </c>
      <c r="B836" s="30" t="s">
        <v>170</v>
      </c>
      <c r="C836" s="32" t="str">
        <f t="shared" si="26"/>
        <v>Feb</v>
      </c>
      <c r="D836" s="11" t="s">
        <v>25</v>
      </c>
      <c r="E836" s="13">
        <v>246763</v>
      </c>
      <c r="F836" s="13">
        <v>7117</v>
      </c>
      <c r="G836" s="13">
        <v>3</v>
      </c>
      <c r="H836" s="13">
        <v>133.980582524271</v>
      </c>
      <c r="I836" s="13">
        <v>4.1650485436893199</v>
      </c>
      <c r="J836" s="13">
        <f t="shared" si="27"/>
        <v>138.14563106796032</v>
      </c>
      <c r="K836" s="13">
        <v>54.368932038834998</v>
      </c>
      <c r="L836" s="11" t="s">
        <v>10</v>
      </c>
      <c r="M836" s="26"/>
    </row>
    <row r="837" spans="1:13" x14ac:dyDescent="0.25">
      <c r="A837" s="6">
        <v>1.2202028906344899E+17</v>
      </c>
      <c r="B837" s="30" t="s">
        <v>181</v>
      </c>
      <c r="C837" s="32" t="str">
        <f t="shared" si="26"/>
        <v>Feb</v>
      </c>
      <c r="D837" s="11" t="s">
        <v>16</v>
      </c>
      <c r="E837" s="13">
        <v>250404</v>
      </c>
      <c r="F837" s="13">
        <v>7117</v>
      </c>
      <c r="G837" s="13">
        <v>3</v>
      </c>
      <c r="H837" s="13">
        <v>138.83495145630999</v>
      </c>
      <c r="I837" s="13">
        <v>4.42718446601942</v>
      </c>
      <c r="J837" s="13">
        <f t="shared" si="27"/>
        <v>143.26213592232941</v>
      </c>
      <c r="K837" s="13">
        <v>50.485436893203897</v>
      </c>
      <c r="L837" s="11" t="s">
        <v>10</v>
      </c>
      <c r="M837" s="26"/>
    </row>
    <row r="838" spans="1:13" x14ac:dyDescent="0.25">
      <c r="A838" s="6">
        <v>1.1827205799283501E+17</v>
      </c>
      <c r="B838" s="30" t="s">
        <v>190</v>
      </c>
      <c r="C838" s="32" t="str">
        <f t="shared" si="26"/>
        <v>Feb</v>
      </c>
      <c r="D838" s="11" t="s">
        <v>21</v>
      </c>
      <c r="E838" s="13">
        <v>272271</v>
      </c>
      <c r="F838" s="13">
        <v>7117</v>
      </c>
      <c r="G838" s="13">
        <v>3</v>
      </c>
      <c r="H838" s="13">
        <v>164.07766990291199</v>
      </c>
      <c r="I838" s="13">
        <v>5.1844660194174796</v>
      </c>
      <c r="J838" s="13">
        <f t="shared" si="27"/>
        <v>169.26213592232946</v>
      </c>
      <c r="K838" s="13">
        <v>47.572815533980602</v>
      </c>
      <c r="L838" s="11" t="s">
        <v>10</v>
      </c>
      <c r="M838" s="26"/>
    </row>
    <row r="839" spans="1:13" x14ac:dyDescent="0.25">
      <c r="A839" s="6">
        <v>1.1745851157908301E+17</v>
      </c>
      <c r="B839" s="30" t="s">
        <v>170</v>
      </c>
      <c r="C839" s="32" t="str">
        <f t="shared" si="26"/>
        <v>Feb</v>
      </c>
      <c r="D839" s="11" t="s">
        <v>16</v>
      </c>
      <c r="E839" s="13">
        <v>204101</v>
      </c>
      <c r="F839" s="13">
        <v>7117</v>
      </c>
      <c r="G839" s="13">
        <v>3</v>
      </c>
      <c r="H839" s="13">
        <v>135.92233009708701</v>
      </c>
      <c r="I839" s="13">
        <v>4.3398058252427196</v>
      </c>
      <c r="J839" s="13">
        <f t="shared" si="27"/>
        <v>140.26213592232972</v>
      </c>
      <c r="K839" s="13">
        <v>47.572815533980602</v>
      </c>
      <c r="L839" s="11" t="s">
        <v>10</v>
      </c>
      <c r="M839" s="26"/>
    </row>
    <row r="840" spans="1:13" x14ac:dyDescent="0.25">
      <c r="A840" s="6">
        <v>1.20793414248812E+17</v>
      </c>
      <c r="B840" s="30" t="s">
        <v>186</v>
      </c>
      <c r="C840" s="32" t="str">
        <f t="shared" si="26"/>
        <v>Feb</v>
      </c>
      <c r="D840" s="11" t="s">
        <v>16</v>
      </c>
      <c r="E840" s="13">
        <v>313031</v>
      </c>
      <c r="F840" s="13">
        <v>7117</v>
      </c>
      <c r="G840" s="13">
        <v>3</v>
      </c>
      <c r="H840" s="13">
        <v>145.631067961165</v>
      </c>
      <c r="I840" s="13">
        <v>4.6310679611650496</v>
      </c>
      <c r="J840" s="13">
        <f t="shared" si="27"/>
        <v>150.26213592233006</v>
      </c>
      <c r="K840" s="13">
        <v>47.572815533980602</v>
      </c>
      <c r="L840" s="11" t="s">
        <v>46</v>
      </c>
      <c r="M840" s="26"/>
    </row>
    <row r="841" spans="1:13" x14ac:dyDescent="0.25">
      <c r="A841" s="6">
        <v>1.1706877017826499E+17</v>
      </c>
      <c r="B841" s="30" t="s">
        <v>151</v>
      </c>
      <c r="C841" s="32" t="str">
        <f t="shared" si="26"/>
        <v>Feb</v>
      </c>
      <c r="D841" s="11" t="s">
        <v>16</v>
      </c>
      <c r="E841" s="13">
        <v>226021</v>
      </c>
      <c r="F841" s="13">
        <v>7117</v>
      </c>
      <c r="G841" s="13">
        <v>3</v>
      </c>
      <c r="H841" s="13">
        <v>143.68932038834899</v>
      </c>
      <c r="I841" s="13">
        <v>5.0679611650485397</v>
      </c>
      <c r="J841" s="13">
        <f t="shared" si="27"/>
        <v>148.75728155339752</v>
      </c>
      <c r="K841" s="13">
        <v>32.038834951456302</v>
      </c>
      <c r="L841" s="11" t="s">
        <v>10</v>
      </c>
      <c r="M841" s="26"/>
    </row>
    <row r="842" spans="1:13" x14ac:dyDescent="0.25">
      <c r="A842" s="6">
        <v>1.1748761257567901E+17</v>
      </c>
      <c r="B842" s="30" t="s">
        <v>170</v>
      </c>
      <c r="C842" s="32" t="str">
        <f t="shared" si="26"/>
        <v>Feb</v>
      </c>
      <c r="D842" s="11" t="s">
        <v>16</v>
      </c>
      <c r="E842" s="13">
        <v>243724</v>
      </c>
      <c r="F842" s="13">
        <v>7117</v>
      </c>
      <c r="G842" s="13">
        <v>3</v>
      </c>
      <c r="H842" s="13">
        <v>121.35922330097</v>
      </c>
      <c r="I842" s="13">
        <v>4.3398058252427196</v>
      </c>
      <c r="J842" s="13">
        <f t="shared" si="27"/>
        <v>125.69902912621272</v>
      </c>
      <c r="K842" s="13">
        <v>33.009708737864102</v>
      </c>
      <c r="L842" s="11" t="s">
        <v>10</v>
      </c>
      <c r="M842" s="26"/>
    </row>
    <row r="843" spans="1:13" x14ac:dyDescent="0.25">
      <c r="A843" s="6">
        <v>1.24744017670114E+17</v>
      </c>
      <c r="B843" s="30" t="s">
        <v>193</v>
      </c>
      <c r="C843" s="32" t="str">
        <f t="shared" si="26"/>
        <v>Feb</v>
      </c>
      <c r="D843" s="11" t="s">
        <v>21</v>
      </c>
      <c r="E843" s="13">
        <v>813210</v>
      </c>
      <c r="F843" s="13">
        <v>7117</v>
      </c>
      <c r="G843" s="13">
        <v>3</v>
      </c>
      <c r="H843" s="13">
        <v>177.66990291262101</v>
      </c>
      <c r="I843" s="13">
        <v>5.3300970873786397</v>
      </c>
      <c r="J843" s="13">
        <f t="shared" si="27"/>
        <v>182.99999999999966</v>
      </c>
      <c r="K843" s="13">
        <v>56.3106796116505</v>
      </c>
      <c r="L843" s="11" t="s">
        <v>22</v>
      </c>
      <c r="M843" s="26"/>
    </row>
    <row r="844" spans="1:13" x14ac:dyDescent="0.25">
      <c r="A844" s="6">
        <v>1.17874432464286E+17</v>
      </c>
      <c r="B844" s="30" t="s">
        <v>184</v>
      </c>
      <c r="C844" s="32" t="str">
        <f t="shared" si="26"/>
        <v>Feb</v>
      </c>
      <c r="D844" s="11" t="s">
        <v>16</v>
      </c>
      <c r="E844" s="13">
        <v>410513</v>
      </c>
      <c r="F844" s="13">
        <v>7117</v>
      </c>
      <c r="G844" s="13">
        <v>3</v>
      </c>
      <c r="H844" s="13">
        <v>172.81553398058199</v>
      </c>
      <c r="I844" s="13">
        <v>5.1844660194174796</v>
      </c>
      <c r="J844" s="13">
        <f t="shared" si="27"/>
        <v>177.99999999999946</v>
      </c>
      <c r="K844" s="13">
        <v>56.3106796116505</v>
      </c>
      <c r="L844" s="11" t="s">
        <v>41</v>
      </c>
      <c r="M844" s="26"/>
    </row>
    <row r="845" spans="1:13" x14ac:dyDescent="0.25">
      <c r="A845" s="6">
        <v>1.21211637175972E+17</v>
      </c>
      <c r="B845" s="30" t="s">
        <v>187</v>
      </c>
      <c r="C845" s="32" t="str">
        <f t="shared" si="26"/>
        <v>Feb</v>
      </c>
      <c r="D845" s="11" t="s">
        <v>16</v>
      </c>
      <c r="E845" s="13">
        <v>782435</v>
      </c>
      <c r="F845" s="13">
        <v>7117</v>
      </c>
      <c r="G845" s="13">
        <v>3</v>
      </c>
      <c r="H845" s="13">
        <v>189.32038834951399</v>
      </c>
      <c r="I845" s="13">
        <v>5.6796116504854401</v>
      </c>
      <c r="J845" s="13">
        <f t="shared" si="27"/>
        <v>194.99999999999943</v>
      </c>
      <c r="K845" s="13">
        <v>78.640776699029104</v>
      </c>
      <c r="L845" s="11" t="s">
        <v>35</v>
      </c>
      <c r="M845" s="26"/>
    </row>
    <row r="846" spans="1:13" x14ac:dyDescent="0.25">
      <c r="A846" s="6">
        <v>1.19849851575596E+17</v>
      </c>
      <c r="B846" s="30" t="s">
        <v>174</v>
      </c>
      <c r="C846" s="32" t="str">
        <f t="shared" si="26"/>
        <v>Feb</v>
      </c>
      <c r="D846" s="11" t="s">
        <v>25</v>
      </c>
      <c r="E846" s="13">
        <v>571313</v>
      </c>
      <c r="F846" s="13">
        <v>7117</v>
      </c>
      <c r="G846" s="13">
        <v>3</v>
      </c>
      <c r="H846" s="13">
        <v>147.57281553397999</v>
      </c>
      <c r="I846" s="13">
        <v>4.42718446601942</v>
      </c>
      <c r="J846" s="13">
        <f t="shared" si="27"/>
        <v>151.9999999999994</v>
      </c>
      <c r="K846" s="13">
        <v>59.223300970873801</v>
      </c>
      <c r="L846" s="11" t="s">
        <v>19</v>
      </c>
      <c r="M846" s="26"/>
    </row>
    <row r="847" spans="1:13" x14ac:dyDescent="0.25">
      <c r="A847" s="6">
        <v>1.2042774049482E+17</v>
      </c>
      <c r="B847" s="30" t="s">
        <v>176</v>
      </c>
      <c r="C847" s="32" t="str">
        <f t="shared" si="26"/>
        <v>Feb</v>
      </c>
      <c r="D847" s="11" t="s">
        <v>16</v>
      </c>
      <c r="E847" s="13">
        <v>132105</v>
      </c>
      <c r="F847" s="13">
        <v>7117</v>
      </c>
      <c r="G847" s="13">
        <v>3</v>
      </c>
      <c r="H847" s="13">
        <v>161.16504854368901</v>
      </c>
      <c r="I847" s="13">
        <v>5.0970873786407802</v>
      </c>
      <c r="J847" s="13">
        <f t="shared" si="27"/>
        <v>166.2621359223298</v>
      </c>
      <c r="K847" s="13">
        <v>50.485436893203897</v>
      </c>
      <c r="L847" s="11" t="s">
        <v>63</v>
      </c>
      <c r="M847" s="26"/>
    </row>
    <row r="848" spans="1:13" x14ac:dyDescent="0.25">
      <c r="A848" s="6">
        <v>1.20385196653702E+17</v>
      </c>
      <c r="B848" s="30" t="s">
        <v>176</v>
      </c>
      <c r="C848" s="32" t="str">
        <f t="shared" si="26"/>
        <v>Feb</v>
      </c>
      <c r="D848" s="11" t="s">
        <v>16</v>
      </c>
      <c r="E848" s="13">
        <v>495001</v>
      </c>
      <c r="F848" s="13">
        <v>7117</v>
      </c>
      <c r="G848" s="13">
        <v>3</v>
      </c>
      <c r="H848" s="13">
        <v>172.81553398058199</v>
      </c>
      <c r="I848" s="13">
        <v>5.1844660194174796</v>
      </c>
      <c r="J848" s="13">
        <f t="shared" si="27"/>
        <v>177.99999999999946</v>
      </c>
      <c r="K848" s="13">
        <v>56.3106796116505</v>
      </c>
      <c r="L848" s="11" t="s">
        <v>23</v>
      </c>
      <c r="M848" s="26"/>
    </row>
    <row r="849" spans="1:13" x14ac:dyDescent="0.25">
      <c r="A849" s="6">
        <v>1.22249008784764E+17</v>
      </c>
      <c r="B849" s="30" t="s">
        <v>182</v>
      </c>
      <c r="C849" s="32" t="str">
        <f t="shared" si="26"/>
        <v>Feb</v>
      </c>
      <c r="D849" s="11" t="s">
        <v>52</v>
      </c>
      <c r="E849" s="13">
        <v>431009</v>
      </c>
      <c r="F849" s="13">
        <v>7117</v>
      </c>
      <c r="G849" s="13">
        <v>3</v>
      </c>
      <c r="H849" s="13">
        <v>172.81553398058199</v>
      </c>
      <c r="I849" s="13">
        <v>5.1844660194174796</v>
      </c>
      <c r="J849" s="13">
        <f t="shared" si="27"/>
        <v>177.99999999999946</v>
      </c>
      <c r="K849" s="13">
        <v>56.3106796116505</v>
      </c>
      <c r="L849" s="11" t="s">
        <v>41</v>
      </c>
      <c r="M849" s="26"/>
    </row>
    <row r="850" spans="1:13" x14ac:dyDescent="0.25">
      <c r="A850" s="6">
        <v>1.1723916595930301E+17</v>
      </c>
      <c r="B850" s="30" t="s">
        <v>151</v>
      </c>
      <c r="C850" s="32" t="str">
        <f t="shared" si="26"/>
        <v>Feb</v>
      </c>
      <c r="D850" s="11" t="s">
        <v>16</v>
      </c>
      <c r="E850" s="13">
        <v>248121</v>
      </c>
      <c r="F850" s="13">
        <v>7117</v>
      </c>
      <c r="G850" s="13">
        <v>3</v>
      </c>
      <c r="H850" s="13">
        <v>164.07766990291199</v>
      </c>
      <c r="I850" s="13">
        <v>5.1844660194174796</v>
      </c>
      <c r="J850" s="13">
        <f t="shared" si="27"/>
        <v>169.26213592232946</v>
      </c>
      <c r="K850" s="13">
        <v>47.572815533980602</v>
      </c>
      <c r="L850" s="11" t="s">
        <v>49</v>
      </c>
      <c r="M850" s="26"/>
    </row>
    <row r="851" spans="1:13" x14ac:dyDescent="0.25">
      <c r="A851" s="6">
        <v>8.09856034618048E+16</v>
      </c>
      <c r="B851" s="30" t="s">
        <v>31</v>
      </c>
      <c r="C851" s="32" t="str">
        <f t="shared" si="26"/>
        <v>Oct</v>
      </c>
      <c r="D851" s="11" t="s">
        <v>25</v>
      </c>
      <c r="E851" s="13">
        <v>301701</v>
      </c>
      <c r="F851" s="13">
        <v>7117</v>
      </c>
      <c r="G851" s="13">
        <v>3</v>
      </c>
      <c r="H851" s="13">
        <v>0</v>
      </c>
      <c r="I851" s="13">
        <v>0</v>
      </c>
      <c r="J851" s="13">
        <f t="shared" si="27"/>
        <v>0</v>
      </c>
      <c r="K851" s="13">
        <v>-6.7961165048543997</v>
      </c>
      <c r="L851" s="11" t="s">
        <v>46</v>
      </c>
      <c r="M851" s="26"/>
    </row>
    <row r="852" spans="1:13" x14ac:dyDescent="0.25">
      <c r="A852" s="6">
        <v>1.1760209127462899E+17</v>
      </c>
      <c r="B852" s="30" t="s">
        <v>170</v>
      </c>
      <c r="C852" s="32" t="str">
        <f t="shared" si="26"/>
        <v>Feb</v>
      </c>
      <c r="D852" s="11" t="s">
        <v>16</v>
      </c>
      <c r="E852" s="13">
        <v>324010</v>
      </c>
      <c r="F852" s="13">
        <v>7117</v>
      </c>
      <c r="G852" s="13">
        <v>3</v>
      </c>
      <c r="H852" s="13">
        <v>136.893203883495</v>
      </c>
      <c r="I852" s="13">
        <v>4.3689320388349504</v>
      </c>
      <c r="J852" s="13">
        <f t="shared" si="27"/>
        <v>141.26213592232995</v>
      </c>
      <c r="K852" s="13">
        <v>49.514563106796103</v>
      </c>
      <c r="L852" s="11" t="s">
        <v>46</v>
      </c>
      <c r="M852" s="26"/>
    </row>
    <row r="853" spans="1:13" x14ac:dyDescent="0.25">
      <c r="A853" s="6">
        <v>8.9023742776374E+16</v>
      </c>
      <c r="B853" s="30" t="s">
        <v>70</v>
      </c>
      <c r="C853" s="32" t="str">
        <f t="shared" si="26"/>
        <v>Nov</v>
      </c>
      <c r="D853" s="11" t="s">
        <v>25</v>
      </c>
      <c r="E853" s="13">
        <v>140603</v>
      </c>
      <c r="F853" s="13">
        <v>7117</v>
      </c>
      <c r="G853" s="13">
        <v>3</v>
      </c>
      <c r="H853" s="13">
        <v>0</v>
      </c>
      <c r="I853" s="13">
        <v>0</v>
      </c>
      <c r="J853" s="13">
        <f t="shared" si="27"/>
        <v>0</v>
      </c>
      <c r="K853" s="13">
        <v>-9.7087378640776993</v>
      </c>
      <c r="L853" s="11" t="s">
        <v>17</v>
      </c>
      <c r="M853" s="26"/>
    </row>
    <row r="854" spans="1:13" x14ac:dyDescent="0.25">
      <c r="A854" s="6">
        <v>1.2556058407812899E+17</v>
      </c>
      <c r="B854" s="30" t="s">
        <v>185</v>
      </c>
      <c r="C854" s="32" t="str">
        <f t="shared" si="26"/>
        <v>Feb</v>
      </c>
      <c r="D854" s="11" t="s">
        <v>25</v>
      </c>
      <c r="E854" s="13">
        <v>277401</v>
      </c>
      <c r="F854" s="13">
        <v>7117</v>
      </c>
      <c r="G854" s="13">
        <v>3</v>
      </c>
      <c r="H854" s="13">
        <v>151.45631067961099</v>
      </c>
      <c r="I854" s="13">
        <v>4.8058252427184502</v>
      </c>
      <c r="J854" s="13">
        <f t="shared" si="27"/>
        <v>156.26213592232943</v>
      </c>
      <c r="K854" s="13">
        <v>47.572815533980602</v>
      </c>
      <c r="L854" s="11" t="s">
        <v>10</v>
      </c>
      <c r="M854" s="26"/>
    </row>
    <row r="855" spans="1:13" x14ac:dyDescent="0.25">
      <c r="A855" s="6">
        <v>1.2485337657619501E+17</v>
      </c>
      <c r="B855" s="30" t="s">
        <v>193</v>
      </c>
      <c r="C855" s="32" t="str">
        <f t="shared" si="26"/>
        <v>Feb</v>
      </c>
      <c r="D855" s="11" t="s">
        <v>25</v>
      </c>
      <c r="E855" s="13">
        <v>783337</v>
      </c>
      <c r="F855" s="13">
        <v>7117</v>
      </c>
      <c r="G855" s="13">
        <v>3</v>
      </c>
      <c r="H855" s="13">
        <v>171.844660194174</v>
      </c>
      <c r="I855" s="13">
        <v>5.8834951456310698</v>
      </c>
      <c r="J855" s="13">
        <f t="shared" si="27"/>
        <v>177.72815533980506</v>
      </c>
      <c r="K855" s="13">
        <v>50.485436893203897</v>
      </c>
      <c r="L855" s="11" t="s">
        <v>35</v>
      </c>
      <c r="M855" s="26"/>
    </row>
    <row r="856" spans="1:13" x14ac:dyDescent="0.25">
      <c r="A856" s="6">
        <v>1.1791921495913299E+17</v>
      </c>
      <c r="B856" s="30" t="s">
        <v>184</v>
      </c>
      <c r="C856" s="32" t="str">
        <f t="shared" si="26"/>
        <v>Feb</v>
      </c>
      <c r="D856" s="11" t="s">
        <v>16</v>
      </c>
      <c r="E856" s="13">
        <v>321602</v>
      </c>
      <c r="F856" s="13">
        <v>7117</v>
      </c>
      <c r="G856" s="13">
        <v>3</v>
      </c>
      <c r="H856" s="13">
        <v>166.01941747572801</v>
      </c>
      <c r="I856" s="13">
        <v>5.2427184466019403</v>
      </c>
      <c r="J856" s="13">
        <f t="shared" si="27"/>
        <v>171.26213592232995</v>
      </c>
      <c r="K856" s="13">
        <v>48.543689320388303</v>
      </c>
      <c r="L856" s="11" t="s">
        <v>46</v>
      </c>
      <c r="M856" s="26"/>
    </row>
    <row r="857" spans="1:13" x14ac:dyDescent="0.25">
      <c r="A857" s="6">
        <v>1.1974864799091901E+17</v>
      </c>
      <c r="B857" s="30" t="s">
        <v>174</v>
      </c>
      <c r="C857" s="32" t="str">
        <f t="shared" si="26"/>
        <v>Feb</v>
      </c>
      <c r="D857" s="11" t="s">
        <v>16</v>
      </c>
      <c r="E857" s="13">
        <v>273013</v>
      </c>
      <c r="F857" s="13">
        <v>7117</v>
      </c>
      <c r="G857" s="13">
        <v>3</v>
      </c>
      <c r="H857" s="13">
        <v>164.07766990291199</v>
      </c>
      <c r="I857" s="13">
        <v>5.1844660194174796</v>
      </c>
      <c r="J857" s="13">
        <f t="shared" si="27"/>
        <v>169.26213592232946</v>
      </c>
      <c r="K857" s="13">
        <v>47.572815533980602</v>
      </c>
      <c r="L857" s="11" t="s">
        <v>10</v>
      </c>
      <c r="M857" s="26"/>
    </row>
    <row r="858" spans="1:13" x14ac:dyDescent="0.25">
      <c r="A858" s="6">
        <v>1.17055857308758E+17</v>
      </c>
      <c r="B858" s="30" t="s">
        <v>151</v>
      </c>
      <c r="C858" s="32" t="str">
        <f t="shared" si="26"/>
        <v>Feb</v>
      </c>
      <c r="D858" s="11" t="s">
        <v>16</v>
      </c>
      <c r="E858" s="13">
        <v>516329</v>
      </c>
      <c r="F858" s="13">
        <v>7117</v>
      </c>
      <c r="G858" s="13">
        <v>3</v>
      </c>
      <c r="H858" s="13">
        <v>172.81553398058199</v>
      </c>
      <c r="I858" s="13">
        <v>5.1844660194174796</v>
      </c>
      <c r="J858" s="13">
        <f t="shared" si="27"/>
        <v>177.99999999999946</v>
      </c>
      <c r="K858" s="13">
        <v>56.3106796116505</v>
      </c>
      <c r="L858" s="11" t="s">
        <v>39</v>
      </c>
      <c r="M858" s="26"/>
    </row>
    <row r="859" spans="1:13" x14ac:dyDescent="0.25">
      <c r="A859" s="6">
        <v>1.265859877481E+17</v>
      </c>
      <c r="B859" s="30" t="s">
        <v>183</v>
      </c>
      <c r="C859" s="32" t="str">
        <f t="shared" si="26"/>
        <v>Feb</v>
      </c>
      <c r="D859" s="11" t="s">
        <v>25</v>
      </c>
      <c r="E859" s="13">
        <v>769001</v>
      </c>
      <c r="F859" s="13">
        <v>7117</v>
      </c>
      <c r="G859" s="13">
        <v>3</v>
      </c>
      <c r="H859" s="13">
        <v>177.66990291262101</v>
      </c>
      <c r="I859" s="13">
        <v>5.3300970873786397</v>
      </c>
      <c r="J859" s="13">
        <f t="shared" si="27"/>
        <v>182.99999999999966</v>
      </c>
      <c r="K859" s="13">
        <v>56.3106796116505</v>
      </c>
      <c r="L859" s="11" t="s">
        <v>54</v>
      </c>
      <c r="M859" s="26"/>
    </row>
    <row r="860" spans="1:13" x14ac:dyDescent="0.25">
      <c r="A860" s="6">
        <v>1.22030063163306E+17</v>
      </c>
      <c r="B860" s="30" t="s">
        <v>181</v>
      </c>
      <c r="C860" s="32" t="str">
        <f t="shared" si="26"/>
        <v>Feb</v>
      </c>
      <c r="D860" s="11" t="s">
        <v>25</v>
      </c>
      <c r="E860" s="13">
        <v>275201</v>
      </c>
      <c r="F860" s="13">
        <v>7117</v>
      </c>
      <c r="G860" s="13">
        <v>3</v>
      </c>
      <c r="H860" s="13">
        <v>138.83495145630999</v>
      </c>
      <c r="I860" s="13">
        <v>4.42718446601942</v>
      </c>
      <c r="J860" s="13">
        <f t="shared" si="27"/>
        <v>143.26213592232941</v>
      </c>
      <c r="K860" s="13">
        <v>50.485436893203897</v>
      </c>
      <c r="L860" s="11" t="s">
        <v>10</v>
      </c>
      <c r="M860" s="26"/>
    </row>
    <row r="861" spans="1:13" x14ac:dyDescent="0.25">
      <c r="A861" s="6">
        <v>8.3520462140728992E+16</v>
      </c>
      <c r="B861" s="30" t="s">
        <v>34</v>
      </c>
      <c r="C861" s="32" t="str">
        <f t="shared" si="26"/>
        <v>Oct</v>
      </c>
      <c r="D861" s="11" t="s">
        <v>25</v>
      </c>
      <c r="E861" s="13">
        <v>110053</v>
      </c>
      <c r="F861" s="13">
        <v>7117</v>
      </c>
      <c r="G861" s="13">
        <v>3</v>
      </c>
      <c r="H861" s="13">
        <v>0</v>
      </c>
      <c r="I861" s="13">
        <v>0</v>
      </c>
      <c r="J861" s="13">
        <f t="shared" si="27"/>
        <v>0</v>
      </c>
      <c r="K861" s="13">
        <v>-9.7087378640776993</v>
      </c>
      <c r="L861" s="11" t="s">
        <v>28</v>
      </c>
      <c r="M861" s="26"/>
    </row>
    <row r="862" spans="1:13" x14ac:dyDescent="0.25">
      <c r="A862" s="6">
        <v>1.2038820124878499E+17</v>
      </c>
      <c r="B862" s="30" t="s">
        <v>176</v>
      </c>
      <c r="C862" s="32" t="str">
        <f t="shared" si="26"/>
        <v>Feb</v>
      </c>
      <c r="D862" s="11" t="s">
        <v>16</v>
      </c>
      <c r="E862" s="13">
        <v>495001</v>
      </c>
      <c r="F862" s="13">
        <v>7117</v>
      </c>
      <c r="G862" s="13">
        <v>3</v>
      </c>
      <c r="H862" s="13">
        <v>200.970873786407</v>
      </c>
      <c r="I862" s="13">
        <v>6.5825242718446599</v>
      </c>
      <c r="J862" s="13">
        <f t="shared" si="27"/>
        <v>207.55339805825164</v>
      </c>
      <c r="K862" s="13">
        <v>39.805825242718498</v>
      </c>
      <c r="L862" s="11" t="s">
        <v>23</v>
      </c>
      <c r="M862" s="26"/>
    </row>
    <row r="863" spans="1:13" x14ac:dyDescent="0.25">
      <c r="A863" s="6">
        <v>8.0578271516437296E+16</v>
      </c>
      <c r="B863" s="30" t="s">
        <v>51</v>
      </c>
      <c r="C863" s="32" t="str">
        <f t="shared" si="26"/>
        <v>Oct</v>
      </c>
      <c r="D863" s="11" t="s">
        <v>25</v>
      </c>
      <c r="E863" s="13">
        <v>444704</v>
      </c>
      <c r="F863" s="13">
        <v>7117</v>
      </c>
      <c r="G863" s="13">
        <v>3</v>
      </c>
      <c r="H863" s="13">
        <v>0</v>
      </c>
      <c r="I863" s="13">
        <v>0</v>
      </c>
      <c r="J863" s="13">
        <f t="shared" si="27"/>
        <v>0</v>
      </c>
      <c r="K863" s="13">
        <v>-20.3883495145631</v>
      </c>
      <c r="L863" s="11" t="s">
        <v>41</v>
      </c>
      <c r="M863" s="26"/>
    </row>
    <row r="864" spans="1:13" x14ac:dyDescent="0.25">
      <c r="A864" s="6">
        <v>8.6099288442204896E+16</v>
      </c>
      <c r="B864" s="30" t="s">
        <v>73</v>
      </c>
      <c r="C864" s="32" t="str">
        <f t="shared" si="26"/>
        <v>Nov</v>
      </c>
      <c r="D864" s="11" t="s">
        <v>25</v>
      </c>
      <c r="E864" s="13">
        <v>151207</v>
      </c>
      <c r="F864" s="13">
        <v>7117</v>
      </c>
      <c r="G864" s="13">
        <v>3</v>
      </c>
      <c r="H864" s="13">
        <v>0</v>
      </c>
      <c r="I864" s="13">
        <v>0</v>
      </c>
      <c r="J864" s="13">
        <f t="shared" si="27"/>
        <v>0</v>
      </c>
      <c r="K864" s="13">
        <v>-9.7087378640776993</v>
      </c>
      <c r="L864" s="11" t="s">
        <v>17</v>
      </c>
      <c r="M864" s="26"/>
    </row>
    <row r="865" spans="1:13" x14ac:dyDescent="0.25">
      <c r="A865" s="6">
        <v>1.22640792409108E+17</v>
      </c>
      <c r="B865" s="30" t="s">
        <v>172</v>
      </c>
      <c r="C865" s="32" t="str">
        <f t="shared" si="26"/>
        <v>Feb</v>
      </c>
      <c r="D865" s="11" t="s">
        <v>16</v>
      </c>
      <c r="E865" s="13">
        <v>276303</v>
      </c>
      <c r="F865" s="13">
        <v>7117</v>
      </c>
      <c r="G865" s="13">
        <v>3</v>
      </c>
      <c r="H865" s="13">
        <v>164.07766990291199</v>
      </c>
      <c r="I865" s="13">
        <v>5.1844660194174796</v>
      </c>
      <c r="J865" s="13">
        <f t="shared" si="27"/>
        <v>169.26213592232946</v>
      </c>
      <c r="K865" s="13">
        <v>47.572815533980602</v>
      </c>
      <c r="L865" s="11" t="s">
        <v>10</v>
      </c>
      <c r="M865" s="26"/>
    </row>
    <row r="866" spans="1:13" x14ac:dyDescent="0.25">
      <c r="A866" s="6">
        <v>1.2663956767483299E+17</v>
      </c>
      <c r="B866" s="30" t="s">
        <v>183</v>
      </c>
      <c r="C866" s="32" t="str">
        <f t="shared" si="26"/>
        <v>Feb</v>
      </c>
      <c r="D866" s="11" t="s">
        <v>9</v>
      </c>
      <c r="E866" s="13">
        <v>761108</v>
      </c>
      <c r="F866" s="13">
        <v>7117</v>
      </c>
      <c r="G866" s="13">
        <v>3</v>
      </c>
      <c r="H866" s="13">
        <v>177.66990291262101</v>
      </c>
      <c r="I866" s="13">
        <v>5.3300970873786397</v>
      </c>
      <c r="J866" s="13">
        <f t="shared" si="27"/>
        <v>182.99999999999966</v>
      </c>
      <c r="K866" s="13">
        <v>56.3106796116505</v>
      </c>
      <c r="L866" s="11" t="s">
        <v>54</v>
      </c>
      <c r="M866" s="26"/>
    </row>
    <row r="867" spans="1:13" x14ac:dyDescent="0.25">
      <c r="A867" s="6">
        <v>1.2369722277685299E+17</v>
      </c>
      <c r="B867" s="30" t="s">
        <v>188</v>
      </c>
      <c r="C867" s="32" t="str">
        <f t="shared" si="26"/>
        <v>Feb</v>
      </c>
      <c r="D867" s="11" t="s">
        <v>16</v>
      </c>
      <c r="E867" s="13">
        <v>226002</v>
      </c>
      <c r="F867" s="13">
        <v>7117</v>
      </c>
      <c r="G867" s="13">
        <v>3</v>
      </c>
      <c r="H867" s="13">
        <v>81.553398058252398</v>
      </c>
      <c r="I867" s="13">
        <v>3.23300970873786</v>
      </c>
      <c r="J867" s="13">
        <f t="shared" si="27"/>
        <v>84.786407766990251</v>
      </c>
      <c r="K867" s="13">
        <v>33.009708737864102</v>
      </c>
      <c r="L867" s="11" t="s">
        <v>10</v>
      </c>
      <c r="M867" s="26"/>
    </row>
    <row r="868" spans="1:13" x14ac:dyDescent="0.25">
      <c r="A868" s="6">
        <v>8.6369948575721104E+16</v>
      </c>
      <c r="B868" s="30" t="s">
        <v>94</v>
      </c>
      <c r="C868" s="32" t="str">
        <f t="shared" si="26"/>
        <v>Nov</v>
      </c>
      <c r="D868" s="11" t="s">
        <v>25</v>
      </c>
      <c r="E868" s="13">
        <v>232102</v>
      </c>
      <c r="F868" s="13">
        <v>7117</v>
      </c>
      <c r="G868" s="13">
        <v>3</v>
      </c>
      <c r="H868" s="13">
        <v>0</v>
      </c>
      <c r="I868" s="13">
        <v>0</v>
      </c>
      <c r="J868" s="13">
        <f t="shared" si="27"/>
        <v>0</v>
      </c>
      <c r="K868" s="13">
        <v>-9.7087378640776993</v>
      </c>
      <c r="L868" s="11" t="s">
        <v>10</v>
      </c>
      <c r="M868" s="26"/>
    </row>
    <row r="869" spans="1:13" x14ac:dyDescent="0.25">
      <c r="A869" s="6">
        <v>1.16972605390746E+17</v>
      </c>
      <c r="B869" s="30" t="s">
        <v>151</v>
      </c>
      <c r="C869" s="32" t="str">
        <f t="shared" si="26"/>
        <v>Feb</v>
      </c>
      <c r="D869" s="11" t="s">
        <v>16</v>
      </c>
      <c r="E869" s="13">
        <v>121004</v>
      </c>
      <c r="F869" s="13">
        <v>7117</v>
      </c>
      <c r="G869" s="13">
        <v>3</v>
      </c>
      <c r="H869" s="13">
        <v>164.07766990291199</v>
      </c>
      <c r="I869" s="13">
        <v>5.1844660194174796</v>
      </c>
      <c r="J869" s="13">
        <f t="shared" si="27"/>
        <v>169.26213592232946</v>
      </c>
      <c r="K869" s="13">
        <v>47.572815533980602</v>
      </c>
      <c r="L869" s="11" t="s">
        <v>63</v>
      </c>
      <c r="M869" s="26"/>
    </row>
    <row r="870" spans="1:13" x14ac:dyDescent="0.25">
      <c r="A870" s="6">
        <v>1.2234953474662899E+17</v>
      </c>
      <c r="B870" s="30" t="s">
        <v>182</v>
      </c>
      <c r="C870" s="32" t="str">
        <f t="shared" si="26"/>
        <v>Feb</v>
      </c>
      <c r="D870" s="11" t="s">
        <v>25</v>
      </c>
      <c r="E870" s="13">
        <v>132041</v>
      </c>
      <c r="F870" s="13">
        <v>7117</v>
      </c>
      <c r="G870" s="13">
        <v>3</v>
      </c>
      <c r="H870" s="13">
        <v>160.19417475728099</v>
      </c>
      <c r="I870" s="13">
        <v>5.0679611650485397</v>
      </c>
      <c r="J870" s="13">
        <f t="shared" si="27"/>
        <v>165.26213592232952</v>
      </c>
      <c r="K870" s="13">
        <v>48.543689320388303</v>
      </c>
      <c r="L870" s="11" t="s">
        <v>63</v>
      </c>
      <c r="M870" s="26"/>
    </row>
    <row r="871" spans="1:13" x14ac:dyDescent="0.25">
      <c r="A871" s="6">
        <v>1.1763167546221699E+17</v>
      </c>
      <c r="B871" s="30" t="s">
        <v>170</v>
      </c>
      <c r="C871" s="32" t="str">
        <f t="shared" si="26"/>
        <v>Feb</v>
      </c>
      <c r="D871" s="11" t="s">
        <v>16</v>
      </c>
      <c r="E871" s="13">
        <v>132001</v>
      </c>
      <c r="F871" s="13">
        <v>7117</v>
      </c>
      <c r="G871" s="13">
        <v>3</v>
      </c>
      <c r="H871" s="13">
        <v>152.42718446601901</v>
      </c>
      <c r="I871" s="13">
        <v>4.8349514563106801</v>
      </c>
      <c r="J871" s="13">
        <f t="shared" si="27"/>
        <v>157.26213592232969</v>
      </c>
      <c r="K871" s="13">
        <v>47.572815533980602</v>
      </c>
      <c r="L871" s="11" t="s">
        <v>63</v>
      </c>
      <c r="M871" s="26"/>
    </row>
    <row r="872" spans="1:13" x14ac:dyDescent="0.25">
      <c r="A872" s="6">
        <v>1.1755194491420301E+17</v>
      </c>
      <c r="B872" s="30" t="s">
        <v>170</v>
      </c>
      <c r="C872" s="32" t="str">
        <f t="shared" si="26"/>
        <v>Feb</v>
      </c>
      <c r="D872" s="11" t="s">
        <v>16</v>
      </c>
      <c r="E872" s="13">
        <v>802158</v>
      </c>
      <c r="F872" s="13">
        <v>7117</v>
      </c>
      <c r="G872" s="13">
        <v>3</v>
      </c>
      <c r="H872" s="13">
        <v>101.941747572815</v>
      </c>
      <c r="I872" s="13">
        <v>3.8737864077669899</v>
      </c>
      <c r="J872" s="13">
        <f t="shared" si="27"/>
        <v>105.81553398058199</v>
      </c>
      <c r="K872" s="13">
        <v>30.097087378640801</v>
      </c>
      <c r="L872" s="11" t="s">
        <v>22</v>
      </c>
      <c r="M872" s="26"/>
    </row>
    <row r="873" spans="1:13" x14ac:dyDescent="0.25">
      <c r="A873" s="6">
        <v>1.2157395138522701E+17</v>
      </c>
      <c r="B873" s="30" t="s">
        <v>171</v>
      </c>
      <c r="C873" s="32" t="str">
        <f t="shared" si="26"/>
        <v>Feb</v>
      </c>
      <c r="D873" s="11" t="s">
        <v>25</v>
      </c>
      <c r="E873" s="13">
        <v>845438</v>
      </c>
      <c r="F873" s="13">
        <v>7117</v>
      </c>
      <c r="G873" s="13">
        <v>3</v>
      </c>
      <c r="H873" s="13">
        <v>166.01941747572801</v>
      </c>
      <c r="I873" s="13">
        <v>5.0970873786407802</v>
      </c>
      <c r="J873" s="13">
        <f t="shared" si="27"/>
        <v>171.1165048543688</v>
      </c>
      <c r="K873" s="13">
        <v>55.339805825242699</v>
      </c>
      <c r="L873" s="11" t="s">
        <v>22</v>
      </c>
      <c r="M873" s="26"/>
    </row>
    <row r="874" spans="1:13" x14ac:dyDescent="0.25">
      <c r="A874" s="6">
        <v>1.18201586418872E+17</v>
      </c>
      <c r="B874" s="30" t="s">
        <v>190</v>
      </c>
      <c r="C874" s="32" t="str">
        <f t="shared" si="26"/>
        <v>Feb</v>
      </c>
      <c r="D874" s="11" t="s">
        <v>25</v>
      </c>
      <c r="E874" s="13">
        <v>841286</v>
      </c>
      <c r="F874" s="13">
        <v>7117</v>
      </c>
      <c r="G874" s="13">
        <v>3</v>
      </c>
      <c r="H874" s="13">
        <v>167.96116504854299</v>
      </c>
      <c r="I874" s="13">
        <v>5.1844660194174796</v>
      </c>
      <c r="J874" s="13">
        <f t="shared" si="27"/>
        <v>173.14563106796047</v>
      </c>
      <c r="K874" s="13">
        <v>51.456310679611697</v>
      </c>
      <c r="L874" s="11" t="s">
        <v>22</v>
      </c>
      <c r="M874" s="26"/>
    </row>
    <row r="875" spans="1:13" x14ac:dyDescent="0.25">
      <c r="A875" s="6">
        <v>1.2633980828585901E+17</v>
      </c>
      <c r="B875" s="30" t="s">
        <v>180</v>
      </c>
      <c r="C875" s="32" t="str">
        <f t="shared" si="26"/>
        <v>Feb</v>
      </c>
      <c r="D875" s="11" t="s">
        <v>9</v>
      </c>
      <c r="E875" s="13">
        <v>517536</v>
      </c>
      <c r="F875" s="13">
        <v>7117</v>
      </c>
      <c r="G875" s="13">
        <v>3</v>
      </c>
      <c r="H875" s="13">
        <v>177.66990291262101</v>
      </c>
      <c r="I875" s="13">
        <v>5.3300970873786397</v>
      </c>
      <c r="J875" s="13">
        <f t="shared" si="27"/>
        <v>182.99999999999966</v>
      </c>
      <c r="K875" s="13">
        <v>56.3106796116505</v>
      </c>
      <c r="L875" s="11" t="s">
        <v>39</v>
      </c>
      <c r="M875" s="26"/>
    </row>
    <row r="876" spans="1:13" x14ac:dyDescent="0.25">
      <c r="A876" s="6">
        <v>1.1985170680014099E+17</v>
      </c>
      <c r="B876" s="30" t="s">
        <v>174</v>
      </c>
      <c r="C876" s="32" t="str">
        <f t="shared" si="26"/>
        <v>Feb</v>
      </c>
      <c r="D876" s="11" t="s">
        <v>71</v>
      </c>
      <c r="E876" s="13">
        <v>571313</v>
      </c>
      <c r="F876" s="13">
        <v>7117</v>
      </c>
      <c r="G876" s="13">
        <v>3</v>
      </c>
      <c r="H876" s="13">
        <v>147.57281553397999</v>
      </c>
      <c r="I876" s="13">
        <v>4.42718446601942</v>
      </c>
      <c r="J876" s="13">
        <f t="shared" si="27"/>
        <v>151.9999999999994</v>
      </c>
      <c r="K876" s="13">
        <v>59.223300970873801</v>
      </c>
      <c r="L876" s="11" t="s">
        <v>19</v>
      </c>
      <c r="M876" s="26"/>
    </row>
    <row r="877" spans="1:13" x14ac:dyDescent="0.25">
      <c r="A877" s="6">
        <v>1.22246788844646E+17</v>
      </c>
      <c r="B877" s="30" t="s">
        <v>182</v>
      </c>
      <c r="C877" s="32" t="str">
        <f t="shared" si="26"/>
        <v>Feb</v>
      </c>
      <c r="D877" s="11" t="s">
        <v>9</v>
      </c>
      <c r="E877" s="13">
        <v>221005</v>
      </c>
      <c r="F877" s="13">
        <v>7117</v>
      </c>
      <c r="G877" s="13">
        <v>3</v>
      </c>
      <c r="H877" s="13">
        <v>164.07766990291199</v>
      </c>
      <c r="I877" s="13">
        <v>5.1844660194174796</v>
      </c>
      <c r="J877" s="13">
        <f t="shared" si="27"/>
        <v>169.26213592232946</v>
      </c>
      <c r="K877" s="13">
        <v>47.572815533980602</v>
      </c>
      <c r="L877" s="11" t="s">
        <v>10</v>
      </c>
      <c r="M877" s="26"/>
    </row>
    <row r="878" spans="1:13" x14ac:dyDescent="0.25">
      <c r="A878" s="6">
        <v>8.8894248221135392E+16</v>
      </c>
      <c r="B878" s="30" t="s">
        <v>70</v>
      </c>
      <c r="C878" s="32" t="str">
        <f t="shared" si="26"/>
        <v>Nov</v>
      </c>
      <c r="D878" s="11" t="s">
        <v>25</v>
      </c>
      <c r="E878" s="13">
        <v>208021</v>
      </c>
      <c r="F878" s="13">
        <v>7117</v>
      </c>
      <c r="G878" s="13">
        <v>3</v>
      </c>
      <c r="H878" s="13">
        <v>0</v>
      </c>
      <c r="I878" s="13">
        <v>0</v>
      </c>
      <c r="J878" s="13">
        <f t="shared" si="27"/>
        <v>0</v>
      </c>
      <c r="K878" s="13">
        <v>-9.7087378640776993</v>
      </c>
      <c r="L878" s="11" t="s">
        <v>10</v>
      </c>
      <c r="M878" s="26"/>
    </row>
    <row r="879" spans="1:13" x14ac:dyDescent="0.25">
      <c r="A879" s="6">
        <v>1.19359413634232E+17</v>
      </c>
      <c r="B879" s="30" t="s">
        <v>178</v>
      </c>
      <c r="C879" s="32" t="str">
        <f t="shared" si="26"/>
        <v>Feb</v>
      </c>
      <c r="D879" s="11" t="s">
        <v>25</v>
      </c>
      <c r="E879" s="13">
        <v>786614</v>
      </c>
      <c r="F879" s="13">
        <v>961590</v>
      </c>
      <c r="G879" s="13">
        <v>12</v>
      </c>
      <c r="H879" s="13">
        <v>160.71428571428501</v>
      </c>
      <c r="I879" s="13">
        <v>19.285714285714199</v>
      </c>
      <c r="J879" s="13">
        <f t="shared" si="27"/>
        <v>179.9999999999992</v>
      </c>
      <c r="K879" s="13">
        <v>66.964285714285694</v>
      </c>
      <c r="L879" s="11" t="s">
        <v>35</v>
      </c>
      <c r="M879" s="26"/>
    </row>
    <row r="880" spans="1:13" x14ac:dyDescent="0.25">
      <c r="A880" s="6">
        <v>8.6159935742399104E+16</v>
      </c>
      <c r="B880" s="30" t="s">
        <v>73</v>
      </c>
      <c r="C880" s="32" t="str">
        <f t="shared" si="26"/>
        <v>Nov</v>
      </c>
      <c r="D880" s="11" t="s">
        <v>25</v>
      </c>
      <c r="E880" s="13">
        <v>522101</v>
      </c>
      <c r="F880" s="13">
        <v>7117</v>
      </c>
      <c r="G880" s="13">
        <v>3</v>
      </c>
      <c r="H880" s="13">
        <v>0</v>
      </c>
      <c r="I880" s="13">
        <v>0</v>
      </c>
      <c r="J880" s="13">
        <f t="shared" si="27"/>
        <v>0</v>
      </c>
      <c r="K880" s="13">
        <v>-17.475728155339802</v>
      </c>
      <c r="L880" s="11" t="s">
        <v>39</v>
      </c>
      <c r="M880" s="26"/>
    </row>
    <row r="881" spans="1:13" x14ac:dyDescent="0.25">
      <c r="A881" s="6">
        <v>1.2149252705553101E+17</v>
      </c>
      <c r="B881" s="30" t="s">
        <v>171</v>
      </c>
      <c r="C881" s="32" t="str">
        <f t="shared" si="26"/>
        <v>Feb</v>
      </c>
      <c r="D881" s="11" t="s">
        <v>25</v>
      </c>
      <c r="E881" s="13">
        <v>636705</v>
      </c>
      <c r="F881" s="13">
        <v>7117</v>
      </c>
      <c r="G881" s="13">
        <v>3</v>
      </c>
      <c r="H881" s="13">
        <v>175.728155339805</v>
      </c>
      <c r="I881" s="13">
        <v>5.2718446601941702</v>
      </c>
      <c r="J881" s="13">
        <f t="shared" si="27"/>
        <v>180.99999999999918</v>
      </c>
      <c r="K881" s="13">
        <v>59.223300970873801</v>
      </c>
      <c r="L881" s="11" t="s">
        <v>27</v>
      </c>
      <c r="M881" s="26"/>
    </row>
    <row r="882" spans="1:13" x14ac:dyDescent="0.25">
      <c r="A882" s="6">
        <v>1.2234237426506E+17</v>
      </c>
      <c r="B882" s="30" t="s">
        <v>182</v>
      </c>
      <c r="C882" s="32" t="str">
        <f t="shared" si="26"/>
        <v>Feb</v>
      </c>
      <c r="D882" s="11" t="s">
        <v>25</v>
      </c>
      <c r="E882" s="13">
        <v>229301</v>
      </c>
      <c r="F882" s="13">
        <v>7117</v>
      </c>
      <c r="G882" s="13">
        <v>3</v>
      </c>
      <c r="H882" s="13">
        <v>145.631067961165</v>
      </c>
      <c r="I882" s="13">
        <v>4.6310679611650496</v>
      </c>
      <c r="J882" s="13">
        <f t="shared" si="27"/>
        <v>150.26213592233006</v>
      </c>
      <c r="K882" s="13">
        <v>47.572815533980602</v>
      </c>
      <c r="L882" s="11" t="s">
        <v>10</v>
      </c>
      <c r="M882" s="26"/>
    </row>
    <row r="883" spans="1:13" x14ac:dyDescent="0.25">
      <c r="A883" s="6">
        <v>1.22379042637902E+17</v>
      </c>
      <c r="B883" s="30" t="s">
        <v>182</v>
      </c>
      <c r="C883" s="32" t="str">
        <f t="shared" si="26"/>
        <v>Feb</v>
      </c>
      <c r="D883" s="11" t="s">
        <v>25</v>
      </c>
      <c r="E883" s="13">
        <v>243632</v>
      </c>
      <c r="F883" s="13">
        <v>7117</v>
      </c>
      <c r="G883" s="13">
        <v>3</v>
      </c>
      <c r="H883" s="13">
        <v>145.631067961165</v>
      </c>
      <c r="I883" s="13">
        <v>4.6310679611650496</v>
      </c>
      <c r="J883" s="13">
        <f t="shared" si="27"/>
        <v>150.26213592233006</v>
      </c>
      <c r="K883" s="13">
        <v>47.572815533980602</v>
      </c>
      <c r="L883" s="11" t="s">
        <v>10</v>
      </c>
      <c r="M883" s="26"/>
    </row>
    <row r="884" spans="1:13" x14ac:dyDescent="0.25">
      <c r="A884" s="6">
        <v>1.19296137709604E+17</v>
      </c>
      <c r="B884" s="30" t="s">
        <v>178</v>
      </c>
      <c r="C884" s="32" t="str">
        <f t="shared" si="26"/>
        <v>Feb</v>
      </c>
      <c r="D884" s="11" t="s">
        <v>16</v>
      </c>
      <c r="E884" s="13">
        <v>389120</v>
      </c>
      <c r="F884" s="13">
        <v>7117</v>
      </c>
      <c r="G884" s="13">
        <v>3</v>
      </c>
      <c r="H884" s="13">
        <v>154.368932038834</v>
      </c>
      <c r="I884" s="13">
        <v>4.6310679611650496</v>
      </c>
      <c r="J884" s="13">
        <f t="shared" si="27"/>
        <v>158.99999999999906</v>
      </c>
      <c r="K884" s="13">
        <v>56.3106796116505</v>
      </c>
      <c r="L884" s="11" t="s">
        <v>12</v>
      </c>
      <c r="M884" s="26"/>
    </row>
    <row r="885" spans="1:13" x14ac:dyDescent="0.25">
      <c r="A885" s="6">
        <v>1.22913983069056E+17</v>
      </c>
      <c r="B885" s="30" t="s">
        <v>173</v>
      </c>
      <c r="C885" s="32" t="str">
        <f t="shared" si="26"/>
        <v>Feb</v>
      </c>
      <c r="D885" s="11" t="s">
        <v>16</v>
      </c>
      <c r="E885" s="13">
        <v>825403</v>
      </c>
      <c r="F885" s="13">
        <v>7117</v>
      </c>
      <c r="G885" s="13">
        <v>3</v>
      </c>
      <c r="H885" s="13">
        <v>172.81553398058199</v>
      </c>
      <c r="I885" s="13">
        <v>5.1844660194174796</v>
      </c>
      <c r="J885" s="13">
        <f t="shared" si="27"/>
        <v>177.99999999999946</v>
      </c>
      <c r="K885" s="13">
        <v>56.3106796116505</v>
      </c>
      <c r="L885" s="11" t="s">
        <v>37</v>
      </c>
      <c r="M885" s="26"/>
    </row>
    <row r="886" spans="1:13" x14ac:dyDescent="0.25">
      <c r="A886" s="6">
        <v>1.1762748396902499E+17</v>
      </c>
      <c r="B886" s="30" t="s">
        <v>170</v>
      </c>
      <c r="C886" s="32" t="str">
        <f t="shared" si="26"/>
        <v>Feb</v>
      </c>
      <c r="D886" s="11" t="s">
        <v>25</v>
      </c>
      <c r="E886" s="13">
        <v>410513</v>
      </c>
      <c r="F886" s="13">
        <v>7117</v>
      </c>
      <c r="G886" s="13">
        <v>3</v>
      </c>
      <c r="H886" s="13">
        <v>161.16504854368901</v>
      </c>
      <c r="I886" s="13">
        <v>4.8349514563106801</v>
      </c>
      <c r="J886" s="13">
        <f t="shared" si="27"/>
        <v>165.99999999999969</v>
      </c>
      <c r="K886" s="13">
        <v>56.3106796116505</v>
      </c>
      <c r="L886" s="11" t="s">
        <v>41</v>
      </c>
      <c r="M886" s="26"/>
    </row>
    <row r="887" spans="1:13" x14ac:dyDescent="0.25">
      <c r="A887" s="6">
        <v>1.2198507863621101E+17</v>
      </c>
      <c r="B887" s="30" t="s">
        <v>181</v>
      </c>
      <c r="C887" s="32" t="str">
        <f t="shared" si="26"/>
        <v>Feb</v>
      </c>
      <c r="D887" s="11" t="s">
        <v>25</v>
      </c>
      <c r="E887" s="13">
        <v>276305</v>
      </c>
      <c r="F887" s="13">
        <v>7117</v>
      </c>
      <c r="G887" s="13">
        <v>3</v>
      </c>
      <c r="H887" s="13">
        <v>161.16504854368901</v>
      </c>
      <c r="I887" s="13">
        <v>5.0970873786407802</v>
      </c>
      <c r="J887" s="13">
        <f t="shared" si="27"/>
        <v>166.2621359223298</v>
      </c>
      <c r="K887" s="13">
        <v>50.485436893203897</v>
      </c>
      <c r="L887" s="11" t="s">
        <v>10</v>
      </c>
      <c r="M887" s="26"/>
    </row>
    <row r="888" spans="1:13" x14ac:dyDescent="0.25">
      <c r="A888" s="6">
        <v>1.20805665610134E+17</v>
      </c>
      <c r="B888" s="30" t="s">
        <v>186</v>
      </c>
      <c r="C888" s="32" t="str">
        <f t="shared" si="26"/>
        <v>Feb</v>
      </c>
      <c r="D888" s="11" t="s">
        <v>16</v>
      </c>
      <c r="E888" s="13">
        <v>273209</v>
      </c>
      <c r="F888" s="13">
        <v>7117</v>
      </c>
      <c r="G888" s="13">
        <v>3</v>
      </c>
      <c r="H888" s="13">
        <v>161.16504854368901</v>
      </c>
      <c r="I888" s="13">
        <v>5.0970873786407802</v>
      </c>
      <c r="J888" s="13">
        <f t="shared" si="27"/>
        <v>166.2621359223298</v>
      </c>
      <c r="K888" s="13">
        <v>50.485436893203897</v>
      </c>
      <c r="L888" s="11" t="s">
        <v>10</v>
      </c>
      <c r="M888" s="26"/>
    </row>
    <row r="889" spans="1:13" x14ac:dyDescent="0.25">
      <c r="A889" s="6">
        <v>1.1862844864946499E+17</v>
      </c>
      <c r="B889" s="30" t="s">
        <v>192</v>
      </c>
      <c r="C889" s="32" t="str">
        <f t="shared" si="26"/>
        <v>Feb</v>
      </c>
      <c r="D889" s="11" t="s">
        <v>16</v>
      </c>
      <c r="E889" s="13">
        <v>224190</v>
      </c>
      <c r="F889" s="13">
        <v>7117</v>
      </c>
      <c r="G889" s="13">
        <v>3</v>
      </c>
      <c r="H889" s="13">
        <v>164.07766990291199</v>
      </c>
      <c r="I889" s="13">
        <v>5.1844660194174796</v>
      </c>
      <c r="J889" s="13">
        <f t="shared" si="27"/>
        <v>169.26213592232946</v>
      </c>
      <c r="K889" s="13">
        <v>47.572815533980602</v>
      </c>
      <c r="L889" s="11" t="s">
        <v>10</v>
      </c>
      <c r="M889" s="26"/>
    </row>
    <row r="890" spans="1:13" x14ac:dyDescent="0.25">
      <c r="A890" s="6">
        <v>1.1748361914839501E+17</v>
      </c>
      <c r="B890" s="30" t="s">
        <v>170</v>
      </c>
      <c r="C890" s="32" t="str">
        <f t="shared" si="26"/>
        <v>Feb</v>
      </c>
      <c r="D890" s="11" t="s">
        <v>16</v>
      </c>
      <c r="E890" s="13">
        <v>333032</v>
      </c>
      <c r="F890" s="13">
        <v>7117</v>
      </c>
      <c r="G890" s="13">
        <v>3</v>
      </c>
      <c r="H890" s="13">
        <v>151.45631067961099</v>
      </c>
      <c r="I890" s="13">
        <v>4.7475728155339798</v>
      </c>
      <c r="J890" s="13">
        <f t="shared" si="27"/>
        <v>156.20388349514496</v>
      </c>
      <c r="K890" s="13">
        <v>50.485436893203897</v>
      </c>
      <c r="L890" s="11" t="s">
        <v>46</v>
      </c>
      <c r="M890" s="26"/>
    </row>
    <row r="891" spans="1:13" x14ac:dyDescent="0.25">
      <c r="A891" s="6">
        <v>1.17503347459912E+17</v>
      </c>
      <c r="B891" s="30" t="s">
        <v>170</v>
      </c>
      <c r="C891" s="32" t="str">
        <f t="shared" si="26"/>
        <v>Feb</v>
      </c>
      <c r="D891" s="11" t="s">
        <v>16</v>
      </c>
      <c r="E891" s="13">
        <v>273303</v>
      </c>
      <c r="F891" s="13">
        <v>7117</v>
      </c>
      <c r="G891" s="13">
        <v>3</v>
      </c>
      <c r="H891" s="13">
        <v>152.42718446601901</v>
      </c>
      <c r="I891" s="13">
        <v>4.8349514563106801</v>
      </c>
      <c r="J891" s="13">
        <f t="shared" si="27"/>
        <v>157.26213592232969</v>
      </c>
      <c r="K891" s="13">
        <v>47.572815533980602</v>
      </c>
      <c r="L891" s="11" t="s">
        <v>10</v>
      </c>
      <c r="M891" s="26"/>
    </row>
    <row r="892" spans="1:13" x14ac:dyDescent="0.25">
      <c r="A892" s="6">
        <v>8.90569689668048E+16</v>
      </c>
      <c r="B892" s="30" t="s">
        <v>70</v>
      </c>
      <c r="C892" s="32" t="str">
        <f t="shared" si="26"/>
        <v>Nov</v>
      </c>
      <c r="D892" s="11" t="s">
        <v>25</v>
      </c>
      <c r="E892" s="13">
        <v>110043</v>
      </c>
      <c r="F892" s="13">
        <v>7117</v>
      </c>
      <c r="G892" s="13">
        <v>3</v>
      </c>
      <c r="H892" s="13">
        <v>0</v>
      </c>
      <c r="I892" s="13">
        <v>0</v>
      </c>
      <c r="J892" s="13">
        <f t="shared" si="27"/>
        <v>0</v>
      </c>
      <c r="K892" s="13">
        <v>-9.7087378640776993</v>
      </c>
      <c r="L892" s="11" t="s">
        <v>28</v>
      </c>
      <c r="M892" s="26"/>
    </row>
    <row r="893" spans="1:13" x14ac:dyDescent="0.25">
      <c r="A893" s="6">
        <v>1.22510577331074E+17</v>
      </c>
      <c r="B893" s="30" t="s">
        <v>172</v>
      </c>
      <c r="C893" s="32" t="str">
        <f t="shared" si="26"/>
        <v>Feb</v>
      </c>
      <c r="D893" s="11" t="s">
        <v>25</v>
      </c>
      <c r="E893" s="13">
        <v>495445</v>
      </c>
      <c r="F893" s="13">
        <v>7117</v>
      </c>
      <c r="G893" s="13">
        <v>3</v>
      </c>
      <c r="H893" s="13">
        <v>166.01941747572801</v>
      </c>
      <c r="I893" s="13">
        <v>4.9805825242718402</v>
      </c>
      <c r="J893" s="13">
        <f t="shared" si="27"/>
        <v>170.99999999999986</v>
      </c>
      <c r="K893" s="13">
        <v>57.2815533980583</v>
      </c>
      <c r="L893" s="11" t="s">
        <v>23</v>
      </c>
      <c r="M893" s="26"/>
    </row>
    <row r="894" spans="1:13" x14ac:dyDescent="0.25">
      <c r="A894" s="6">
        <v>1.2257301108895299E+17</v>
      </c>
      <c r="B894" s="30" t="s">
        <v>172</v>
      </c>
      <c r="C894" s="32" t="str">
        <f t="shared" si="26"/>
        <v>Feb</v>
      </c>
      <c r="D894" s="11" t="s">
        <v>16</v>
      </c>
      <c r="E894" s="13">
        <v>486889</v>
      </c>
      <c r="F894" s="13">
        <v>7117</v>
      </c>
      <c r="G894" s="13">
        <v>3</v>
      </c>
      <c r="H894" s="13">
        <v>149.514563106796</v>
      </c>
      <c r="I894" s="13">
        <v>4.6310679611650496</v>
      </c>
      <c r="J894" s="13">
        <f t="shared" si="27"/>
        <v>154.14563106796106</v>
      </c>
      <c r="K894" s="13">
        <v>51.456310679611697</v>
      </c>
      <c r="L894" s="11" t="s">
        <v>26</v>
      </c>
      <c r="M894" s="26"/>
    </row>
    <row r="895" spans="1:13" x14ac:dyDescent="0.25">
      <c r="A895" s="6">
        <v>1.2380960508405901E+17</v>
      </c>
      <c r="B895" s="30" t="s">
        <v>188</v>
      </c>
      <c r="C895" s="32" t="str">
        <f t="shared" si="26"/>
        <v>Feb</v>
      </c>
      <c r="D895" s="11" t="s">
        <v>16</v>
      </c>
      <c r="E895" s="13">
        <v>815301</v>
      </c>
      <c r="F895" s="13">
        <v>7117</v>
      </c>
      <c r="G895" s="13">
        <v>3</v>
      </c>
      <c r="H895" s="13">
        <v>160.19417475728099</v>
      </c>
      <c r="I895" s="13">
        <v>4.8058252427184502</v>
      </c>
      <c r="J895" s="13">
        <f t="shared" si="27"/>
        <v>164.99999999999943</v>
      </c>
      <c r="K895" s="13">
        <v>57.2815533980583</v>
      </c>
      <c r="L895" s="11" t="s">
        <v>37</v>
      </c>
      <c r="M895" s="26"/>
    </row>
    <row r="896" spans="1:13" x14ac:dyDescent="0.25">
      <c r="A896" s="6">
        <v>1.2080716875700701E+17</v>
      </c>
      <c r="B896" s="30" t="s">
        <v>186</v>
      </c>
      <c r="C896" s="32" t="str">
        <f t="shared" si="26"/>
        <v>Feb</v>
      </c>
      <c r="D896" s="11" t="s">
        <v>16</v>
      </c>
      <c r="E896" s="13">
        <v>761115</v>
      </c>
      <c r="F896" s="13">
        <v>7117</v>
      </c>
      <c r="G896" s="13">
        <v>3</v>
      </c>
      <c r="H896" s="13">
        <v>154.368932038834</v>
      </c>
      <c r="I896" s="13">
        <v>4.6310679611650496</v>
      </c>
      <c r="J896" s="13">
        <f t="shared" si="27"/>
        <v>158.99999999999906</v>
      </c>
      <c r="K896" s="13">
        <v>56.3106796116505</v>
      </c>
      <c r="L896" s="11" t="s">
        <v>54</v>
      </c>
      <c r="M896" s="26"/>
    </row>
    <row r="897" spans="1:13" x14ac:dyDescent="0.25">
      <c r="A897" s="6">
        <v>1.1749355127812899E+17</v>
      </c>
      <c r="B897" s="30" t="s">
        <v>170</v>
      </c>
      <c r="C897" s="32" t="str">
        <f t="shared" si="26"/>
        <v>Feb</v>
      </c>
      <c r="D897" s="11" t="s">
        <v>16</v>
      </c>
      <c r="E897" s="13">
        <v>803101</v>
      </c>
      <c r="F897" s="13">
        <v>7117</v>
      </c>
      <c r="G897" s="13">
        <v>3</v>
      </c>
      <c r="H897" s="13">
        <v>161.16504854368901</v>
      </c>
      <c r="I897" s="13">
        <v>4.8349514563106801</v>
      </c>
      <c r="J897" s="13">
        <f t="shared" si="27"/>
        <v>165.99999999999969</v>
      </c>
      <c r="K897" s="13">
        <v>56.3106796116505</v>
      </c>
      <c r="L897" s="11" t="s">
        <v>22</v>
      </c>
      <c r="M897" s="26"/>
    </row>
    <row r="898" spans="1:13" x14ac:dyDescent="0.25">
      <c r="A898" s="6">
        <v>1.215291053848E+17</v>
      </c>
      <c r="B898" s="30" t="s">
        <v>171</v>
      </c>
      <c r="C898" s="32" t="str">
        <f t="shared" si="26"/>
        <v>Feb</v>
      </c>
      <c r="D898" s="11" t="s">
        <v>16</v>
      </c>
      <c r="E898" s="13">
        <v>761124</v>
      </c>
      <c r="F898" s="13">
        <v>7117</v>
      </c>
      <c r="G898" s="13">
        <v>3</v>
      </c>
      <c r="H898" s="13">
        <v>172.81553398058199</v>
      </c>
      <c r="I898" s="13">
        <v>5.1844660194174796</v>
      </c>
      <c r="J898" s="13">
        <f t="shared" si="27"/>
        <v>177.99999999999946</v>
      </c>
      <c r="K898" s="13">
        <v>56.3106796116505</v>
      </c>
      <c r="L898" s="11" t="s">
        <v>54</v>
      </c>
      <c r="M898" s="26"/>
    </row>
    <row r="899" spans="1:13" x14ac:dyDescent="0.25">
      <c r="A899" s="6">
        <v>1.26591982427732E+17</v>
      </c>
      <c r="B899" s="30" t="s">
        <v>183</v>
      </c>
      <c r="C899" s="32" t="str">
        <f t="shared" ref="C899:C962" si="28">TEXT(B899, "mmm")</f>
        <v>Feb</v>
      </c>
      <c r="D899" s="11" t="s">
        <v>9</v>
      </c>
      <c r="E899" s="13">
        <v>769001</v>
      </c>
      <c r="F899" s="13">
        <v>7117</v>
      </c>
      <c r="G899" s="13">
        <v>3</v>
      </c>
      <c r="H899" s="13">
        <v>177.66990291262101</v>
      </c>
      <c r="I899" s="13">
        <v>5.3300970873786397</v>
      </c>
      <c r="J899" s="13">
        <f t="shared" ref="J899:J962" si="29">H899+I899</f>
        <v>182.99999999999966</v>
      </c>
      <c r="K899" s="13">
        <v>56.3106796116505</v>
      </c>
      <c r="L899" s="11" t="s">
        <v>54</v>
      </c>
      <c r="M899" s="26"/>
    </row>
    <row r="900" spans="1:13" x14ac:dyDescent="0.25">
      <c r="A900" s="6">
        <v>8.3267711284510896E+16</v>
      </c>
      <c r="B900" s="30" t="s">
        <v>34</v>
      </c>
      <c r="C900" s="32" t="str">
        <f t="shared" si="28"/>
        <v>Oct</v>
      </c>
      <c r="D900" s="11" t="s">
        <v>25</v>
      </c>
      <c r="E900" s="13">
        <v>110043</v>
      </c>
      <c r="F900" s="13">
        <v>7117</v>
      </c>
      <c r="G900" s="13">
        <v>3</v>
      </c>
      <c r="H900" s="13">
        <v>0</v>
      </c>
      <c r="I900" s="13">
        <v>0</v>
      </c>
      <c r="J900" s="13">
        <f t="shared" si="29"/>
        <v>0</v>
      </c>
      <c r="K900" s="13">
        <v>-9.7087378640776993</v>
      </c>
      <c r="L900" s="11" t="s">
        <v>28</v>
      </c>
      <c r="M900" s="26"/>
    </row>
    <row r="901" spans="1:13" x14ac:dyDescent="0.25">
      <c r="A901" s="6">
        <v>1.20882558404816E+17</v>
      </c>
      <c r="B901" s="30" t="s">
        <v>186</v>
      </c>
      <c r="C901" s="32" t="str">
        <f t="shared" si="28"/>
        <v>Feb</v>
      </c>
      <c r="D901" s="11" t="s">
        <v>16</v>
      </c>
      <c r="E901" s="13">
        <v>477447</v>
      </c>
      <c r="F901" s="13">
        <v>7117</v>
      </c>
      <c r="G901" s="13">
        <v>3</v>
      </c>
      <c r="H901" s="13">
        <v>129.126213592233</v>
      </c>
      <c r="I901" s="13">
        <v>4.42718446601942</v>
      </c>
      <c r="J901" s="13">
        <f t="shared" si="29"/>
        <v>133.55339805825241</v>
      </c>
      <c r="K901" s="13">
        <v>40.776699029126199</v>
      </c>
      <c r="L901" s="11" t="s">
        <v>26</v>
      </c>
      <c r="M901" s="26"/>
    </row>
    <row r="902" spans="1:13" x14ac:dyDescent="0.25">
      <c r="A902" s="6">
        <v>1.1859243645602499E+17</v>
      </c>
      <c r="B902" s="30" t="s">
        <v>192</v>
      </c>
      <c r="C902" s="32" t="str">
        <f t="shared" si="28"/>
        <v>Feb</v>
      </c>
      <c r="D902" s="11" t="s">
        <v>16</v>
      </c>
      <c r="E902" s="13">
        <v>502334</v>
      </c>
      <c r="F902" s="13">
        <v>7117</v>
      </c>
      <c r="G902" s="13">
        <v>3</v>
      </c>
      <c r="H902" s="13">
        <v>172.81553398058199</v>
      </c>
      <c r="I902" s="13">
        <v>5.1844660194174796</v>
      </c>
      <c r="J902" s="13">
        <f t="shared" si="29"/>
        <v>177.99999999999946</v>
      </c>
      <c r="K902" s="13">
        <v>56.3106796116505</v>
      </c>
      <c r="L902" s="11" t="s">
        <v>53</v>
      </c>
      <c r="M902" s="26"/>
    </row>
    <row r="903" spans="1:13" x14ac:dyDescent="0.25">
      <c r="A903" s="6">
        <v>1.2588470791314499E+17</v>
      </c>
      <c r="B903" s="30" t="s">
        <v>179</v>
      </c>
      <c r="C903" s="32" t="str">
        <f t="shared" si="28"/>
        <v>Feb</v>
      </c>
      <c r="D903" s="11" t="s">
        <v>9</v>
      </c>
      <c r="E903" s="13">
        <v>481331</v>
      </c>
      <c r="F903" s="13">
        <v>7117</v>
      </c>
      <c r="G903" s="13">
        <v>3</v>
      </c>
      <c r="H903" s="13">
        <v>261.16504854368901</v>
      </c>
      <c r="I903" s="13">
        <v>8.3883495145631102</v>
      </c>
      <c r="J903" s="13">
        <f t="shared" si="29"/>
        <v>269.55339805825213</v>
      </c>
      <c r="K903" s="13">
        <v>42.7184466019418</v>
      </c>
      <c r="L903" s="11" t="s">
        <v>26</v>
      </c>
      <c r="M903" s="26"/>
    </row>
    <row r="904" spans="1:13" x14ac:dyDescent="0.25">
      <c r="A904" s="6">
        <v>1.1980069738567699E+17</v>
      </c>
      <c r="B904" s="30" t="s">
        <v>174</v>
      </c>
      <c r="C904" s="32" t="str">
        <f t="shared" si="28"/>
        <v>Feb</v>
      </c>
      <c r="D904" s="11" t="s">
        <v>16</v>
      </c>
      <c r="E904" s="13">
        <v>505425</v>
      </c>
      <c r="F904" s="13">
        <v>7117</v>
      </c>
      <c r="G904" s="13">
        <v>3</v>
      </c>
      <c r="H904" s="13">
        <v>147.57281553397999</v>
      </c>
      <c r="I904" s="13">
        <v>4.42718446601942</v>
      </c>
      <c r="J904" s="13">
        <f t="shared" si="29"/>
        <v>151.9999999999994</v>
      </c>
      <c r="K904" s="13">
        <v>59.223300970873801</v>
      </c>
      <c r="L904" s="11" t="s">
        <v>53</v>
      </c>
      <c r="M904" s="26"/>
    </row>
    <row r="905" spans="1:13" x14ac:dyDescent="0.25">
      <c r="A905" s="6">
        <v>1.1705515901569E+17</v>
      </c>
      <c r="B905" s="30" t="s">
        <v>151</v>
      </c>
      <c r="C905" s="32" t="str">
        <f t="shared" si="28"/>
        <v>Feb</v>
      </c>
      <c r="D905" s="11" t="s">
        <v>21</v>
      </c>
      <c r="E905" s="13">
        <v>262201</v>
      </c>
      <c r="F905" s="13">
        <v>7117</v>
      </c>
      <c r="G905" s="13">
        <v>3</v>
      </c>
      <c r="H905" s="13">
        <v>166.01941747572801</v>
      </c>
      <c r="I905" s="13">
        <v>5.1844660194174796</v>
      </c>
      <c r="J905" s="13">
        <f t="shared" si="29"/>
        <v>171.20388349514548</v>
      </c>
      <c r="K905" s="13">
        <v>49.514563106796103</v>
      </c>
      <c r="L905" s="11" t="s">
        <v>10</v>
      </c>
      <c r="M905" s="26"/>
    </row>
    <row r="906" spans="1:13" x14ac:dyDescent="0.25">
      <c r="A906" s="6">
        <v>1.20376703402144E+17</v>
      </c>
      <c r="B906" s="30" t="s">
        <v>176</v>
      </c>
      <c r="C906" s="32" t="str">
        <f t="shared" si="28"/>
        <v>Feb</v>
      </c>
      <c r="D906" s="11" t="s">
        <v>16</v>
      </c>
      <c r="E906" s="13">
        <v>276139</v>
      </c>
      <c r="F906" s="13">
        <v>7117</v>
      </c>
      <c r="G906" s="13">
        <v>3</v>
      </c>
      <c r="H906" s="13">
        <v>164.07766990291199</v>
      </c>
      <c r="I906" s="13">
        <v>5.1844660194174796</v>
      </c>
      <c r="J906" s="13">
        <f t="shared" si="29"/>
        <v>169.26213592232946</v>
      </c>
      <c r="K906" s="13">
        <v>47.572815533980602</v>
      </c>
      <c r="L906" s="11" t="s">
        <v>10</v>
      </c>
      <c r="M906" s="26"/>
    </row>
    <row r="907" spans="1:13" x14ac:dyDescent="0.25">
      <c r="A907" s="6">
        <v>7.9950710581670208E+16</v>
      </c>
      <c r="B907" s="30" t="s">
        <v>40</v>
      </c>
      <c r="C907" s="32" t="str">
        <f t="shared" si="28"/>
        <v>Oct</v>
      </c>
      <c r="D907" s="11" t="s">
        <v>25</v>
      </c>
      <c r="E907" s="13">
        <v>400101</v>
      </c>
      <c r="F907" s="13">
        <v>7117</v>
      </c>
      <c r="G907" s="13">
        <v>3</v>
      </c>
      <c r="H907" s="13">
        <v>0</v>
      </c>
      <c r="I907" s="13">
        <v>0</v>
      </c>
      <c r="J907" s="13">
        <f t="shared" si="29"/>
        <v>0</v>
      </c>
      <c r="K907" s="13">
        <v>-11.6504854368932</v>
      </c>
      <c r="L907" s="11" t="s">
        <v>41</v>
      </c>
      <c r="M907" s="26"/>
    </row>
    <row r="908" spans="1:13" x14ac:dyDescent="0.25">
      <c r="A908" s="6">
        <v>1.2079864425233901E+17</v>
      </c>
      <c r="B908" s="30" t="s">
        <v>186</v>
      </c>
      <c r="C908" s="32" t="str">
        <f t="shared" si="28"/>
        <v>Feb</v>
      </c>
      <c r="D908" s="11" t="s">
        <v>25</v>
      </c>
      <c r="E908" s="13">
        <v>263153</v>
      </c>
      <c r="F908" s="13">
        <v>7117</v>
      </c>
      <c r="G908" s="13">
        <v>3</v>
      </c>
      <c r="H908" s="13">
        <v>164.07766990291199</v>
      </c>
      <c r="I908" s="13">
        <v>5.1844660194174796</v>
      </c>
      <c r="J908" s="13">
        <f t="shared" si="29"/>
        <v>169.26213592232946</v>
      </c>
      <c r="K908" s="13">
        <v>47.572815533980602</v>
      </c>
      <c r="L908" s="11" t="s">
        <v>49</v>
      </c>
      <c r="M908" s="26"/>
    </row>
    <row r="909" spans="1:13" x14ac:dyDescent="0.25">
      <c r="A909" s="6">
        <v>9.3300070548278896E+16</v>
      </c>
      <c r="B909" s="30" t="s">
        <v>93</v>
      </c>
      <c r="C909" s="32" t="str">
        <f t="shared" si="28"/>
        <v>Nov</v>
      </c>
      <c r="D909" s="11" t="s">
        <v>25</v>
      </c>
      <c r="E909" s="13">
        <v>400068</v>
      </c>
      <c r="F909" s="13">
        <v>7117</v>
      </c>
      <c r="G909" s="13">
        <v>3</v>
      </c>
      <c r="H909" s="13">
        <v>0</v>
      </c>
      <c r="I909" s="13">
        <v>0</v>
      </c>
      <c r="J909" s="13">
        <f t="shared" si="29"/>
        <v>0</v>
      </c>
      <c r="K909" s="13">
        <v>-17.475728155339802</v>
      </c>
      <c r="L909" s="11" t="s">
        <v>41</v>
      </c>
      <c r="M909" s="26"/>
    </row>
    <row r="910" spans="1:13" x14ac:dyDescent="0.25">
      <c r="A910" s="6">
        <v>1.26536146602982E+17</v>
      </c>
      <c r="B910" s="30" t="s">
        <v>183</v>
      </c>
      <c r="C910" s="32" t="str">
        <f t="shared" si="28"/>
        <v>Feb</v>
      </c>
      <c r="D910" s="11" t="s">
        <v>9</v>
      </c>
      <c r="E910" s="13">
        <v>825403</v>
      </c>
      <c r="F910" s="13">
        <v>7117</v>
      </c>
      <c r="G910" s="13">
        <v>3</v>
      </c>
      <c r="H910" s="13">
        <v>176.69902912621299</v>
      </c>
      <c r="I910" s="13">
        <v>5.3009708737864099</v>
      </c>
      <c r="J910" s="13">
        <f t="shared" si="29"/>
        <v>181.9999999999994</v>
      </c>
      <c r="K910" s="13">
        <v>55.339805825242699</v>
      </c>
      <c r="L910" s="11" t="s">
        <v>37</v>
      </c>
      <c r="M910" s="26"/>
    </row>
    <row r="911" spans="1:13" x14ac:dyDescent="0.25">
      <c r="A911" s="6">
        <v>1.19499450368128E+17</v>
      </c>
      <c r="B911" s="30" t="s">
        <v>178</v>
      </c>
      <c r="C911" s="32" t="str">
        <f t="shared" si="28"/>
        <v>Feb</v>
      </c>
      <c r="D911" s="11" t="s">
        <v>16</v>
      </c>
      <c r="E911" s="13">
        <v>281006</v>
      </c>
      <c r="F911" s="13">
        <v>7117</v>
      </c>
      <c r="G911" s="13">
        <v>3</v>
      </c>
      <c r="H911" s="13">
        <v>132.03883495145601</v>
      </c>
      <c r="I911" s="13">
        <v>4.57281553398058</v>
      </c>
      <c r="J911" s="13">
        <f t="shared" si="29"/>
        <v>136.6116504854366</v>
      </c>
      <c r="K911" s="13">
        <v>33.980582524271803</v>
      </c>
      <c r="L911" s="11" t="s">
        <v>10</v>
      </c>
      <c r="M911" s="26"/>
    </row>
    <row r="912" spans="1:13" x14ac:dyDescent="0.25">
      <c r="A912" s="6">
        <v>1.17238495352876E+17</v>
      </c>
      <c r="B912" s="30" t="s">
        <v>151</v>
      </c>
      <c r="C912" s="32" t="str">
        <f t="shared" si="28"/>
        <v>Feb</v>
      </c>
      <c r="D912" s="11" t="s">
        <v>25</v>
      </c>
      <c r="E912" s="13">
        <v>786614</v>
      </c>
      <c r="F912" s="13">
        <v>961590</v>
      </c>
      <c r="G912" s="13">
        <v>12</v>
      </c>
      <c r="H912" s="13">
        <v>161.60714285714201</v>
      </c>
      <c r="I912" s="13">
        <v>19.3928571428571</v>
      </c>
      <c r="J912" s="13">
        <f t="shared" si="29"/>
        <v>180.99999999999912</v>
      </c>
      <c r="K912" s="13">
        <v>67.857142857142904</v>
      </c>
      <c r="L912" s="11" t="s">
        <v>35</v>
      </c>
      <c r="M912" s="26"/>
    </row>
    <row r="913" spans="1:13" x14ac:dyDescent="0.25">
      <c r="A913" s="6">
        <v>1.26338264960492E+17</v>
      </c>
      <c r="B913" s="30" t="s">
        <v>180</v>
      </c>
      <c r="C913" s="32" t="str">
        <f t="shared" si="28"/>
        <v>Feb</v>
      </c>
      <c r="D913" s="11" t="s">
        <v>9</v>
      </c>
      <c r="E913" s="13">
        <v>695008</v>
      </c>
      <c r="F913" s="13">
        <v>7117</v>
      </c>
      <c r="G913" s="13">
        <v>3</v>
      </c>
      <c r="H913" s="13">
        <v>306.79611650485401</v>
      </c>
      <c r="I913" s="13">
        <v>10.1941747572815</v>
      </c>
      <c r="J913" s="13">
        <f t="shared" si="29"/>
        <v>316.99029126213549</v>
      </c>
      <c r="K913" s="13">
        <v>93.203883495145604</v>
      </c>
      <c r="L913" s="11" t="s">
        <v>98</v>
      </c>
      <c r="M913" s="26"/>
    </row>
    <row r="914" spans="1:13" x14ac:dyDescent="0.25">
      <c r="A914" s="6">
        <v>8.26945943698768E+16</v>
      </c>
      <c r="B914" s="30" t="s">
        <v>42</v>
      </c>
      <c r="C914" s="32" t="str">
        <f t="shared" si="28"/>
        <v>Oct</v>
      </c>
      <c r="D914" s="11" t="s">
        <v>25</v>
      </c>
      <c r="E914" s="13">
        <v>283111</v>
      </c>
      <c r="F914" s="13">
        <v>7117</v>
      </c>
      <c r="G914" s="13">
        <v>3</v>
      </c>
      <c r="H914" s="13">
        <v>0</v>
      </c>
      <c r="I914" s="13">
        <v>0</v>
      </c>
      <c r="J914" s="13">
        <f t="shared" si="29"/>
        <v>0</v>
      </c>
      <c r="K914" s="13">
        <v>-5.8252427184466002</v>
      </c>
      <c r="L914" s="11" t="s">
        <v>10</v>
      </c>
      <c r="M914" s="26"/>
    </row>
    <row r="915" spans="1:13" x14ac:dyDescent="0.25">
      <c r="A915" s="6">
        <v>8.3266623985406496E+16</v>
      </c>
      <c r="B915" s="30" t="s">
        <v>34</v>
      </c>
      <c r="C915" s="32" t="str">
        <f t="shared" si="28"/>
        <v>Oct</v>
      </c>
      <c r="D915" s="11" t="s">
        <v>25</v>
      </c>
      <c r="E915" s="13">
        <v>110043</v>
      </c>
      <c r="F915" s="13">
        <v>7117</v>
      </c>
      <c r="G915" s="13">
        <v>3</v>
      </c>
      <c r="H915" s="13">
        <v>0</v>
      </c>
      <c r="I915" s="13">
        <v>0</v>
      </c>
      <c r="J915" s="13">
        <f t="shared" si="29"/>
        <v>0</v>
      </c>
      <c r="K915" s="13">
        <v>-19.417475728155299</v>
      </c>
      <c r="L915" s="11" t="s">
        <v>28</v>
      </c>
      <c r="M915" s="26"/>
    </row>
    <row r="916" spans="1:13" x14ac:dyDescent="0.25">
      <c r="A916" s="6">
        <v>1.2115575440965699E+17</v>
      </c>
      <c r="B916" s="30" t="s">
        <v>187</v>
      </c>
      <c r="C916" s="32" t="str">
        <f t="shared" si="28"/>
        <v>Feb</v>
      </c>
      <c r="D916" s="11" t="s">
        <v>16</v>
      </c>
      <c r="E916" s="13">
        <v>491559</v>
      </c>
      <c r="F916" s="13">
        <v>7117</v>
      </c>
      <c r="G916" s="13">
        <v>3</v>
      </c>
      <c r="H916" s="13">
        <v>172.81553398058199</v>
      </c>
      <c r="I916" s="13">
        <v>5.1844660194174796</v>
      </c>
      <c r="J916" s="13">
        <f t="shared" si="29"/>
        <v>177.99999999999946</v>
      </c>
      <c r="K916" s="13">
        <v>56.3106796116505</v>
      </c>
      <c r="L916" s="11" t="s">
        <v>23</v>
      </c>
      <c r="M916" s="26"/>
    </row>
    <row r="917" spans="1:13" x14ac:dyDescent="0.25">
      <c r="A917" s="6">
        <v>1.22922845297864E+17</v>
      </c>
      <c r="B917" s="30" t="s">
        <v>173</v>
      </c>
      <c r="C917" s="32" t="str">
        <f t="shared" si="28"/>
        <v>Feb</v>
      </c>
      <c r="D917" s="11" t="s">
        <v>21</v>
      </c>
      <c r="E917" s="13">
        <v>496001</v>
      </c>
      <c r="F917" s="13">
        <v>7117</v>
      </c>
      <c r="G917" s="13">
        <v>3</v>
      </c>
      <c r="H917" s="13">
        <v>169.90291262135901</v>
      </c>
      <c r="I917" s="13">
        <v>5.0970873786407802</v>
      </c>
      <c r="J917" s="13">
        <f t="shared" si="29"/>
        <v>174.9999999999998</v>
      </c>
      <c r="K917" s="13">
        <v>59.223300970873801</v>
      </c>
      <c r="L917" s="11" t="s">
        <v>23</v>
      </c>
      <c r="M917" s="26"/>
    </row>
    <row r="918" spans="1:13" x14ac:dyDescent="0.25">
      <c r="A918" s="6">
        <v>1.2153198794958499E+17</v>
      </c>
      <c r="B918" s="30" t="s">
        <v>171</v>
      </c>
      <c r="C918" s="32" t="str">
        <f t="shared" si="28"/>
        <v>Feb</v>
      </c>
      <c r="D918" s="11" t="s">
        <v>25</v>
      </c>
      <c r="E918" s="13">
        <v>211019</v>
      </c>
      <c r="F918" s="13">
        <v>7117</v>
      </c>
      <c r="G918" s="13">
        <v>3</v>
      </c>
      <c r="H918" s="13">
        <v>166.990291262135</v>
      </c>
      <c r="I918" s="13">
        <v>5.2718446601941702</v>
      </c>
      <c r="J918" s="13">
        <f t="shared" si="29"/>
        <v>172.26213592232918</v>
      </c>
      <c r="K918" s="13">
        <v>49.514563106796103</v>
      </c>
      <c r="L918" s="11" t="s">
        <v>10</v>
      </c>
      <c r="M918" s="26"/>
    </row>
    <row r="919" spans="1:13" x14ac:dyDescent="0.25">
      <c r="A919" s="6">
        <v>1.1864523813817101E+17</v>
      </c>
      <c r="B919" s="30" t="s">
        <v>192</v>
      </c>
      <c r="C919" s="32" t="str">
        <f t="shared" si="28"/>
        <v>Feb</v>
      </c>
      <c r="D919" s="11" t="s">
        <v>16</v>
      </c>
      <c r="E919" s="13">
        <v>277213</v>
      </c>
      <c r="F919" s="13">
        <v>7117</v>
      </c>
      <c r="G919" s="13">
        <v>3</v>
      </c>
      <c r="H919" s="13">
        <v>145.631067961165</v>
      </c>
      <c r="I919" s="13">
        <v>4.6310679611650496</v>
      </c>
      <c r="J919" s="13">
        <f t="shared" si="29"/>
        <v>150.26213592233006</v>
      </c>
      <c r="K919" s="13">
        <v>47.572815533980602</v>
      </c>
      <c r="L919" s="11" t="s">
        <v>10</v>
      </c>
      <c r="M919" s="26"/>
    </row>
    <row r="920" spans="1:13" x14ac:dyDescent="0.25">
      <c r="A920" s="6">
        <v>1.19715167982056E+17</v>
      </c>
      <c r="B920" s="30" t="s">
        <v>174</v>
      </c>
      <c r="C920" s="32" t="str">
        <f t="shared" si="28"/>
        <v>Feb</v>
      </c>
      <c r="D920" s="11" t="s">
        <v>16</v>
      </c>
      <c r="E920" s="13">
        <v>211019</v>
      </c>
      <c r="F920" s="13">
        <v>7117</v>
      </c>
      <c r="G920" s="13">
        <v>3</v>
      </c>
      <c r="H920" s="13">
        <v>164.07766990291199</v>
      </c>
      <c r="I920" s="13">
        <v>5.1844660194174796</v>
      </c>
      <c r="J920" s="13">
        <f t="shared" si="29"/>
        <v>169.26213592232946</v>
      </c>
      <c r="K920" s="13">
        <v>47.572815533980602</v>
      </c>
      <c r="L920" s="11" t="s">
        <v>10</v>
      </c>
      <c r="M920" s="26"/>
    </row>
    <row r="921" spans="1:13" x14ac:dyDescent="0.25">
      <c r="A921" s="6">
        <v>1.2188733946757101E+17</v>
      </c>
      <c r="B921" s="30" t="s">
        <v>181</v>
      </c>
      <c r="C921" s="32" t="str">
        <f t="shared" si="28"/>
        <v>Feb</v>
      </c>
      <c r="D921" s="11" t="s">
        <v>25</v>
      </c>
      <c r="E921" s="13">
        <v>221508</v>
      </c>
      <c r="F921" s="13">
        <v>7117</v>
      </c>
      <c r="G921" s="13">
        <v>3</v>
      </c>
      <c r="H921" s="13">
        <v>161.16504854368901</v>
      </c>
      <c r="I921" s="13">
        <v>5.0970873786407802</v>
      </c>
      <c r="J921" s="13">
        <f t="shared" si="29"/>
        <v>166.2621359223298</v>
      </c>
      <c r="K921" s="13">
        <v>50.485436893203897</v>
      </c>
      <c r="L921" s="11" t="s">
        <v>10</v>
      </c>
      <c r="M921" s="26"/>
    </row>
    <row r="922" spans="1:13" x14ac:dyDescent="0.25">
      <c r="A922" s="6">
        <v>1.22596170307588E+17</v>
      </c>
      <c r="B922" s="30" t="s">
        <v>172</v>
      </c>
      <c r="C922" s="32" t="str">
        <f t="shared" si="28"/>
        <v>Feb</v>
      </c>
      <c r="D922" s="11" t="s">
        <v>21</v>
      </c>
      <c r="E922" s="13">
        <v>227805</v>
      </c>
      <c r="F922" s="13">
        <v>7117</v>
      </c>
      <c r="G922" s="13">
        <v>3</v>
      </c>
      <c r="H922" s="13">
        <v>164.07766990291199</v>
      </c>
      <c r="I922" s="13">
        <v>5.1844660194174796</v>
      </c>
      <c r="J922" s="13">
        <f t="shared" si="29"/>
        <v>169.26213592232946</v>
      </c>
      <c r="K922" s="13">
        <v>47.572815533980602</v>
      </c>
      <c r="L922" s="11" t="s">
        <v>10</v>
      </c>
      <c r="M922" s="26"/>
    </row>
    <row r="923" spans="1:13" x14ac:dyDescent="0.25">
      <c r="A923" s="6">
        <v>1.2260271640943E+17</v>
      </c>
      <c r="B923" s="30" t="s">
        <v>172</v>
      </c>
      <c r="C923" s="32" t="str">
        <f t="shared" si="28"/>
        <v>Feb</v>
      </c>
      <c r="D923" s="11" t="s">
        <v>16</v>
      </c>
      <c r="E923" s="13">
        <v>453331</v>
      </c>
      <c r="F923" s="13">
        <v>7117</v>
      </c>
      <c r="G923" s="13">
        <v>3</v>
      </c>
      <c r="H923" s="13">
        <v>154.368932038834</v>
      </c>
      <c r="I923" s="13">
        <v>4.6310679611650496</v>
      </c>
      <c r="J923" s="13">
        <f t="shared" si="29"/>
        <v>158.99999999999906</v>
      </c>
      <c r="K923" s="13">
        <v>56.3106796116505</v>
      </c>
      <c r="L923" s="11" t="s">
        <v>26</v>
      </c>
      <c r="M923" s="26"/>
    </row>
    <row r="924" spans="1:13" x14ac:dyDescent="0.25">
      <c r="A924" s="6">
        <v>1.2594986775144301E+17</v>
      </c>
      <c r="B924" s="30" t="s">
        <v>179</v>
      </c>
      <c r="C924" s="32" t="str">
        <f t="shared" si="28"/>
        <v>Feb</v>
      </c>
      <c r="D924" s="11" t="s">
        <v>9</v>
      </c>
      <c r="E924" s="13">
        <v>756133</v>
      </c>
      <c r="F924" s="13">
        <v>7117</v>
      </c>
      <c r="G924" s="13">
        <v>3</v>
      </c>
      <c r="H924" s="13">
        <v>163.106796116504</v>
      </c>
      <c r="I924" s="13">
        <v>4.8932038834951497</v>
      </c>
      <c r="J924" s="13">
        <f t="shared" si="29"/>
        <v>167.99999999999915</v>
      </c>
      <c r="K924" s="13">
        <v>59.223300970873801</v>
      </c>
      <c r="L924" s="11" t="s">
        <v>54</v>
      </c>
      <c r="M924" s="26"/>
    </row>
    <row r="925" spans="1:13" x14ac:dyDescent="0.25">
      <c r="A925" s="6">
        <v>1.2149067365127299E+17</v>
      </c>
      <c r="B925" s="30" t="s">
        <v>171</v>
      </c>
      <c r="C925" s="32" t="str">
        <f t="shared" si="28"/>
        <v>Feb</v>
      </c>
      <c r="D925" s="11" t="s">
        <v>16</v>
      </c>
      <c r="E925" s="13">
        <v>626114</v>
      </c>
      <c r="F925" s="13">
        <v>7117</v>
      </c>
      <c r="G925" s="13">
        <v>3</v>
      </c>
      <c r="H925" s="13">
        <v>172.81553398058199</v>
      </c>
      <c r="I925" s="13">
        <v>5.1844660194174796</v>
      </c>
      <c r="J925" s="13">
        <f t="shared" si="29"/>
        <v>177.99999999999946</v>
      </c>
      <c r="K925" s="13">
        <v>56.3106796116505</v>
      </c>
      <c r="L925" s="11" t="s">
        <v>27</v>
      </c>
      <c r="M925" s="26"/>
    </row>
    <row r="926" spans="1:13" x14ac:dyDescent="0.25">
      <c r="A926" s="6">
        <v>1.219356975817E+17</v>
      </c>
      <c r="B926" s="30" t="s">
        <v>181</v>
      </c>
      <c r="C926" s="32" t="str">
        <f t="shared" si="28"/>
        <v>Feb</v>
      </c>
      <c r="D926" s="11" t="s">
        <v>16</v>
      </c>
      <c r="E926" s="13">
        <v>224190</v>
      </c>
      <c r="F926" s="13">
        <v>7117</v>
      </c>
      <c r="G926" s="13">
        <v>3</v>
      </c>
      <c r="H926" s="13">
        <v>164.07766990291199</v>
      </c>
      <c r="I926" s="13">
        <v>5.1844660194174796</v>
      </c>
      <c r="J926" s="13">
        <f t="shared" si="29"/>
        <v>169.26213592232946</v>
      </c>
      <c r="K926" s="13">
        <v>47.572815533980602</v>
      </c>
      <c r="L926" s="11" t="s">
        <v>10</v>
      </c>
      <c r="M926" s="26"/>
    </row>
    <row r="927" spans="1:13" x14ac:dyDescent="0.25">
      <c r="A927" s="6">
        <v>1.20826081803792E+17</v>
      </c>
      <c r="B927" s="30" t="s">
        <v>186</v>
      </c>
      <c r="C927" s="32" t="str">
        <f t="shared" si="28"/>
        <v>Feb</v>
      </c>
      <c r="D927" s="11" t="s">
        <v>21</v>
      </c>
      <c r="E927" s="13">
        <v>209821</v>
      </c>
      <c r="F927" s="13">
        <v>7117</v>
      </c>
      <c r="G927" s="13">
        <v>3</v>
      </c>
      <c r="H927" s="13">
        <v>164.07766990291199</v>
      </c>
      <c r="I927" s="13">
        <v>5.1844660194174796</v>
      </c>
      <c r="J927" s="13">
        <f t="shared" si="29"/>
        <v>169.26213592232946</v>
      </c>
      <c r="K927" s="13">
        <v>47.572815533980602</v>
      </c>
      <c r="L927" s="11" t="s">
        <v>10</v>
      </c>
      <c r="M927" s="26"/>
    </row>
    <row r="928" spans="1:13" x14ac:dyDescent="0.25">
      <c r="A928" s="6">
        <v>1.1748056620661501E+17</v>
      </c>
      <c r="B928" s="30" t="s">
        <v>170</v>
      </c>
      <c r="C928" s="32" t="str">
        <f t="shared" si="28"/>
        <v>Feb</v>
      </c>
      <c r="D928" s="11" t="s">
        <v>16</v>
      </c>
      <c r="E928" s="13">
        <v>395006</v>
      </c>
      <c r="F928" s="13">
        <v>7117</v>
      </c>
      <c r="G928" s="13">
        <v>3</v>
      </c>
      <c r="H928" s="13">
        <v>150.485436893203</v>
      </c>
      <c r="I928" s="13">
        <v>4.5145631067961203</v>
      </c>
      <c r="J928" s="13">
        <f t="shared" si="29"/>
        <v>154.99999999999912</v>
      </c>
      <c r="K928" s="13">
        <v>57.2815533980583</v>
      </c>
      <c r="L928" s="11" t="s">
        <v>12</v>
      </c>
      <c r="M928" s="26"/>
    </row>
    <row r="929" spans="1:13" x14ac:dyDescent="0.25">
      <c r="A929" s="6">
        <v>1.1732473459260899E+17</v>
      </c>
      <c r="B929" s="30" t="s">
        <v>151</v>
      </c>
      <c r="C929" s="32" t="str">
        <f t="shared" si="28"/>
        <v>Feb</v>
      </c>
      <c r="D929" s="11" t="s">
        <v>25</v>
      </c>
      <c r="E929" s="13">
        <v>225124</v>
      </c>
      <c r="F929" s="13">
        <v>7117</v>
      </c>
      <c r="G929" s="13">
        <v>3</v>
      </c>
      <c r="H929" s="13">
        <v>164.07766990291199</v>
      </c>
      <c r="I929" s="13">
        <v>5.1844660194174796</v>
      </c>
      <c r="J929" s="13">
        <f t="shared" si="29"/>
        <v>169.26213592232946</v>
      </c>
      <c r="K929" s="13">
        <v>47.572815533980602</v>
      </c>
      <c r="L929" s="11" t="s">
        <v>10</v>
      </c>
      <c r="M929" s="26"/>
    </row>
    <row r="930" spans="1:13" x14ac:dyDescent="0.25">
      <c r="A930" s="6">
        <v>1.17461695655472E+17</v>
      </c>
      <c r="B930" s="30" t="s">
        <v>170</v>
      </c>
      <c r="C930" s="32" t="str">
        <f t="shared" si="28"/>
        <v>Feb</v>
      </c>
      <c r="D930" s="11" t="s">
        <v>16</v>
      </c>
      <c r="E930" s="13">
        <v>141007</v>
      </c>
      <c r="F930" s="13">
        <v>7117</v>
      </c>
      <c r="G930" s="13">
        <v>3</v>
      </c>
      <c r="H930" s="13">
        <v>152.42718446601901</v>
      </c>
      <c r="I930" s="13">
        <v>4.8349514563106801</v>
      </c>
      <c r="J930" s="13">
        <f t="shared" si="29"/>
        <v>157.26213592232969</v>
      </c>
      <c r="K930" s="13">
        <v>47.572815533980602</v>
      </c>
      <c r="L930" s="11" t="s">
        <v>17</v>
      </c>
      <c r="M930" s="26"/>
    </row>
    <row r="931" spans="1:13" x14ac:dyDescent="0.25">
      <c r="A931" s="6">
        <v>1.1933456424932499E+17</v>
      </c>
      <c r="B931" s="30" t="s">
        <v>178</v>
      </c>
      <c r="C931" s="32" t="str">
        <f t="shared" si="28"/>
        <v>Feb</v>
      </c>
      <c r="D931" s="11" t="s">
        <v>21</v>
      </c>
      <c r="E931" s="13">
        <v>841411</v>
      </c>
      <c r="F931" s="13">
        <v>7117</v>
      </c>
      <c r="G931" s="13">
        <v>3</v>
      </c>
      <c r="H931" s="13">
        <v>161.16504854368901</v>
      </c>
      <c r="I931" s="13">
        <v>4.9805825242718402</v>
      </c>
      <c r="J931" s="13">
        <f t="shared" si="29"/>
        <v>166.14563106796086</v>
      </c>
      <c r="K931" s="13">
        <v>49.514563106796103</v>
      </c>
      <c r="L931" s="11" t="s">
        <v>22</v>
      </c>
      <c r="M931" s="26"/>
    </row>
    <row r="932" spans="1:13" x14ac:dyDescent="0.25">
      <c r="A932" s="6">
        <v>1.17459382882692E+17</v>
      </c>
      <c r="B932" s="30" t="s">
        <v>170</v>
      </c>
      <c r="C932" s="32" t="str">
        <f t="shared" si="28"/>
        <v>Feb</v>
      </c>
      <c r="D932" s="11" t="s">
        <v>25</v>
      </c>
      <c r="E932" s="13">
        <v>847109</v>
      </c>
      <c r="F932" s="13">
        <v>7117</v>
      </c>
      <c r="G932" s="13">
        <v>3</v>
      </c>
      <c r="H932" s="13">
        <v>144.66019417475701</v>
      </c>
      <c r="I932" s="13">
        <v>4.3398058252427196</v>
      </c>
      <c r="J932" s="13">
        <f t="shared" si="29"/>
        <v>148.99999999999972</v>
      </c>
      <c r="K932" s="13">
        <v>56.3106796116505</v>
      </c>
      <c r="L932" s="11" t="s">
        <v>22</v>
      </c>
      <c r="M932" s="26"/>
    </row>
    <row r="933" spans="1:13" x14ac:dyDescent="0.25">
      <c r="A933" s="6">
        <v>1.2412160605751901E+17</v>
      </c>
      <c r="B933" s="30" t="s">
        <v>194</v>
      </c>
      <c r="C933" s="32" t="str">
        <f t="shared" si="28"/>
        <v>Feb</v>
      </c>
      <c r="D933" s="11" t="s">
        <v>16</v>
      </c>
      <c r="E933" s="13">
        <v>305001</v>
      </c>
      <c r="F933" s="13">
        <v>7117</v>
      </c>
      <c r="G933" s="13">
        <v>3</v>
      </c>
      <c r="H933" s="13">
        <v>138.83495145630999</v>
      </c>
      <c r="I933" s="13">
        <v>4.8058252427184502</v>
      </c>
      <c r="J933" s="13">
        <f t="shared" si="29"/>
        <v>143.64077669902844</v>
      </c>
      <c r="K933" s="13">
        <v>35.922330097087404</v>
      </c>
      <c r="L933" s="11" t="s">
        <v>46</v>
      </c>
      <c r="M933" s="26"/>
    </row>
    <row r="934" spans="1:13" x14ac:dyDescent="0.25">
      <c r="A934" s="6">
        <v>1.22720779799654E+17</v>
      </c>
      <c r="B934" s="30" t="s">
        <v>172</v>
      </c>
      <c r="C934" s="32" t="str">
        <f t="shared" si="28"/>
        <v>Feb</v>
      </c>
      <c r="D934" s="11" t="s">
        <v>52</v>
      </c>
      <c r="E934" s="13">
        <v>572101</v>
      </c>
      <c r="F934" s="13">
        <v>7117</v>
      </c>
      <c r="G934" s="13">
        <v>3</v>
      </c>
      <c r="H934" s="13">
        <v>172.81553398058199</v>
      </c>
      <c r="I934" s="13">
        <v>5.1844660194174796</v>
      </c>
      <c r="J934" s="13">
        <f t="shared" si="29"/>
        <v>177.99999999999946</v>
      </c>
      <c r="K934" s="13">
        <v>56.3106796116505</v>
      </c>
      <c r="L934" s="11" t="s">
        <v>19</v>
      </c>
      <c r="M934" s="26"/>
    </row>
    <row r="935" spans="1:13" x14ac:dyDescent="0.25">
      <c r="A935" s="6">
        <v>1.2089024922805501E+17</v>
      </c>
      <c r="B935" s="30" t="s">
        <v>186</v>
      </c>
      <c r="C935" s="32" t="str">
        <f t="shared" si="28"/>
        <v>Feb</v>
      </c>
      <c r="D935" s="11" t="s">
        <v>16</v>
      </c>
      <c r="E935" s="13">
        <v>273413</v>
      </c>
      <c r="F935" s="13">
        <v>7117</v>
      </c>
      <c r="G935" s="13">
        <v>3</v>
      </c>
      <c r="H935" s="13">
        <v>164.07766990291199</v>
      </c>
      <c r="I935" s="13">
        <v>5.1844660194174796</v>
      </c>
      <c r="J935" s="13">
        <f t="shared" si="29"/>
        <v>169.26213592232946</v>
      </c>
      <c r="K935" s="13">
        <v>47.572815533980602</v>
      </c>
      <c r="L935" s="11" t="s">
        <v>10</v>
      </c>
      <c r="M935" s="26"/>
    </row>
    <row r="936" spans="1:13" x14ac:dyDescent="0.25">
      <c r="A936" s="6">
        <v>1.1767073450730701E+17</v>
      </c>
      <c r="B936" s="30" t="s">
        <v>170</v>
      </c>
      <c r="C936" s="32" t="str">
        <f t="shared" si="28"/>
        <v>Feb</v>
      </c>
      <c r="D936" s="11" t="s">
        <v>16</v>
      </c>
      <c r="E936" s="13">
        <v>721101</v>
      </c>
      <c r="F936" s="13">
        <v>7117</v>
      </c>
      <c r="G936" s="13">
        <v>3</v>
      </c>
      <c r="H936" s="13">
        <v>150.485436893203</v>
      </c>
      <c r="I936" s="13">
        <v>4.5145631067961203</v>
      </c>
      <c r="J936" s="13">
        <f t="shared" si="29"/>
        <v>154.99999999999912</v>
      </c>
      <c r="K936" s="13">
        <v>57.2815533980583</v>
      </c>
      <c r="L936" s="11" t="s">
        <v>14</v>
      </c>
      <c r="M936" s="26"/>
    </row>
    <row r="937" spans="1:13" x14ac:dyDescent="0.25">
      <c r="A937" s="6">
        <v>1.1857488313016701E+17</v>
      </c>
      <c r="B937" s="30" t="s">
        <v>192</v>
      </c>
      <c r="C937" s="32" t="str">
        <f t="shared" si="28"/>
        <v>Feb</v>
      </c>
      <c r="D937" s="11" t="s">
        <v>16</v>
      </c>
      <c r="E937" s="13">
        <v>825401</v>
      </c>
      <c r="F937" s="13">
        <v>7117</v>
      </c>
      <c r="G937" s="13">
        <v>3</v>
      </c>
      <c r="H937" s="13">
        <v>172.81553398058199</v>
      </c>
      <c r="I937" s="13">
        <v>5.1844660194174796</v>
      </c>
      <c r="J937" s="13">
        <f t="shared" si="29"/>
        <v>177.99999999999946</v>
      </c>
      <c r="K937" s="13">
        <v>56.3106796116505</v>
      </c>
      <c r="L937" s="11" t="s">
        <v>37</v>
      </c>
      <c r="M937" s="26"/>
    </row>
    <row r="938" spans="1:13" x14ac:dyDescent="0.25">
      <c r="A938" s="6">
        <v>1.19911462487192E+17</v>
      </c>
      <c r="B938" s="30" t="s">
        <v>175</v>
      </c>
      <c r="C938" s="32" t="str">
        <f t="shared" si="28"/>
        <v>Feb</v>
      </c>
      <c r="D938" s="11" t="s">
        <v>21</v>
      </c>
      <c r="E938" s="13">
        <v>122022</v>
      </c>
      <c r="F938" s="13">
        <v>7117</v>
      </c>
      <c r="G938" s="13">
        <v>3</v>
      </c>
      <c r="H938" s="13">
        <v>151.45631067961099</v>
      </c>
      <c r="I938" s="13">
        <v>4.8058252427184502</v>
      </c>
      <c r="J938" s="13">
        <f t="shared" si="29"/>
        <v>156.26213592232943</v>
      </c>
      <c r="K938" s="13">
        <v>48.543689320388303</v>
      </c>
      <c r="L938" s="11" t="s">
        <v>63</v>
      </c>
      <c r="M938" s="26"/>
    </row>
    <row r="939" spans="1:13" x14ac:dyDescent="0.25">
      <c r="A939" s="6">
        <v>8.06745028073024E+16</v>
      </c>
      <c r="B939" s="30" t="s">
        <v>51</v>
      </c>
      <c r="C939" s="32" t="str">
        <f t="shared" si="28"/>
        <v>Oct</v>
      </c>
      <c r="D939" s="11" t="s">
        <v>25</v>
      </c>
      <c r="E939" s="13">
        <v>140603</v>
      </c>
      <c r="F939" s="13">
        <v>7117</v>
      </c>
      <c r="G939" s="13">
        <v>3</v>
      </c>
      <c r="H939" s="13">
        <v>0</v>
      </c>
      <c r="I939" s="13">
        <v>0</v>
      </c>
      <c r="J939" s="13">
        <f t="shared" si="29"/>
        <v>0</v>
      </c>
      <c r="K939" s="13">
        <v>-11.6504854368932</v>
      </c>
      <c r="L939" s="11" t="s">
        <v>17</v>
      </c>
      <c r="M939" s="26"/>
    </row>
    <row r="940" spans="1:13" x14ac:dyDescent="0.25">
      <c r="A940" s="6">
        <v>1.2451792391739101E+17</v>
      </c>
      <c r="B940" s="30" t="s">
        <v>195</v>
      </c>
      <c r="C940" s="32" t="str">
        <f t="shared" si="28"/>
        <v>Feb</v>
      </c>
      <c r="D940" s="11" t="s">
        <v>16</v>
      </c>
      <c r="E940" s="13">
        <v>224186</v>
      </c>
      <c r="F940" s="13">
        <v>7117</v>
      </c>
      <c r="G940" s="13">
        <v>3</v>
      </c>
      <c r="H940" s="13">
        <v>193.20388349514499</v>
      </c>
      <c r="I940" s="13">
        <v>6.0582524271844704</v>
      </c>
      <c r="J940" s="13">
        <f t="shared" si="29"/>
        <v>199.26213592232946</v>
      </c>
      <c r="K940" s="13">
        <v>47.572815533980602</v>
      </c>
      <c r="L940" s="11" t="s">
        <v>10</v>
      </c>
      <c r="M940" s="26"/>
    </row>
    <row r="941" spans="1:13" x14ac:dyDescent="0.25">
      <c r="A941" s="6">
        <v>1.17867772077306E+17</v>
      </c>
      <c r="B941" s="30" t="s">
        <v>184</v>
      </c>
      <c r="C941" s="32" t="str">
        <f t="shared" si="28"/>
        <v>Feb</v>
      </c>
      <c r="D941" s="11" t="s">
        <v>16</v>
      </c>
      <c r="E941" s="13">
        <v>802131</v>
      </c>
      <c r="F941" s="13">
        <v>7117</v>
      </c>
      <c r="G941" s="13">
        <v>3</v>
      </c>
      <c r="H941" s="13">
        <v>167.96116504854299</v>
      </c>
      <c r="I941" s="13">
        <v>5.1844660194174796</v>
      </c>
      <c r="J941" s="13">
        <f t="shared" si="29"/>
        <v>173.14563106796047</v>
      </c>
      <c r="K941" s="13">
        <v>51.456310679611697</v>
      </c>
      <c r="L941" s="11" t="s">
        <v>22</v>
      </c>
      <c r="M941" s="26"/>
    </row>
    <row r="942" spans="1:13" x14ac:dyDescent="0.25">
      <c r="A942" s="6">
        <v>8.9253134354019104E+16</v>
      </c>
      <c r="B942" s="30" t="s">
        <v>78</v>
      </c>
      <c r="C942" s="32" t="str">
        <f t="shared" si="28"/>
        <v>Nov</v>
      </c>
      <c r="D942" s="11" t="s">
        <v>25</v>
      </c>
      <c r="E942" s="13">
        <v>522101</v>
      </c>
      <c r="F942" s="13">
        <v>7117</v>
      </c>
      <c r="G942" s="13">
        <v>3</v>
      </c>
      <c r="H942" s="13">
        <v>0</v>
      </c>
      <c r="I942" s="13">
        <v>0</v>
      </c>
      <c r="J942" s="13">
        <f t="shared" si="29"/>
        <v>0</v>
      </c>
      <c r="K942" s="13">
        <v>-17.475728155339802</v>
      </c>
      <c r="L942" s="11" t="s">
        <v>39</v>
      </c>
      <c r="M942" s="26"/>
    </row>
    <row r="943" spans="1:13" x14ac:dyDescent="0.25">
      <c r="A943" s="6">
        <v>1.22735581250874E+17</v>
      </c>
      <c r="B943" s="30" t="s">
        <v>172</v>
      </c>
      <c r="C943" s="32" t="str">
        <f t="shared" si="28"/>
        <v>Feb</v>
      </c>
      <c r="D943" s="11" t="s">
        <v>16</v>
      </c>
      <c r="E943" s="13">
        <v>342603</v>
      </c>
      <c r="F943" s="13">
        <v>7117</v>
      </c>
      <c r="G943" s="13">
        <v>3</v>
      </c>
      <c r="H943" s="13">
        <v>172.81553398058199</v>
      </c>
      <c r="I943" s="13">
        <v>5.1844660194174796</v>
      </c>
      <c r="J943" s="13">
        <f t="shared" si="29"/>
        <v>177.99999999999946</v>
      </c>
      <c r="K943" s="13">
        <v>56.3106796116505</v>
      </c>
      <c r="L943" s="11" t="s">
        <v>46</v>
      </c>
      <c r="M943" s="26"/>
    </row>
    <row r="944" spans="1:13" x14ac:dyDescent="0.25">
      <c r="A944" s="6">
        <v>1.17501425071844E+17</v>
      </c>
      <c r="B944" s="30" t="s">
        <v>170</v>
      </c>
      <c r="C944" s="32" t="str">
        <f t="shared" si="28"/>
        <v>Feb</v>
      </c>
      <c r="D944" s="11" t="s">
        <v>21</v>
      </c>
      <c r="E944" s="13">
        <v>841405</v>
      </c>
      <c r="F944" s="13">
        <v>7117</v>
      </c>
      <c r="G944" s="13">
        <v>3</v>
      </c>
      <c r="H944" s="13">
        <v>139.80582524271799</v>
      </c>
      <c r="I944" s="13">
        <v>4.3398058252427196</v>
      </c>
      <c r="J944" s="13">
        <f t="shared" si="29"/>
        <v>144.14563106796069</v>
      </c>
      <c r="K944" s="13">
        <v>51.456310679611697</v>
      </c>
      <c r="L944" s="11" t="s">
        <v>22</v>
      </c>
      <c r="M944" s="26"/>
    </row>
    <row r="945" spans="1:13" x14ac:dyDescent="0.25">
      <c r="A945" s="6">
        <v>1.2460708774883299E+17</v>
      </c>
      <c r="B945" s="30" t="s">
        <v>193</v>
      </c>
      <c r="C945" s="32" t="str">
        <f t="shared" si="28"/>
        <v>Feb</v>
      </c>
      <c r="D945" s="11" t="s">
        <v>25</v>
      </c>
      <c r="E945" s="13">
        <v>560091</v>
      </c>
      <c r="F945" s="13">
        <v>7117</v>
      </c>
      <c r="G945" s="13">
        <v>3</v>
      </c>
      <c r="H945" s="13">
        <v>314.56310679611602</v>
      </c>
      <c r="I945" s="13">
        <v>9.4368932038834998</v>
      </c>
      <c r="J945" s="13">
        <f t="shared" si="29"/>
        <v>323.99999999999955</v>
      </c>
      <c r="K945" s="13">
        <v>126.213592233009</v>
      </c>
      <c r="L945" s="11" t="s">
        <v>19</v>
      </c>
      <c r="M945" s="26"/>
    </row>
    <row r="946" spans="1:13" x14ac:dyDescent="0.25">
      <c r="A946" s="6">
        <v>1.1969561912803E+17</v>
      </c>
      <c r="B946" s="30" t="s">
        <v>174</v>
      </c>
      <c r="C946" s="32" t="str">
        <f t="shared" si="28"/>
        <v>Feb</v>
      </c>
      <c r="D946" s="11" t="s">
        <v>16</v>
      </c>
      <c r="E946" s="13">
        <v>274501</v>
      </c>
      <c r="F946" s="13">
        <v>7117</v>
      </c>
      <c r="G946" s="13">
        <v>3</v>
      </c>
      <c r="H946" s="13">
        <v>163.106796116504</v>
      </c>
      <c r="I946" s="13">
        <v>5.1262135922330101</v>
      </c>
      <c r="J946" s="13">
        <f t="shared" si="29"/>
        <v>168.233009708737</v>
      </c>
      <c r="K946" s="13">
        <v>46.601941747572802</v>
      </c>
      <c r="L946" s="11" t="s">
        <v>10</v>
      </c>
      <c r="M946" s="26"/>
    </row>
    <row r="947" spans="1:13" x14ac:dyDescent="0.25">
      <c r="A947" s="6">
        <v>1.1830194148298E+17</v>
      </c>
      <c r="B947" s="30" t="s">
        <v>190</v>
      </c>
      <c r="C947" s="32" t="str">
        <f t="shared" si="28"/>
        <v>Feb</v>
      </c>
      <c r="D947" s="11" t="s">
        <v>16</v>
      </c>
      <c r="E947" s="13">
        <v>793001</v>
      </c>
      <c r="F947" s="13">
        <v>7117</v>
      </c>
      <c r="G947" s="13">
        <v>3</v>
      </c>
      <c r="H947" s="13">
        <v>184.466019417475</v>
      </c>
      <c r="I947" s="13">
        <v>5.5339805825242703</v>
      </c>
      <c r="J947" s="13">
        <f t="shared" si="29"/>
        <v>189.99999999999926</v>
      </c>
      <c r="K947" s="13">
        <v>75.728155339805795</v>
      </c>
      <c r="L947" s="11" t="s">
        <v>196</v>
      </c>
      <c r="M947" s="26"/>
    </row>
    <row r="948" spans="1:13" x14ac:dyDescent="0.25">
      <c r="A948" s="6">
        <v>1.2043995349794301E+17</v>
      </c>
      <c r="B948" s="30" t="s">
        <v>176</v>
      </c>
      <c r="C948" s="32" t="str">
        <f t="shared" si="28"/>
        <v>Feb</v>
      </c>
      <c r="D948" s="11" t="s">
        <v>52</v>
      </c>
      <c r="E948" s="13">
        <v>224190</v>
      </c>
      <c r="F948" s="13">
        <v>7117</v>
      </c>
      <c r="G948" s="13">
        <v>3</v>
      </c>
      <c r="H948" s="13">
        <v>164.07766990291199</v>
      </c>
      <c r="I948" s="13">
        <v>5.1844660194174796</v>
      </c>
      <c r="J948" s="13">
        <f t="shared" si="29"/>
        <v>169.26213592232946</v>
      </c>
      <c r="K948" s="13">
        <v>47.572815533980602</v>
      </c>
      <c r="L948" s="11" t="s">
        <v>10</v>
      </c>
      <c r="M948" s="26"/>
    </row>
    <row r="949" spans="1:13" x14ac:dyDescent="0.25">
      <c r="A949" s="6">
        <v>1.22332329125082E+17</v>
      </c>
      <c r="B949" s="30" t="s">
        <v>182</v>
      </c>
      <c r="C949" s="32" t="str">
        <f t="shared" si="28"/>
        <v>Feb</v>
      </c>
      <c r="D949" s="11" t="s">
        <v>52</v>
      </c>
      <c r="E949" s="13">
        <v>460220</v>
      </c>
      <c r="F949" s="13">
        <v>7117</v>
      </c>
      <c r="G949" s="13">
        <v>3</v>
      </c>
      <c r="H949" s="13">
        <v>172.81553398058199</v>
      </c>
      <c r="I949" s="13">
        <v>5.1844660194174796</v>
      </c>
      <c r="J949" s="13">
        <f t="shared" si="29"/>
        <v>177.99999999999946</v>
      </c>
      <c r="K949" s="13">
        <v>56.3106796116505</v>
      </c>
      <c r="L949" s="11" t="s">
        <v>26</v>
      </c>
      <c r="M949" s="26"/>
    </row>
    <row r="950" spans="1:13" x14ac:dyDescent="0.25">
      <c r="A950" s="6">
        <v>1.1904317814908E+17</v>
      </c>
      <c r="B950" s="30" t="s">
        <v>177</v>
      </c>
      <c r="C950" s="32" t="str">
        <f t="shared" si="28"/>
        <v>Feb</v>
      </c>
      <c r="D950" s="11" t="s">
        <v>16</v>
      </c>
      <c r="E950" s="13">
        <v>462042</v>
      </c>
      <c r="F950" s="13">
        <v>7117</v>
      </c>
      <c r="G950" s="13">
        <v>3</v>
      </c>
      <c r="H950" s="13">
        <v>136.893203883495</v>
      </c>
      <c r="I950" s="13">
        <v>4.6310679611650496</v>
      </c>
      <c r="J950" s="13">
        <f t="shared" si="29"/>
        <v>141.52427184466006</v>
      </c>
      <c r="K950" s="13">
        <v>39.805825242718498</v>
      </c>
      <c r="L950" s="11" t="s">
        <v>26</v>
      </c>
      <c r="M950" s="26"/>
    </row>
    <row r="951" spans="1:13" x14ac:dyDescent="0.25">
      <c r="A951" s="6">
        <v>1.19966383944618E+17</v>
      </c>
      <c r="B951" s="30" t="s">
        <v>175</v>
      </c>
      <c r="C951" s="32" t="str">
        <f t="shared" si="28"/>
        <v>Feb</v>
      </c>
      <c r="D951" s="11" t="s">
        <v>16</v>
      </c>
      <c r="E951" s="13">
        <v>263601</v>
      </c>
      <c r="F951" s="13">
        <v>7117</v>
      </c>
      <c r="G951" s="13">
        <v>3</v>
      </c>
      <c r="H951" s="13">
        <v>145.631067961165</v>
      </c>
      <c r="I951" s="13">
        <v>4.6310679611650496</v>
      </c>
      <c r="J951" s="13">
        <f t="shared" si="29"/>
        <v>150.26213592233006</v>
      </c>
      <c r="K951" s="13">
        <v>47.572815533980602</v>
      </c>
      <c r="L951" s="11" t="s">
        <v>49</v>
      </c>
      <c r="M951" s="26"/>
    </row>
    <row r="952" spans="1:13" x14ac:dyDescent="0.25">
      <c r="A952" s="6">
        <v>1.17487071397216E+17</v>
      </c>
      <c r="B952" s="30" t="s">
        <v>170</v>
      </c>
      <c r="C952" s="32" t="str">
        <f t="shared" si="28"/>
        <v>Feb</v>
      </c>
      <c r="D952" s="11" t="s">
        <v>21</v>
      </c>
      <c r="E952" s="13">
        <v>273209</v>
      </c>
      <c r="F952" s="13">
        <v>7117</v>
      </c>
      <c r="G952" s="13">
        <v>3</v>
      </c>
      <c r="H952" s="13">
        <v>150.485436893203</v>
      </c>
      <c r="I952" s="13">
        <v>4.7766990291262097</v>
      </c>
      <c r="J952" s="13">
        <f t="shared" si="29"/>
        <v>155.26213592232921</v>
      </c>
      <c r="K952" s="13">
        <v>50.485436893203897</v>
      </c>
      <c r="L952" s="11" t="s">
        <v>10</v>
      </c>
      <c r="M952" s="26"/>
    </row>
    <row r="953" spans="1:13" x14ac:dyDescent="0.25">
      <c r="A953" s="6">
        <v>1.26355463940148E+17</v>
      </c>
      <c r="B953" s="30" t="s">
        <v>180</v>
      </c>
      <c r="C953" s="32" t="str">
        <f t="shared" si="28"/>
        <v>Feb</v>
      </c>
      <c r="D953" s="11" t="s">
        <v>9</v>
      </c>
      <c r="E953" s="13">
        <v>852129</v>
      </c>
      <c r="F953" s="13">
        <v>7117</v>
      </c>
      <c r="G953" s="13">
        <v>3</v>
      </c>
      <c r="H953" s="13">
        <v>160.19417475728099</v>
      </c>
      <c r="I953" s="13">
        <v>5.3592233009708696</v>
      </c>
      <c r="J953" s="13">
        <f t="shared" si="29"/>
        <v>165.55339805825187</v>
      </c>
      <c r="K953" s="13">
        <v>42.7184466019418</v>
      </c>
      <c r="L953" s="11" t="s">
        <v>22</v>
      </c>
      <c r="M953" s="26"/>
    </row>
    <row r="954" spans="1:13" x14ac:dyDescent="0.25">
      <c r="A954" s="6">
        <v>1.22024859818816E+17</v>
      </c>
      <c r="B954" s="30" t="s">
        <v>181</v>
      </c>
      <c r="C954" s="32" t="str">
        <f t="shared" si="28"/>
        <v>Feb</v>
      </c>
      <c r="D954" s="11" t="s">
        <v>25</v>
      </c>
      <c r="E954" s="13">
        <v>110041</v>
      </c>
      <c r="F954" s="13">
        <v>7117</v>
      </c>
      <c r="G954" s="13">
        <v>3</v>
      </c>
      <c r="H954" s="13">
        <v>164.07766990291199</v>
      </c>
      <c r="I954" s="13">
        <v>5.1844660194174796</v>
      </c>
      <c r="J954" s="13">
        <f t="shared" si="29"/>
        <v>169.26213592232946</v>
      </c>
      <c r="K954" s="13">
        <v>47.572815533980602</v>
      </c>
      <c r="L954" s="11" t="s">
        <v>28</v>
      </c>
      <c r="M954" s="26"/>
    </row>
    <row r="955" spans="1:13" x14ac:dyDescent="0.25">
      <c r="A955" s="6">
        <v>8.0898761234048704E+16</v>
      </c>
      <c r="B955" s="30" t="s">
        <v>31</v>
      </c>
      <c r="C955" s="32" t="str">
        <f t="shared" si="28"/>
        <v>Oct</v>
      </c>
      <c r="D955" s="11" t="s">
        <v>25</v>
      </c>
      <c r="E955" s="13">
        <v>110043</v>
      </c>
      <c r="F955" s="13">
        <v>7117</v>
      </c>
      <c r="G955" s="13">
        <v>3</v>
      </c>
      <c r="H955" s="13">
        <v>0</v>
      </c>
      <c r="I955" s="13">
        <v>0</v>
      </c>
      <c r="J955" s="13">
        <f t="shared" si="29"/>
        <v>0</v>
      </c>
      <c r="K955" s="13">
        <v>-22.330097087378601</v>
      </c>
      <c r="L955" s="11" t="s">
        <v>28</v>
      </c>
      <c r="M955" s="26"/>
    </row>
    <row r="956" spans="1:13" x14ac:dyDescent="0.25">
      <c r="A956" s="6">
        <v>8.8285056633285504E+16</v>
      </c>
      <c r="B956" s="30" t="s">
        <v>68</v>
      </c>
      <c r="C956" s="32" t="str">
        <f t="shared" si="28"/>
        <v>Nov</v>
      </c>
      <c r="D956" s="11" t="s">
        <v>25</v>
      </c>
      <c r="E956" s="13">
        <v>411060</v>
      </c>
      <c r="F956" s="13">
        <v>340600</v>
      </c>
      <c r="G956" s="13">
        <v>12</v>
      </c>
      <c r="H956" s="13">
        <v>0</v>
      </c>
      <c r="I956" s="13">
        <v>0</v>
      </c>
      <c r="J956" s="13">
        <f t="shared" si="29"/>
        <v>0</v>
      </c>
      <c r="K956" s="13">
        <v>-13.3928571428571</v>
      </c>
      <c r="L956" s="11" t="s">
        <v>41</v>
      </c>
      <c r="M956" s="26"/>
    </row>
    <row r="957" spans="1:13" x14ac:dyDescent="0.25">
      <c r="A957" s="6">
        <v>1.22296621447054E+17</v>
      </c>
      <c r="B957" s="30" t="s">
        <v>182</v>
      </c>
      <c r="C957" s="32" t="str">
        <f t="shared" si="28"/>
        <v>Feb</v>
      </c>
      <c r="D957" s="11" t="s">
        <v>25</v>
      </c>
      <c r="E957" s="13">
        <v>202138</v>
      </c>
      <c r="F957" s="13">
        <v>7117</v>
      </c>
      <c r="G957" s="13">
        <v>3</v>
      </c>
      <c r="H957" s="13">
        <v>164.07766990291199</v>
      </c>
      <c r="I957" s="13">
        <v>5.1844660194174796</v>
      </c>
      <c r="J957" s="13">
        <f t="shared" si="29"/>
        <v>169.26213592232946</v>
      </c>
      <c r="K957" s="13">
        <v>47.572815533980602</v>
      </c>
      <c r="L957" s="11" t="s">
        <v>10</v>
      </c>
      <c r="M957" s="26"/>
    </row>
    <row r="958" spans="1:13" x14ac:dyDescent="0.25">
      <c r="A958" s="6">
        <v>1.17510360763886E+17</v>
      </c>
      <c r="B958" s="30" t="s">
        <v>170</v>
      </c>
      <c r="C958" s="32" t="str">
        <f t="shared" si="28"/>
        <v>Feb</v>
      </c>
      <c r="D958" s="11" t="s">
        <v>16</v>
      </c>
      <c r="E958" s="13">
        <v>492001</v>
      </c>
      <c r="F958" s="13">
        <v>7117</v>
      </c>
      <c r="G958" s="13">
        <v>3</v>
      </c>
      <c r="H958" s="13">
        <v>133.009708737864</v>
      </c>
      <c r="I958" s="13">
        <v>4.5145631067961203</v>
      </c>
      <c r="J958" s="13">
        <f t="shared" si="29"/>
        <v>137.52427184466012</v>
      </c>
      <c r="K958" s="13">
        <v>39.805825242718498</v>
      </c>
      <c r="L958" s="11" t="s">
        <v>23</v>
      </c>
      <c r="M958" s="26"/>
    </row>
    <row r="959" spans="1:13" x14ac:dyDescent="0.25">
      <c r="A959" s="6">
        <v>1.2221874879941901E+17</v>
      </c>
      <c r="B959" s="30" t="s">
        <v>182</v>
      </c>
      <c r="C959" s="32" t="str">
        <f t="shared" si="28"/>
        <v>Feb</v>
      </c>
      <c r="D959" s="11" t="s">
        <v>16</v>
      </c>
      <c r="E959" s="13">
        <v>824207</v>
      </c>
      <c r="F959" s="13">
        <v>7117</v>
      </c>
      <c r="G959" s="13">
        <v>3</v>
      </c>
      <c r="H959" s="13">
        <v>167.96116504854299</v>
      </c>
      <c r="I959" s="13">
        <v>5.1844660194174796</v>
      </c>
      <c r="J959" s="13">
        <f t="shared" si="29"/>
        <v>173.14563106796047</v>
      </c>
      <c r="K959" s="13">
        <v>51.456310679611697</v>
      </c>
      <c r="L959" s="11" t="s">
        <v>22</v>
      </c>
      <c r="M959" s="26"/>
    </row>
    <row r="960" spans="1:13" x14ac:dyDescent="0.25">
      <c r="A960" s="6">
        <v>1.2381965112607E+17</v>
      </c>
      <c r="B960" s="30" t="s">
        <v>188</v>
      </c>
      <c r="C960" s="32" t="str">
        <f t="shared" si="28"/>
        <v>Feb</v>
      </c>
      <c r="D960" s="11" t="s">
        <v>9</v>
      </c>
      <c r="E960" s="13">
        <v>244223</v>
      </c>
      <c r="F960" s="13">
        <v>7117</v>
      </c>
      <c r="G960" s="13">
        <v>3</v>
      </c>
      <c r="H960" s="13">
        <v>151.45631067961099</v>
      </c>
      <c r="I960" s="13">
        <v>4.8058252427184502</v>
      </c>
      <c r="J960" s="13">
        <f t="shared" si="29"/>
        <v>156.26213592232943</v>
      </c>
      <c r="K960" s="13">
        <v>48.543689320388303</v>
      </c>
      <c r="L960" s="11" t="s">
        <v>10</v>
      </c>
      <c r="M960" s="26"/>
    </row>
    <row r="961" spans="1:13" x14ac:dyDescent="0.25">
      <c r="A961" s="6">
        <v>1.2665209408288301E+17</v>
      </c>
      <c r="B961" s="30" t="s">
        <v>183</v>
      </c>
      <c r="C961" s="32" t="str">
        <f t="shared" si="28"/>
        <v>Feb</v>
      </c>
      <c r="D961" s="11" t="s">
        <v>25</v>
      </c>
      <c r="E961" s="13">
        <v>182202</v>
      </c>
      <c r="F961" s="13">
        <v>7117</v>
      </c>
      <c r="G961" s="13">
        <v>3</v>
      </c>
      <c r="H961" s="13">
        <v>177.66990291262101</v>
      </c>
      <c r="I961" s="13">
        <v>5.3300970873786397</v>
      </c>
      <c r="J961" s="13">
        <f t="shared" si="29"/>
        <v>182.99999999999966</v>
      </c>
      <c r="K961" s="13">
        <v>56.3106796116505</v>
      </c>
      <c r="L961" s="11" t="s">
        <v>56</v>
      </c>
      <c r="M961" s="26"/>
    </row>
    <row r="962" spans="1:13" x14ac:dyDescent="0.25">
      <c r="A962" s="6">
        <v>1.1748842296013101E+17</v>
      </c>
      <c r="B962" s="30" t="s">
        <v>170</v>
      </c>
      <c r="C962" s="32" t="str">
        <f t="shared" si="28"/>
        <v>Feb</v>
      </c>
      <c r="D962" s="11" t="s">
        <v>16</v>
      </c>
      <c r="E962" s="13">
        <v>261303</v>
      </c>
      <c r="F962" s="13">
        <v>7117</v>
      </c>
      <c r="G962" s="13">
        <v>3</v>
      </c>
      <c r="H962" s="13">
        <v>152.42718446601901</v>
      </c>
      <c r="I962" s="13">
        <v>4.8349514563106801</v>
      </c>
      <c r="J962" s="13">
        <f t="shared" si="29"/>
        <v>157.26213592232969</v>
      </c>
      <c r="K962" s="13">
        <v>47.572815533980602</v>
      </c>
      <c r="L962" s="11" t="s">
        <v>10</v>
      </c>
      <c r="M962" s="26"/>
    </row>
    <row r="963" spans="1:13" x14ac:dyDescent="0.25">
      <c r="A963" s="6">
        <v>1.2345810696040899E+17</v>
      </c>
      <c r="B963" s="30" t="s">
        <v>191</v>
      </c>
      <c r="C963" s="32" t="str">
        <f t="shared" ref="C963:C1026" si="30">TEXT(B963, "mmm")</f>
        <v>Feb</v>
      </c>
      <c r="D963" s="11" t="s">
        <v>16</v>
      </c>
      <c r="E963" s="13">
        <v>271902</v>
      </c>
      <c r="F963" s="13">
        <v>7117</v>
      </c>
      <c r="G963" s="13">
        <v>3</v>
      </c>
      <c r="H963" s="13">
        <v>198.05825242718399</v>
      </c>
      <c r="I963" s="13">
        <v>6.2038834951456296</v>
      </c>
      <c r="J963" s="13">
        <f t="shared" ref="J963:J975" si="31">H963+I963</f>
        <v>204.26213592232961</v>
      </c>
      <c r="K963" s="13">
        <v>47.572815533980602</v>
      </c>
      <c r="L963" s="11" t="s">
        <v>10</v>
      </c>
      <c r="M963" s="26"/>
    </row>
    <row r="964" spans="1:13" x14ac:dyDescent="0.25">
      <c r="A964" s="6">
        <v>1.21963749788774E+17</v>
      </c>
      <c r="B964" s="30" t="s">
        <v>181</v>
      </c>
      <c r="C964" s="32" t="str">
        <f t="shared" si="30"/>
        <v>Feb</v>
      </c>
      <c r="D964" s="11" t="s">
        <v>16</v>
      </c>
      <c r="E964" s="13">
        <v>813208</v>
      </c>
      <c r="F964" s="13">
        <v>7117</v>
      </c>
      <c r="G964" s="13">
        <v>3</v>
      </c>
      <c r="H964" s="13">
        <v>151.45631067961099</v>
      </c>
      <c r="I964" s="13">
        <v>5.0970873786407802</v>
      </c>
      <c r="J964" s="13">
        <f t="shared" si="31"/>
        <v>156.55339805825179</v>
      </c>
      <c r="K964" s="13">
        <v>40.776699029126199</v>
      </c>
      <c r="L964" s="11" t="s">
        <v>37</v>
      </c>
      <c r="M964" s="26"/>
    </row>
    <row r="965" spans="1:13" x14ac:dyDescent="0.25">
      <c r="A965" s="6">
        <v>8.0985738364726096E+16</v>
      </c>
      <c r="B965" s="30" t="s">
        <v>31</v>
      </c>
      <c r="C965" s="32" t="str">
        <f t="shared" si="30"/>
        <v>Oct</v>
      </c>
      <c r="D965" s="11" t="s">
        <v>25</v>
      </c>
      <c r="E965" s="13">
        <v>301701</v>
      </c>
      <c r="F965" s="13">
        <v>7117</v>
      </c>
      <c r="G965" s="13">
        <v>3</v>
      </c>
      <c r="H965" s="13">
        <v>0</v>
      </c>
      <c r="I965" s="13">
        <v>0</v>
      </c>
      <c r="J965" s="13">
        <f t="shared" si="31"/>
        <v>0</v>
      </c>
      <c r="K965" s="13">
        <v>-6.7961165048543997</v>
      </c>
      <c r="L965" s="11" t="s">
        <v>46</v>
      </c>
      <c r="M965" s="26"/>
    </row>
    <row r="966" spans="1:13" x14ac:dyDescent="0.25">
      <c r="A966" s="6">
        <v>1.26039417572728E+17</v>
      </c>
      <c r="B966" s="30" t="s">
        <v>180</v>
      </c>
      <c r="C966" s="32" t="str">
        <f t="shared" si="30"/>
        <v>Feb</v>
      </c>
      <c r="D966" s="11" t="s">
        <v>16</v>
      </c>
      <c r="E966" s="13">
        <v>273302</v>
      </c>
      <c r="F966" s="13">
        <v>7117</v>
      </c>
      <c r="G966" s="13">
        <v>3</v>
      </c>
      <c r="H966" s="13">
        <v>151.45631067961099</v>
      </c>
      <c r="I966" s="13">
        <v>4.8058252427184502</v>
      </c>
      <c r="J966" s="13">
        <f t="shared" si="31"/>
        <v>156.26213592232943</v>
      </c>
      <c r="K966" s="13">
        <v>47.572815533980602</v>
      </c>
      <c r="L966" s="11" t="s">
        <v>10</v>
      </c>
      <c r="M966" s="26"/>
    </row>
    <row r="967" spans="1:13" x14ac:dyDescent="0.25">
      <c r="A967" s="6">
        <v>1.18199654497284E+17</v>
      </c>
      <c r="B967" s="30" t="s">
        <v>190</v>
      </c>
      <c r="C967" s="32" t="str">
        <f t="shared" si="30"/>
        <v>Feb</v>
      </c>
      <c r="D967" s="11" t="s">
        <v>71</v>
      </c>
      <c r="E967" s="13">
        <v>752110</v>
      </c>
      <c r="F967" s="13">
        <v>7117</v>
      </c>
      <c r="G967" s="13">
        <v>3</v>
      </c>
      <c r="H967" s="13">
        <v>172.81553398058199</v>
      </c>
      <c r="I967" s="13">
        <v>5.1844660194174796</v>
      </c>
      <c r="J967" s="13">
        <f t="shared" si="31"/>
        <v>177.99999999999946</v>
      </c>
      <c r="K967" s="13">
        <v>56.3106796116505</v>
      </c>
      <c r="L967" s="11" t="s">
        <v>54</v>
      </c>
      <c r="M967" s="26"/>
    </row>
    <row r="968" spans="1:13" x14ac:dyDescent="0.25">
      <c r="A968" s="6">
        <v>1.18381320741388E+17</v>
      </c>
      <c r="B968" s="30" t="s">
        <v>190</v>
      </c>
      <c r="C968" s="32" t="str">
        <f t="shared" si="30"/>
        <v>Feb</v>
      </c>
      <c r="D968" s="11" t="s">
        <v>25</v>
      </c>
      <c r="E968" s="13">
        <v>761014</v>
      </c>
      <c r="F968" s="13">
        <v>7117</v>
      </c>
      <c r="G968" s="13">
        <v>3</v>
      </c>
      <c r="H968" s="13">
        <v>174.757281553398</v>
      </c>
      <c r="I968" s="13">
        <v>5.2427184466019403</v>
      </c>
      <c r="J968" s="13">
        <f t="shared" si="31"/>
        <v>179.99999999999994</v>
      </c>
      <c r="K968" s="13">
        <v>57.2815533980583</v>
      </c>
      <c r="L968" s="11" t="s">
        <v>54</v>
      </c>
      <c r="M968" s="26"/>
    </row>
    <row r="969" spans="1:13" x14ac:dyDescent="0.25">
      <c r="A969" s="6">
        <v>1.23643703973712E+17</v>
      </c>
      <c r="B969" s="30" t="s">
        <v>188</v>
      </c>
      <c r="C969" s="32" t="str">
        <f t="shared" si="30"/>
        <v>Feb</v>
      </c>
      <c r="D969" s="11" t="s">
        <v>16</v>
      </c>
      <c r="E969" s="13">
        <v>585401</v>
      </c>
      <c r="F969" s="13">
        <v>7117</v>
      </c>
      <c r="G969" s="13">
        <v>3</v>
      </c>
      <c r="H969" s="13">
        <v>235.92233009708701</v>
      </c>
      <c r="I969" s="13">
        <v>7.0776699029126204</v>
      </c>
      <c r="J969" s="13">
        <f t="shared" si="31"/>
        <v>242.99999999999963</v>
      </c>
      <c r="K969" s="13">
        <v>56.3106796116505</v>
      </c>
      <c r="L969" s="11" t="s">
        <v>19</v>
      </c>
      <c r="M969" s="26"/>
    </row>
    <row r="970" spans="1:13" x14ac:dyDescent="0.25">
      <c r="A970" s="6">
        <v>1.20103383349752E+17</v>
      </c>
      <c r="B970" s="30" t="s">
        <v>175</v>
      </c>
      <c r="C970" s="32" t="str">
        <f t="shared" si="30"/>
        <v>Feb</v>
      </c>
      <c r="D970" s="11" t="s">
        <v>16</v>
      </c>
      <c r="E970" s="13">
        <v>413709</v>
      </c>
      <c r="F970" s="13">
        <v>7117</v>
      </c>
      <c r="G970" s="13">
        <v>3</v>
      </c>
      <c r="H970" s="13">
        <v>172.81553398058199</v>
      </c>
      <c r="I970" s="13">
        <v>5.1844660194174796</v>
      </c>
      <c r="J970" s="13">
        <f t="shared" si="31"/>
        <v>177.99999999999946</v>
      </c>
      <c r="K970" s="13">
        <v>56.3106796116505</v>
      </c>
      <c r="L970" s="11" t="s">
        <v>41</v>
      </c>
      <c r="M970" s="26"/>
    </row>
    <row r="971" spans="1:13" x14ac:dyDescent="0.25">
      <c r="A971" s="6">
        <v>1.2012993363603901E+17</v>
      </c>
      <c r="B971" s="30" t="s">
        <v>175</v>
      </c>
      <c r="C971" s="32" t="str">
        <f t="shared" si="30"/>
        <v>Feb</v>
      </c>
      <c r="D971" s="11" t="s">
        <v>16</v>
      </c>
      <c r="E971" s="13">
        <v>325221</v>
      </c>
      <c r="F971" s="13">
        <v>7117</v>
      </c>
      <c r="G971" s="13">
        <v>3</v>
      </c>
      <c r="H971" s="13">
        <v>150.485436893203</v>
      </c>
      <c r="I971" s="13">
        <v>5.1844660194174796</v>
      </c>
      <c r="J971" s="13">
        <f t="shared" si="31"/>
        <v>155.66990291262047</v>
      </c>
      <c r="K971" s="13">
        <v>33.980582524271803</v>
      </c>
      <c r="L971" s="11" t="s">
        <v>46</v>
      </c>
      <c r="M971" s="26"/>
    </row>
    <row r="972" spans="1:13" x14ac:dyDescent="0.25">
      <c r="A972" s="6">
        <v>8.92286999849796E+16</v>
      </c>
      <c r="B972" s="30" t="s">
        <v>78</v>
      </c>
      <c r="C972" s="32" t="str">
        <f t="shared" si="30"/>
        <v>Nov</v>
      </c>
      <c r="D972" s="11" t="s">
        <v>25</v>
      </c>
      <c r="E972" s="13">
        <v>225403</v>
      </c>
      <c r="F972" s="13">
        <v>7117</v>
      </c>
      <c r="G972" s="13">
        <v>3</v>
      </c>
      <c r="H972" s="13">
        <v>0</v>
      </c>
      <c r="I972" s="13">
        <v>0</v>
      </c>
      <c r="J972" s="13">
        <f t="shared" si="31"/>
        <v>0</v>
      </c>
      <c r="K972" s="13">
        <v>-9.7087378640776993</v>
      </c>
      <c r="L972" s="11" t="s">
        <v>10</v>
      </c>
      <c r="M972" s="26"/>
    </row>
    <row r="973" spans="1:13" x14ac:dyDescent="0.25">
      <c r="A973" s="6">
        <v>1.2340758312503299E+17</v>
      </c>
      <c r="B973" s="30" t="s">
        <v>191</v>
      </c>
      <c r="C973" s="32" t="str">
        <f t="shared" si="30"/>
        <v>Feb</v>
      </c>
      <c r="D973" s="11" t="s">
        <v>16</v>
      </c>
      <c r="E973" s="13">
        <v>509410</v>
      </c>
      <c r="F973" s="13">
        <v>7117</v>
      </c>
      <c r="G973" s="13">
        <v>3</v>
      </c>
      <c r="H973" s="13">
        <v>206.79611650485401</v>
      </c>
      <c r="I973" s="13">
        <v>6.2038834951456296</v>
      </c>
      <c r="J973" s="13">
        <f t="shared" si="31"/>
        <v>212.99999999999963</v>
      </c>
      <c r="K973" s="13">
        <v>56.3106796116505</v>
      </c>
      <c r="L973" s="11" t="s">
        <v>53</v>
      </c>
      <c r="M973" s="26"/>
    </row>
    <row r="974" spans="1:13" x14ac:dyDescent="0.25">
      <c r="A974" s="6">
        <v>1.2665669370764499E+17</v>
      </c>
      <c r="B974" s="30" t="s">
        <v>183</v>
      </c>
      <c r="C974" s="32" t="str">
        <f t="shared" si="30"/>
        <v>Feb</v>
      </c>
      <c r="D974" s="11" t="s">
        <v>9</v>
      </c>
      <c r="E974" s="13">
        <v>284305</v>
      </c>
      <c r="F974" s="13">
        <v>7117</v>
      </c>
      <c r="G974" s="13">
        <v>3</v>
      </c>
      <c r="H974" s="13">
        <v>146.601941747572</v>
      </c>
      <c r="I974" s="13">
        <v>4.6601941747572804</v>
      </c>
      <c r="J974" s="13">
        <f t="shared" si="31"/>
        <v>151.26213592232929</v>
      </c>
      <c r="K974" s="13">
        <v>52.427184466019398</v>
      </c>
      <c r="L974" s="11" t="s">
        <v>10</v>
      </c>
      <c r="M974" s="26"/>
    </row>
    <row r="975" spans="1:13" x14ac:dyDescent="0.25">
      <c r="A975" s="6">
        <v>1.2008756998686701E+17</v>
      </c>
      <c r="B975" s="30" t="s">
        <v>175</v>
      </c>
      <c r="C975" s="32" t="str">
        <f t="shared" si="30"/>
        <v>Feb</v>
      </c>
      <c r="D975" s="11" t="s">
        <v>52</v>
      </c>
      <c r="E975" s="13">
        <v>273015</v>
      </c>
      <c r="F975" s="13">
        <v>7117</v>
      </c>
      <c r="G975" s="13">
        <v>3</v>
      </c>
      <c r="H975" s="13">
        <v>149.514563106796</v>
      </c>
      <c r="I975" s="13">
        <v>5.1844660194174796</v>
      </c>
      <c r="J975" s="13">
        <f t="shared" si="31"/>
        <v>154.69902912621347</v>
      </c>
      <c r="K975" s="13">
        <v>33.009708737864102</v>
      </c>
      <c r="L975" s="11" t="s">
        <v>10</v>
      </c>
      <c r="M975" s="26"/>
    </row>
    <row r="976" spans="1:13" x14ac:dyDescent="0.25">
      <c r="A976" s="6">
        <v>1.3809781585036301E+17</v>
      </c>
      <c r="B976" s="31" t="s">
        <v>201</v>
      </c>
      <c r="C976" s="32" t="str">
        <f t="shared" si="30"/>
        <v>Mar</v>
      </c>
      <c r="D976" s="3" t="s">
        <v>9</v>
      </c>
      <c r="E976" s="6">
        <v>271904</v>
      </c>
      <c r="F976" s="6">
        <v>7117</v>
      </c>
      <c r="G976" s="6">
        <v>3</v>
      </c>
      <c r="H976" s="6">
        <v>132.03883500000001</v>
      </c>
      <c r="I976" s="6">
        <v>3</v>
      </c>
      <c r="J976" s="6">
        <v>136</v>
      </c>
      <c r="K976" s="6">
        <v>37.86407767</v>
      </c>
      <c r="L976" s="3" t="s">
        <v>14</v>
      </c>
      <c r="M976" s="26"/>
    </row>
    <row r="977" spans="1:13" x14ac:dyDescent="0.25">
      <c r="A977" s="6">
        <v>1.3209060246388701E+17</v>
      </c>
      <c r="B977" s="31" t="s">
        <v>203</v>
      </c>
      <c r="C977" s="32" t="str">
        <f t="shared" si="30"/>
        <v>Mar</v>
      </c>
      <c r="D977" s="3" t="s">
        <v>9</v>
      </c>
      <c r="E977" s="6">
        <v>361001</v>
      </c>
      <c r="F977" s="6">
        <v>7117</v>
      </c>
      <c r="G977" s="6">
        <v>3</v>
      </c>
      <c r="H977" s="6">
        <v>170.8737864</v>
      </c>
      <c r="I977" s="6">
        <v>5</v>
      </c>
      <c r="J977" s="6">
        <v>176</v>
      </c>
      <c r="K977" s="6">
        <v>49.514563109999997</v>
      </c>
      <c r="L977" s="3" t="s">
        <v>63</v>
      </c>
      <c r="M977" s="26"/>
    </row>
    <row r="978" spans="1:13" x14ac:dyDescent="0.25">
      <c r="A978" s="6">
        <v>1.3615232985324099E+17</v>
      </c>
      <c r="B978" s="31" t="s">
        <v>205</v>
      </c>
      <c r="C978" s="32" t="str">
        <f t="shared" si="30"/>
        <v>Mar</v>
      </c>
      <c r="D978" s="3" t="s">
        <v>9</v>
      </c>
      <c r="E978" s="6">
        <v>721431</v>
      </c>
      <c r="F978" s="6">
        <v>7117</v>
      </c>
      <c r="G978" s="6">
        <v>3</v>
      </c>
      <c r="H978" s="6">
        <v>169.90291260000001</v>
      </c>
      <c r="I978" s="6">
        <v>5</v>
      </c>
      <c r="J978" s="6">
        <v>175</v>
      </c>
      <c r="K978" s="6">
        <v>52.42718447</v>
      </c>
      <c r="L978" s="3" t="s">
        <v>14</v>
      </c>
      <c r="M978" s="26"/>
    </row>
    <row r="979" spans="1:13" x14ac:dyDescent="0.25">
      <c r="A979" s="6">
        <v>1.3083517784414701E+17</v>
      </c>
      <c r="B979" s="31" t="s">
        <v>207</v>
      </c>
      <c r="C979" s="32" t="str">
        <f t="shared" si="30"/>
        <v>Mar</v>
      </c>
      <c r="D979" s="3" t="s">
        <v>16</v>
      </c>
      <c r="E979" s="6">
        <v>143001</v>
      </c>
      <c r="F979" s="6">
        <v>7117</v>
      </c>
      <c r="G979" s="6">
        <v>3</v>
      </c>
      <c r="H979" s="6">
        <v>173.78640780000001</v>
      </c>
      <c r="I979" s="6">
        <v>5</v>
      </c>
      <c r="J979" s="6">
        <v>179</v>
      </c>
      <c r="K979" s="6">
        <v>56.310679610000001</v>
      </c>
      <c r="L979" s="3" t="s">
        <v>27</v>
      </c>
      <c r="M979" s="26"/>
    </row>
    <row r="980" spans="1:13" x14ac:dyDescent="0.25">
      <c r="A980" s="6">
        <v>1.3608534386704701E+17</v>
      </c>
      <c r="B980" s="31" t="s">
        <v>205</v>
      </c>
      <c r="C980" s="32" t="str">
        <f t="shared" si="30"/>
        <v>Mar</v>
      </c>
      <c r="D980" s="3" t="s">
        <v>16</v>
      </c>
      <c r="E980" s="6">
        <v>577203</v>
      </c>
      <c r="F980" s="6">
        <v>7117</v>
      </c>
      <c r="G980" s="6">
        <v>3</v>
      </c>
      <c r="H980" s="6">
        <v>163.1067961</v>
      </c>
      <c r="I980" s="6">
        <v>4</v>
      </c>
      <c r="J980" s="6">
        <v>168</v>
      </c>
      <c r="K980" s="6">
        <v>45.631067960000003</v>
      </c>
      <c r="L980" s="3" t="s">
        <v>17</v>
      </c>
      <c r="M980" s="26"/>
    </row>
    <row r="981" spans="1:13" x14ac:dyDescent="0.25">
      <c r="A981" s="6">
        <v>1.3795328822251101E+17</v>
      </c>
      <c r="B981" s="31" t="s">
        <v>210</v>
      </c>
      <c r="C981" s="32" t="str">
        <f t="shared" si="30"/>
        <v>Mar</v>
      </c>
      <c r="D981" s="3" t="s">
        <v>21</v>
      </c>
      <c r="E981" s="6">
        <v>800006</v>
      </c>
      <c r="F981" s="6">
        <v>7117</v>
      </c>
      <c r="G981" s="6">
        <v>3</v>
      </c>
      <c r="H981" s="6">
        <v>141.7475728</v>
      </c>
      <c r="I981" s="6">
        <v>4</v>
      </c>
      <c r="J981" s="6">
        <v>146</v>
      </c>
      <c r="K981" s="6">
        <v>47.57281553</v>
      </c>
      <c r="L981" s="3" t="s">
        <v>44</v>
      </c>
      <c r="M981" s="26"/>
    </row>
    <row r="982" spans="1:13" x14ac:dyDescent="0.25">
      <c r="A982" s="6">
        <v>1.38284030402398E+17</v>
      </c>
      <c r="B982" s="31" t="s">
        <v>201</v>
      </c>
      <c r="C982" s="32" t="str">
        <f t="shared" si="30"/>
        <v>Mar</v>
      </c>
      <c r="D982" s="3" t="s">
        <v>9</v>
      </c>
      <c r="E982" s="6">
        <v>495554</v>
      </c>
      <c r="F982" s="6">
        <v>7117</v>
      </c>
      <c r="G982" s="6">
        <v>3</v>
      </c>
      <c r="H982" s="6">
        <v>109.7087379</v>
      </c>
      <c r="I982" s="6">
        <v>3</v>
      </c>
      <c r="J982" s="6">
        <v>113</v>
      </c>
      <c r="K982" s="6">
        <v>42.7184466</v>
      </c>
      <c r="L982" s="3" t="s">
        <v>46</v>
      </c>
      <c r="M982" s="26"/>
    </row>
    <row r="983" spans="1:13" x14ac:dyDescent="0.25">
      <c r="A983" s="6">
        <v>1.3580292644972301E+17</v>
      </c>
      <c r="B983" s="31" t="s">
        <v>213</v>
      </c>
      <c r="C983" s="32" t="str">
        <f t="shared" si="30"/>
        <v>Mar</v>
      </c>
      <c r="D983" s="3" t="s">
        <v>9</v>
      </c>
      <c r="E983" s="6">
        <v>160062</v>
      </c>
      <c r="F983" s="6">
        <v>7117</v>
      </c>
      <c r="G983" s="6">
        <v>3</v>
      </c>
      <c r="H983" s="6">
        <v>166.9902913</v>
      </c>
      <c r="I983" s="6">
        <v>5</v>
      </c>
      <c r="J983" s="6">
        <v>172</v>
      </c>
      <c r="K983" s="6">
        <v>45.631067960000003</v>
      </c>
      <c r="L983" s="3" t="s">
        <v>63</v>
      </c>
      <c r="M983" s="26"/>
    </row>
    <row r="984" spans="1:13" x14ac:dyDescent="0.25">
      <c r="A984" s="6">
        <v>1.34977208989782E+17</v>
      </c>
      <c r="B984" s="31" t="s">
        <v>215</v>
      </c>
      <c r="C984" s="32" t="str">
        <f t="shared" si="30"/>
        <v>Mar</v>
      </c>
      <c r="D984" s="3" t="s">
        <v>25</v>
      </c>
      <c r="E984" s="6">
        <v>226002</v>
      </c>
      <c r="F984" s="6">
        <v>7117</v>
      </c>
      <c r="G984" s="6">
        <v>3</v>
      </c>
      <c r="H984" s="6">
        <v>159.22330099999999</v>
      </c>
      <c r="I984" s="6">
        <v>4</v>
      </c>
      <c r="J984" s="6">
        <v>164</v>
      </c>
      <c r="K984" s="6">
        <v>45.631067960000003</v>
      </c>
      <c r="L984" s="3" t="s">
        <v>10</v>
      </c>
      <c r="M984" s="26"/>
    </row>
    <row r="985" spans="1:13" x14ac:dyDescent="0.25">
      <c r="A985" s="6">
        <v>1.36750085644032E+17</v>
      </c>
      <c r="B985" s="31" t="s">
        <v>217</v>
      </c>
      <c r="C985" s="32" t="str">
        <f t="shared" si="30"/>
        <v>Mar</v>
      </c>
      <c r="D985" s="3" t="s">
        <v>9</v>
      </c>
      <c r="E985" s="6">
        <v>821101</v>
      </c>
      <c r="F985" s="6">
        <v>7117</v>
      </c>
      <c r="G985" s="6">
        <v>3</v>
      </c>
      <c r="H985" s="6">
        <v>169.90291260000001</v>
      </c>
      <c r="I985" s="6">
        <v>5</v>
      </c>
      <c r="J985" s="6">
        <v>175</v>
      </c>
      <c r="K985" s="6">
        <v>52.42718447</v>
      </c>
      <c r="L985" s="3" t="s">
        <v>37</v>
      </c>
      <c r="M985" s="26"/>
    </row>
    <row r="986" spans="1:13" x14ac:dyDescent="0.25">
      <c r="A986" s="6">
        <v>1.3470944359759901E+17</v>
      </c>
      <c r="B986" s="31" t="s">
        <v>219</v>
      </c>
      <c r="C986" s="32" t="str">
        <f t="shared" si="30"/>
        <v>Mar</v>
      </c>
      <c r="D986" s="3" t="s">
        <v>25</v>
      </c>
      <c r="E986" s="6">
        <v>462043</v>
      </c>
      <c r="F986" s="6">
        <v>7117</v>
      </c>
      <c r="G986" s="6">
        <v>3</v>
      </c>
      <c r="H986" s="6">
        <v>242.71844659999999</v>
      </c>
      <c r="I986" s="6">
        <v>7</v>
      </c>
      <c r="J986" s="6">
        <v>250</v>
      </c>
      <c r="K986" s="6">
        <v>33.009708740000001</v>
      </c>
      <c r="L986" s="3" t="s">
        <v>10</v>
      </c>
      <c r="M986" s="26"/>
    </row>
    <row r="987" spans="1:13" x14ac:dyDescent="0.25">
      <c r="A987" s="6">
        <v>1.3672964187571E+17</v>
      </c>
      <c r="B987" s="31" t="s">
        <v>217</v>
      </c>
      <c r="C987" s="32" t="str">
        <f t="shared" si="30"/>
        <v>Mar</v>
      </c>
      <c r="D987" s="3" t="s">
        <v>9</v>
      </c>
      <c r="E987" s="6">
        <v>600117</v>
      </c>
      <c r="F987" s="6">
        <v>7117</v>
      </c>
      <c r="G987" s="6">
        <v>3</v>
      </c>
      <c r="H987" s="6">
        <v>169.90291260000001</v>
      </c>
      <c r="I987" s="6">
        <v>5</v>
      </c>
      <c r="J987" s="6">
        <v>175</v>
      </c>
      <c r="K987" s="6">
        <v>52.42718447</v>
      </c>
      <c r="L987" s="3" t="s">
        <v>37</v>
      </c>
      <c r="M987" s="26"/>
    </row>
    <row r="988" spans="1:13" x14ac:dyDescent="0.25">
      <c r="A988" s="6">
        <v>1.37864154501976E+17</v>
      </c>
      <c r="B988" s="31" t="s">
        <v>210</v>
      </c>
      <c r="C988" s="32" t="str">
        <f t="shared" si="30"/>
        <v>Mar</v>
      </c>
      <c r="D988" s="3" t="s">
        <v>16</v>
      </c>
      <c r="E988" s="6">
        <v>110008</v>
      </c>
      <c r="F988" s="6">
        <v>7117</v>
      </c>
      <c r="G988" s="6">
        <v>3</v>
      </c>
      <c r="H988" s="6">
        <v>136.8932039</v>
      </c>
      <c r="I988" s="6">
        <v>4</v>
      </c>
      <c r="J988" s="6">
        <v>141</v>
      </c>
      <c r="K988" s="6">
        <v>33.009708740000001</v>
      </c>
      <c r="L988" s="3" t="s">
        <v>10</v>
      </c>
      <c r="M988" s="26"/>
    </row>
    <row r="989" spans="1:13" x14ac:dyDescent="0.25">
      <c r="A989" s="6">
        <v>1.3446544787380899E+17</v>
      </c>
      <c r="B989" s="31" t="s">
        <v>219</v>
      </c>
      <c r="C989" s="32" t="str">
        <f t="shared" si="30"/>
        <v>Mar</v>
      </c>
      <c r="D989" s="3" t="s">
        <v>16</v>
      </c>
      <c r="E989" s="6">
        <v>144022</v>
      </c>
      <c r="F989" s="6">
        <v>7117</v>
      </c>
      <c r="G989" s="6">
        <v>3</v>
      </c>
      <c r="H989" s="6">
        <v>152.42718450000001</v>
      </c>
      <c r="I989" s="6">
        <v>4</v>
      </c>
      <c r="J989" s="6">
        <v>157</v>
      </c>
      <c r="K989" s="6">
        <v>52.42718447</v>
      </c>
      <c r="L989" s="3" t="s">
        <v>19</v>
      </c>
      <c r="M989" s="26"/>
    </row>
    <row r="990" spans="1:13" x14ac:dyDescent="0.25">
      <c r="A990" s="6">
        <v>1.34316696432738E+17</v>
      </c>
      <c r="B990" s="31" t="s">
        <v>224</v>
      </c>
      <c r="C990" s="32" t="str">
        <f t="shared" si="30"/>
        <v>Mar</v>
      </c>
      <c r="D990" s="3" t="s">
        <v>16</v>
      </c>
      <c r="E990" s="6">
        <v>700032</v>
      </c>
      <c r="F990" s="6">
        <v>7117</v>
      </c>
      <c r="G990" s="6">
        <v>3</v>
      </c>
      <c r="H990" s="6">
        <v>151.45631069999999</v>
      </c>
      <c r="I990" s="6">
        <v>4</v>
      </c>
      <c r="J990" s="6">
        <v>156</v>
      </c>
      <c r="K990" s="6">
        <v>37.86407767</v>
      </c>
      <c r="L990" s="3" t="s">
        <v>14</v>
      </c>
      <c r="M990" s="26"/>
    </row>
    <row r="991" spans="1:13" x14ac:dyDescent="0.25">
      <c r="A991" s="6">
        <v>1.3637979408108899E+17</v>
      </c>
      <c r="B991" s="31" t="s">
        <v>226</v>
      </c>
      <c r="C991" s="32" t="str">
        <f t="shared" si="30"/>
        <v>Mar</v>
      </c>
      <c r="D991" s="3" t="s">
        <v>25</v>
      </c>
      <c r="E991" s="6">
        <v>700041</v>
      </c>
      <c r="F991" s="6">
        <v>7117</v>
      </c>
      <c r="G991" s="6">
        <v>3</v>
      </c>
      <c r="H991" s="6">
        <v>161.16504850000001</v>
      </c>
      <c r="I991" s="6">
        <v>4</v>
      </c>
      <c r="J991" s="6">
        <v>166</v>
      </c>
      <c r="K991" s="6">
        <v>49.514563109999997</v>
      </c>
      <c r="L991" s="3" t="s">
        <v>26</v>
      </c>
      <c r="M991" s="26"/>
    </row>
    <row r="992" spans="1:13" x14ac:dyDescent="0.25">
      <c r="A992" s="6">
        <v>1.36793855805524E+17</v>
      </c>
      <c r="B992" s="31" t="s">
        <v>217</v>
      </c>
      <c r="C992" s="32" t="str">
        <f t="shared" si="30"/>
        <v>Mar</v>
      </c>
      <c r="D992" s="3" t="s">
        <v>25</v>
      </c>
      <c r="E992" s="6">
        <v>201102</v>
      </c>
      <c r="F992" s="6">
        <v>7117</v>
      </c>
      <c r="G992" s="6">
        <v>3</v>
      </c>
      <c r="H992" s="6">
        <v>115.53398060000001</v>
      </c>
      <c r="I992" s="6">
        <v>3</v>
      </c>
      <c r="J992" s="6">
        <v>119</v>
      </c>
      <c r="K992" s="6">
        <v>53.398058249999998</v>
      </c>
      <c r="L992" s="3" t="s">
        <v>41</v>
      </c>
      <c r="M992" s="26"/>
    </row>
    <row r="993" spans="1:13" x14ac:dyDescent="0.25">
      <c r="A993" s="6">
        <v>1.28450822384452E+17</v>
      </c>
      <c r="B993" s="31" t="s">
        <v>229</v>
      </c>
      <c r="C993" s="32" t="str">
        <f t="shared" si="30"/>
        <v>Mar</v>
      </c>
      <c r="D993" s="3" t="s">
        <v>33</v>
      </c>
      <c r="E993" s="6">
        <v>824203</v>
      </c>
      <c r="F993" s="6">
        <v>7117</v>
      </c>
      <c r="G993" s="6">
        <v>3</v>
      </c>
      <c r="H993" s="6">
        <v>168.93203879999999</v>
      </c>
      <c r="I993" s="6">
        <v>5</v>
      </c>
      <c r="J993" s="6">
        <v>174</v>
      </c>
      <c r="K993" s="6">
        <v>47.57281553</v>
      </c>
      <c r="L993" s="3" t="s">
        <v>10</v>
      </c>
      <c r="M993" s="26"/>
    </row>
    <row r="994" spans="1:13" x14ac:dyDescent="0.25">
      <c r="A994" s="6">
        <v>1.2839130518850099E+17</v>
      </c>
      <c r="B994" s="31" t="s">
        <v>229</v>
      </c>
      <c r="C994" s="32" t="str">
        <f t="shared" si="30"/>
        <v>Mar</v>
      </c>
      <c r="D994" s="3" t="s">
        <v>33</v>
      </c>
      <c r="E994" s="6">
        <v>786001</v>
      </c>
      <c r="F994" s="6">
        <v>7117</v>
      </c>
      <c r="G994" s="6">
        <v>3</v>
      </c>
      <c r="H994" s="6">
        <v>176.69902909999999</v>
      </c>
      <c r="I994" s="6">
        <v>5</v>
      </c>
      <c r="J994" s="6">
        <v>182</v>
      </c>
      <c r="K994" s="6">
        <v>55.339805830000003</v>
      </c>
      <c r="L994" s="3" t="s">
        <v>41</v>
      </c>
      <c r="M994" s="26"/>
    </row>
    <row r="995" spans="1:13" x14ac:dyDescent="0.25">
      <c r="A995" s="6">
        <v>1.37508798074882E+17</v>
      </c>
      <c r="B995" s="31" t="s">
        <v>232</v>
      </c>
      <c r="C995" s="32" t="str">
        <f t="shared" si="30"/>
        <v>Mar</v>
      </c>
      <c r="D995" s="3" t="s">
        <v>16</v>
      </c>
      <c r="E995" s="6">
        <v>825313</v>
      </c>
      <c r="F995" s="6">
        <v>7117</v>
      </c>
      <c r="G995" s="6">
        <v>3</v>
      </c>
      <c r="H995" s="6">
        <v>173.78640780000001</v>
      </c>
      <c r="I995" s="6">
        <v>5</v>
      </c>
      <c r="J995" s="6">
        <v>179</v>
      </c>
      <c r="K995" s="6">
        <v>52.42718447</v>
      </c>
      <c r="L995" s="3" t="s">
        <v>23</v>
      </c>
      <c r="M995" s="26"/>
    </row>
    <row r="996" spans="1:13" x14ac:dyDescent="0.25">
      <c r="A996" s="6">
        <v>1.28400603775992E+17</v>
      </c>
      <c r="B996" s="31" t="s">
        <v>229</v>
      </c>
      <c r="C996" s="32" t="str">
        <f t="shared" si="30"/>
        <v>Mar</v>
      </c>
      <c r="D996" s="3" t="s">
        <v>9</v>
      </c>
      <c r="E996" s="6">
        <v>506002</v>
      </c>
      <c r="F996" s="6">
        <v>7117</v>
      </c>
      <c r="G996" s="6">
        <v>3</v>
      </c>
      <c r="H996" s="6">
        <v>144.66019420000001</v>
      </c>
      <c r="I996" s="6">
        <v>4</v>
      </c>
      <c r="J996" s="6">
        <v>149</v>
      </c>
      <c r="K996" s="6">
        <v>40.776699030000003</v>
      </c>
      <c r="L996" s="3" t="s">
        <v>26</v>
      </c>
      <c r="M996" s="26"/>
    </row>
    <row r="997" spans="1:13" x14ac:dyDescent="0.25">
      <c r="A997" s="6">
        <v>1.28004777821146E+17</v>
      </c>
      <c r="B997" s="31" t="s">
        <v>235</v>
      </c>
      <c r="C997" s="32" t="str">
        <f t="shared" si="30"/>
        <v>Mar</v>
      </c>
      <c r="D997" s="3" t="s">
        <v>25</v>
      </c>
      <c r="E997" s="6">
        <v>400101</v>
      </c>
      <c r="F997" s="6">
        <v>7117</v>
      </c>
      <c r="G997" s="6">
        <v>3</v>
      </c>
      <c r="H997" s="6">
        <v>197.08737859999999</v>
      </c>
      <c r="I997" s="6">
        <v>5</v>
      </c>
      <c r="J997" s="6">
        <v>203</v>
      </c>
      <c r="K997" s="6">
        <v>56.310679610000001</v>
      </c>
      <c r="L997" s="3" t="s">
        <v>26</v>
      </c>
      <c r="M997" s="26"/>
    </row>
    <row r="998" spans="1:13" x14ac:dyDescent="0.25">
      <c r="A998" s="6">
        <v>1.2914728837864E+17</v>
      </c>
      <c r="B998" s="31" t="s">
        <v>237</v>
      </c>
      <c r="C998" s="32" t="str">
        <f t="shared" si="30"/>
        <v>Mar</v>
      </c>
      <c r="D998" s="3" t="s">
        <v>25</v>
      </c>
      <c r="E998" s="6">
        <v>144211</v>
      </c>
      <c r="F998" s="6">
        <v>7117</v>
      </c>
      <c r="G998" s="6">
        <v>3</v>
      </c>
      <c r="H998" s="6">
        <v>169.90291260000001</v>
      </c>
      <c r="I998" s="6">
        <v>5</v>
      </c>
      <c r="J998" s="6">
        <v>175</v>
      </c>
      <c r="K998" s="6">
        <v>51.456310680000001</v>
      </c>
      <c r="L998" s="3" t="s">
        <v>46</v>
      </c>
      <c r="M998" s="26"/>
    </row>
    <row r="999" spans="1:13" x14ac:dyDescent="0.25">
      <c r="A999" s="6">
        <v>1.33776265018936E+17</v>
      </c>
      <c r="B999" s="31" t="s">
        <v>239</v>
      </c>
      <c r="C999" s="32" t="str">
        <f t="shared" si="30"/>
        <v>Mar</v>
      </c>
      <c r="D999" s="3" t="s">
        <v>33</v>
      </c>
      <c r="E999" s="6">
        <v>843119</v>
      </c>
      <c r="F999" s="6">
        <v>7117</v>
      </c>
      <c r="G999" s="6">
        <v>3</v>
      </c>
      <c r="H999" s="6">
        <v>258.2524272</v>
      </c>
      <c r="I999" s="6">
        <v>7</v>
      </c>
      <c r="J999" s="6">
        <v>266</v>
      </c>
      <c r="K999" s="6">
        <v>70.873786409999994</v>
      </c>
      <c r="L999" s="3" t="s">
        <v>966</v>
      </c>
      <c r="M999" s="26"/>
    </row>
    <row r="1000" spans="1:13" x14ac:dyDescent="0.25">
      <c r="A1000" s="6">
        <v>1.2927879124779699E+17</v>
      </c>
      <c r="B1000" s="31" t="s">
        <v>237</v>
      </c>
      <c r="C1000" s="32" t="str">
        <f t="shared" si="30"/>
        <v>Mar</v>
      </c>
      <c r="D1000" s="3" t="s">
        <v>16</v>
      </c>
      <c r="E1000" s="6">
        <v>174001</v>
      </c>
      <c r="F1000" s="6">
        <v>7117</v>
      </c>
      <c r="G1000" s="6">
        <v>3</v>
      </c>
      <c r="H1000" s="6">
        <v>177.66990290000001</v>
      </c>
      <c r="I1000" s="6">
        <v>5</v>
      </c>
      <c r="J1000" s="6">
        <v>183</v>
      </c>
      <c r="K1000" s="6">
        <v>56.310679610000001</v>
      </c>
      <c r="L1000" s="3" t="s">
        <v>39</v>
      </c>
      <c r="M1000" s="26"/>
    </row>
    <row r="1001" spans="1:13" x14ac:dyDescent="0.25">
      <c r="A1001" s="6">
        <v>1.36742009053684E+17</v>
      </c>
      <c r="B1001" s="31" t="s">
        <v>217</v>
      </c>
      <c r="C1001" s="32" t="str">
        <f t="shared" si="30"/>
        <v>Mar</v>
      </c>
      <c r="D1001" s="3" t="s">
        <v>25</v>
      </c>
      <c r="E1001" s="6">
        <v>202002</v>
      </c>
      <c r="F1001" s="6">
        <v>7117</v>
      </c>
      <c r="G1001" s="6">
        <v>3</v>
      </c>
      <c r="H1001" s="6">
        <v>193.20388349999999</v>
      </c>
      <c r="I1001" s="6">
        <v>5</v>
      </c>
      <c r="J1001" s="6">
        <v>199</v>
      </c>
      <c r="K1001" s="6">
        <v>52.42718447</v>
      </c>
      <c r="L1001" s="3" t="s">
        <v>41</v>
      </c>
      <c r="M1001" s="26"/>
    </row>
    <row r="1002" spans="1:13" x14ac:dyDescent="0.25">
      <c r="A1002" s="6">
        <v>1.3436616063520099E+17</v>
      </c>
      <c r="B1002" s="31" t="s">
        <v>219</v>
      </c>
      <c r="C1002" s="32" t="str">
        <f t="shared" si="30"/>
        <v>Mar</v>
      </c>
      <c r="D1002" s="3" t="s">
        <v>33</v>
      </c>
      <c r="E1002" s="6">
        <v>151001</v>
      </c>
      <c r="F1002" s="6">
        <v>7117</v>
      </c>
      <c r="G1002" s="6">
        <v>3</v>
      </c>
      <c r="H1002" s="6">
        <v>129.1262136</v>
      </c>
      <c r="I1002" s="6">
        <v>3</v>
      </c>
      <c r="J1002" s="6">
        <v>133</v>
      </c>
      <c r="K1002" s="6">
        <v>37.86407767</v>
      </c>
      <c r="L1002" s="3" t="s">
        <v>37</v>
      </c>
      <c r="M1002" s="26"/>
    </row>
    <row r="1003" spans="1:13" x14ac:dyDescent="0.25">
      <c r="A1003" s="6">
        <v>1.35399505901552E+17</v>
      </c>
      <c r="B1003" s="31" t="s">
        <v>244</v>
      </c>
      <c r="C1003" s="32" t="str">
        <f t="shared" si="30"/>
        <v>Mar</v>
      </c>
      <c r="D1003" s="3" t="s">
        <v>9</v>
      </c>
      <c r="E1003" s="6">
        <v>301701</v>
      </c>
      <c r="F1003" s="6">
        <v>7117</v>
      </c>
      <c r="G1003" s="6">
        <v>3</v>
      </c>
      <c r="H1003" s="6">
        <v>137.8640777</v>
      </c>
      <c r="I1003" s="6">
        <v>4</v>
      </c>
      <c r="J1003" s="6">
        <v>142</v>
      </c>
      <c r="K1003" s="6">
        <v>45.631067960000003</v>
      </c>
      <c r="L1003" s="3" t="s">
        <v>28</v>
      </c>
      <c r="M1003" s="26"/>
    </row>
    <row r="1004" spans="1:13" x14ac:dyDescent="0.25">
      <c r="A1004" s="6">
        <v>1.3176444546125E+17</v>
      </c>
      <c r="B1004" s="31" t="s">
        <v>246</v>
      </c>
      <c r="C1004" s="32" t="str">
        <f t="shared" si="30"/>
        <v>Mar</v>
      </c>
      <c r="D1004" s="3" t="s">
        <v>9</v>
      </c>
      <c r="E1004" s="6">
        <v>415604</v>
      </c>
      <c r="F1004" s="6">
        <v>7117</v>
      </c>
      <c r="G1004" s="6">
        <v>3</v>
      </c>
      <c r="H1004" s="6">
        <v>134.95145629999999</v>
      </c>
      <c r="I1004" s="6">
        <v>4</v>
      </c>
      <c r="J1004" s="6">
        <v>139</v>
      </c>
      <c r="K1004" s="6">
        <v>55.339805830000003</v>
      </c>
      <c r="L1004" s="3" t="s">
        <v>19</v>
      </c>
      <c r="M1004" s="26"/>
    </row>
    <row r="1005" spans="1:13" x14ac:dyDescent="0.25">
      <c r="A1005" s="6">
        <v>1.3288239961201101E+17</v>
      </c>
      <c r="B1005" s="31" t="s">
        <v>248</v>
      </c>
      <c r="C1005" s="32" t="str">
        <f t="shared" si="30"/>
        <v>Mar</v>
      </c>
      <c r="D1005" s="3" t="s">
        <v>25</v>
      </c>
      <c r="E1005" s="6">
        <v>221010</v>
      </c>
      <c r="F1005" s="6">
        <v>7117</v>
      </c>
      <c r="G1005" s="6">
        <v>3</v>
      </c>
      <c r="H1005" s="6">
        <v>184.46601939999999</v>
      </c>
      <c r="I1005" s="6">
        <v>5</v>
      </c>
      <c r="J1005" s="6">
        <v>190</v>
      </c>
      <c r="K1005" s="6">
        <v>70.873786409999994</v>
      </c>
      <c r="L1005" s="3" t="s">
        <v>196</v>
      </c>
      <c r="M1005" s="26"/>
    </row>
    <row r="1006" spans="1:13" x14ac:dyDescent="0.25">
      <c r="A1006" s="6">
        <v>1.3822856918352E+17</v>
      </c>
      <c r="B1006" s="31" t="s">
        <v>201</v>
      </c>
      <c r="C1006" s="32" t="str">
        <f t="shared" si="30"/>
        <v>Mar</v>
      </c>
      <c r="D1006" s="3" t="s">
        <v>9</v>
      </c>
      <c r="E1006" s="6">
        <v>570031</v>
      </c>
      <c r="F1006" s="6">
        <v>7117</v>
      </c>
      <c r="G1006" s="6">
        <v>3</v>
      </c>
      <c r="H1006" s="6">
        <v>166.0194175</v>
      </c>
      <c r="I1006" s="6">
        <v>4</v>
      </c>
      <c r="J1006" s="6">
        <v>171</v>
      </c>
      <c r="K1006" s="6">
        <v>44.660194169999997</v>
      </c>
      <c r="L1006" s="3" t="s">
        <v>46</v>
      </c>
      <c r="M1006" s="26"/>
    </row>
    <row r="1007" spans="1:13" x14ac:dyDescent="0.25">
      <c r="A1007" s="6">
        <v>1.28178162428438E+17</v>
      </c>
      <c r="B1007" s="31" t="s">
        <v>235</v>
      </c>
      <c r="C1007" s="32" t="str">
        <f t="shared" si="30"/>
        <v>Mar</v>
      </c>
      <c r="D1007" s="3" t="s">
        <v>21</v>
      </c>
      <c r="E1007" s="6">
        <v>140307</v>
      </c>
      <c r="F1007" s="6">
        <v>7117</v>
      </c>
      <c r="G1007" s="6">
        <v>3</v>
      </c>
      <c r="H1007" s="6">
        <v>166.9902913</v>
      </c>
      <c r="I1007" s="6">
        <v>5</v>
      </c>
      <c r="J1007" s="6">
        <v>172</v>
      </c>
      <c r="K1007" s="6">
        <v>55.339805830000003</v>
      </c>
      <c r="L1007" s="3" t="s">
        <v>53</v>
      </c>
      <c r="M1007" s="26"/>
    </row>
    <row r="1008" spans="1:13" x14ac:dyDescent="0.25">
      <c r="A1008" s="6">
        <v>1.3054239637841699E+17</v>
      </c>
      <c r="B1008" s="31" t="s">
        <v>252</v>
      </c>
      <c r="C1008" s="32" t="str">
        <f t="shared" si="30"/>
        <v>Mar</v>
      </c>
      <c r="D1008" s="3" t="s">
        <v>9</v>
      </c>
      <c r="E1008" s="6">
        <v>263153</v>
      </c>
      <c r="F1008" s="6">
        <v>7117</v>
      </c>
      <c r="G1008" s="6">
        <v>3</v>
      </c>
      <c r="H1008" s="6">
        <v>158.2524272</v>
      </c>
      <c r="I1008" s="6">
        <v>4</v>
      </c>
      <c r="J1008" s="6">
        <v>163</v>
      </c>
      <c r="K1008" s="6">
        <v>55.339805830000003</v>
      </c>
      <c r="L1008" s="3" t="s">
        <v>37</v>
      </c>
      <c r="M1008" s="26"/>
    </row>
    <row r="1009" spans="1:13" x14ac:dyDescent="0.25">
      <c r="A1009" s="6">
        <v>1.3597851227131901E+17</v>
      </c>
      <c r="B1009" s="31" t="s">
        <v>205</v>
      </c>
      <c r="C1009" s="32" t="str">
        <f t="shared" si="30"/>
        <v>Mar</v>
      </c>
      <c r="D1009" s="3" t="s">
        <v>16</v>
      </c>
      <c r="E1009" s="6">
        <v>700041</v>
      </c>
      <c r="F1009" s="6">
        <v>7117</v>
      </c>
      <c r="G1009" s="6">
        <v>3</v>
      </c>
      <c r="H1009" s="6">
        <v>168.93203879999999</v>
      </c>
      <c r="I1009" s="6">
        <v>5</v>
      </c>
      <c r="J1009" s="6">
        <v>174</v>
      </c>
      <c r="K1009" s="6">
        <v>47.57281553</v>
      </c>
      <c r="L1009" s="3" t="s">
        <v>46</v>
      </c>
      <c r="M1009" s="26"/>
    </row>
    <row r="1010" spans="1:13" x14ac:dyDescent="0.25">
      <c r="A1010" s="6">
        <v>1.3174365076200099E+17</v>
      </c>
      <c r="B1010" s="31" t="s">
        <v>246</v>
      </c>
      <c r="C1010" s="32" t="str">
        <f t="shared" si="30"/>
        <v>Mar</v>
      </c>
      <c r="D1010" s="3" t="s">
        <v>9</v>
      </c>
      <c r="E1010" s="6">
        <v>515201</v>
      </c>
      <c r="F1010" s="6">
        <v>7117</v>
      </c>
      <c r="G1010" s="6">
        <v>3</v>
      </c>
      <c r="H1010" s="6">
        <v>139.80582519999999</v>
      </c>
      <c r="I1010" s="6">
        <v>4</v>
      </c>
      <c r="J1010" s="6">
        <v>144</v>
      </c>
      <c r="K1010" s="6">
        <v>35.922330100000003</v>
      </c>
      <c r="L1010" s="3" t="s">
        <v>37</v>
      </c>
      <c r="M1010" s="26"/>
    </row>
    <row r="1011" spans="1:13" x14ac:dyDescent="0.25">
      <c r="A1011" s="6">
        <v>1.2817550771929101E+17</v>
      </c>
      <c r="B1011" s="31" t="s">
        <v>235</v>
      </c>
      <c r="C1011" s="32" t="str">
        <f t="shared" si="30"/>
        <v>Mar</v>
      </c>
      <c r="D1011" s="3" t="s">
        <v>9</v>
      </c>
      <c r="E1011" s="6">
        <v>821301</v>
      </c>
      <c r="F1011" s="6">
        <v>7117</v>
      </c>
      <c r="G1011" s="6">
        <v>3</v>
      </c>
      <c r="H1011" s="6">
        <v>166.9902913</v>
      </c>
      <c r="I1011" s="6">
        <v>5</v>
      </c>
      <c r="J1011" s="6">
        <v>172</v>
      </c>
      <c r="K1011" s="6">
        <v>45.631067960000003</v>
      </c>
      <c r="L1011" s="3" t="s">
        <v>10</v>
      </c>
      <c r="M1011" s="26"/>
    </row>
    <row r="1012" spans="1:13" x14ac:dyDescent="0.25">
      <c r="A1012" s="6">
        <v>1.3091682174130899E+17</v>
      </c>
      <c r="B1012" s="31" t="s">
        <v>207</v>
      </c>
      <c r="C1012" s="32" t="str">
        <f t="shared" si="30"/>
        <v>Mar</v>
      </c>
      <c r="D1012" s="3" t="s">
        <v>25</v>
      </c>
      <c r="E1012" s="6">
        <v>140603</v>
      </c>
      <c r="F1012" s="6">
        <v>7117</v>
      </c>
      <c r="G1012" s="6">
        <v>3</v>
      </c>
      <c r="H1012" s="6">
        <v>145.631068</v>
      </c>
      <c r="I1012" s="6">
        <v>4</v>
      </c>
      <c r="J1012" s="6">
        <v>150</v>
      </c>
      <c r="K1012" s="6">
        <v>41.747572820000002</v>
      </c>
      <c r="L1012" s="3" t="s">
        <v>27</v>
      </c>
      <c r="M1012" s="26"/>
    </row>
    <row r="1013" spans="1:13" x14ac:dyDescent="0.25">
      <c r="A1013" s="6">
        <v>1.30687405431E+17</v>
      </c>
      <c r="B1013" s="31" t="s">
        <v>252</v>
      </c>
      <c r="C1013" s="32" t="str">
        <f t="shared" si="30"/>
        <v>Mar</v>
      </c>
      <c r="D1013" s="3" t="s">
        <v>25</v>
      </c>
      <c r="E1013" s="6">
        <v>283111</v>
      </c>
      <c r="F1013" s="6">
        <v>7117</v>
      </c>
      <c r="G1013" s="6">
        <v>3</v>
      </c>
      <c r="H1013" s="6">
        <v>167.96116499999999</v>
      </c>
      <c r="I1013" s="6">
        <v>5</v>
      </c>
      <c r="J1013" s="6">
        <v>173</v>
      </c>
      <c r="K1013" s="6">
        <v>46.601941750000002</v>
      </c>
      <c r="L1013" s="3" t="s">
        <v>46</v>
      </c>
      <c r="M1013" s="26"/>
    </row>
    <row r="1014" spans="1:13" x14ac:dyDescent="0.25">
      <c r="A1014" s="6">
        <v>1.33067369105754E+17</v>
      </c>
      <c r="B1014" s="31" t="s">
        <v>259</v>
      </c>
      <c r="C1014" s="32" t="str">
        <f t="shared" si="30"/>
        <v>Mar</v>
      </c>
      <c r="D1014" s="3" t="s">
        <v>52</v>
      </c>
      <c r="E1014" s="6">
        <v>110020</v>
      </c>
      <c r="F1014" s="6">
        <v>7117</v>
      </c>
      <c r="G1014" s="6">
        <v>3</v>
      </c>
      <c r="H1014" s="6">
        <v>154.368932</v>
      </c>
      <c r="I1014" s="6">
        <v>4</v>
      </c>
      <c r="J1014" s="6">
        <v>159</v>
      </c>
      <c r="K1014" s="6">
        <v>37.86407767</v>
      </c>
      <c r="L1014" s="3" t="s">
        <v>63</v>
      </c>
      <c r="M1014" s="26"/>
    </row>
    <row r="1015" spans="1:13" x14ac:dyDescent="0.25">
      <c r="A1015" s="6">
        <v>1.3751462643398499E+17</v>
      </c>
      <c r="B1015" s="31" t="s">
        <v>232</v>
      </c>
      <c r="C1015" s="32" t="str">
        <f t="shared" si="30"/>
        <v>Mar</v>
      </c>
      <c r="D1015" s="3" t="s">
        <v>25</v>
      </c>
      <c r="E1015" s="6">
        <v>843146</v>
      </c>
      <c r="F1015" s="6">
        <v>7117</v>
      </c>
      <c r="G1015" s="6">
        <v>3</v>
      </c>
      <c r="H1015" s="6">
        <v>166.0194175</v>
      </c>
      <c r="I1015" s="6">
        <v>4</v>
      </c>
      <c r="J1015" s="6">
        <v>171</v>
      </c>
      <c r="K1015" s="6">
        <v>44.660194169999997</v>
      </c>
      <c r="L1015" s="3" t="s">
        <v>22</v>
      </c>
      <c r="M1015" s="26"/>
    </row>
    <row r="1016" spans="1:13" x14ac:dyDescent="0.25">
      <c r="A1016" s="6">
        <v>1.3318822261712899E+17</v>
      </c>
      <c r="B1016" s="31" t="s">
        <v>259</v>
      </c>
      <c r="C1016" s="32" t="str">
        <f t="shared" si="30"/>
        <v>Mar</v>
      </c>
      <c r="D1016" s="3" t="s">
        <v>9</v>
      </c>
      <c r="E1016" s="6">
        <v>743355</v>
      </c>
      <c r="F1016" s="6">
        <v>7117</v>
      </c>
      <c r="G1016" s="6">
        <v>3</v>
      </c>
      <c r="H1016" s="6">
        <v>225.2427184</v>
      </c>
      <c r="I1016" s="6">
        <v>6</v>
      </c>
      <c r="J1016" s="6">
        <v>232</v>
      </c>
      <c r="K1016" s="6">
        <v>37.86407767</v>
      </c>
      <c r="L1016" s="3" t="s">
        <v>17</v>
      </c>
      <c r="M1016" s="26"/>
    </row>
    <row r="1017" spans="1:13" x14ac:dyDescent="0.25">
      <c r="A1017" s="6">
        <v>1.34853942260762E+17</v>
      </c>
      <c r="B1017" s="31" t="s">
        <v>215</v>
      </c>
      <c r="C1017" s="32" t="str">
        <f t="shared" si="30"/>
        <v>Mar</v>
      </c>
      <c r="D1017" s="3" t="s">
        <v>25</v>
      </c>
      <c r="E1017" s="6">
        <v>509376</v>
      </c>
      <c r="F1017" s="6">
        <v>7117</v>
      </c>
      <c r="G1017" s="6">
        <v>3</v>
      </c>
      <c r="H1017" s="6">
        <v>152.42718450000001</v>
      </c>
      <c r="I1017" s="6">
        <v>4</v>
      </c>
      <c r="J1017" s="6">
        <v>157</v>
      </c>
      <c r="K1017" s="6">
        <v>52.42718447</v>
      </c>
      <c r="L1017" s="3" t="s">
        <v>19</v>
      </c>
      <c r="M1017" s="26"/>
    </row>
    <row r="1018" spans="1:13" x14ac:dyDescent="0.25">
      <c r="A1018" s="6">
        <v>1.3529548649641E+17</v>
      </c>
      <c r="B1018" s="31" t="s">
        <v>244</v>
      </c>
      <c r="C1018" s="32" t="str">
        <f t="shared" si="30"/>
        <v>Mar</v>
      </c>
      <c r="D1018" s="3" t="s">
        <v>25</v>
      </c>
      <c r="E1018" s="6">
        <v>110043</v>
      </c>
      <c r="F1018" s="6">
        <v>7117</v>
      </c>
      <c r="G1018" s="6">
        <v>3</v>
      </c>
      <c r="H1018" s="6">
        <v>181.55339810000001</v>
      </c>
      <c r="I1018" s="6">
        <v>5</v>
      </c>
      <c r="J1018" s="6">
        <v>187</v>
      </c>
      <c r="K1018" s="6">
        <v>45.631067960000003</v>
      </c>
      <c r="L1018" s="3" t="s">
        <v>17</v>
      </c>
      <c r="M1018" s="26"/>
    </row>
    <row r="1019" spans="1:13" x14ac:dyDescent="0.25">
      <c r="A1019" s="6">
        <v>1.3508155013952301E+17</v>
      </c>
      <c r="B1019" s="31" t="s">
        <v>215</v>
      </c>
      <c r="C1019" s="32" t="str">
        <f t="shared" si="30"/>
        <v>Mar</v>
      </c>
      <c r="D1019" s="3" t="s">
        <v>25</v>
      </c>
      <c r="E1019" s="6">
        <v>743165</v>
      </c>
      <c r="F1019" s="6">
        <v>7117</v>
      </c>
      <c r="G1019" s="6">
        <v>3</v>
      </c>
      <c r="H1019" s="6">
        <v>87.378640799999999</v>
      </c>
      <c r="I1019" s="6">
        <v>2</v>
      </c>
      <c r="J1019" s="6">
        <v>90</v>
      </c>
      <c r="K1019" s="6">
        <v>41.747572820000002</v>
      </c>
      <c r="L1019" s="3" t="s">
        <v>98</v>
      </c>
      <c r="M1019" s="26"/>
    </row>
    <row r="1020" spans="1:13" x14ac:dyDescent="0.25">
      <c r="A1020" s="6">
        <v>1.2825504811866499E+17</v>
      </c>
      <c r="B1020" s="31" t="s">
        <v>229</v>
      </c>
      <c r="C1020" s="32" t="str">
        <f t="shared" si="30"/>
        <v>Mar</v>
      </c>
      <c r="D1020" s="3" t="s">
        <v>25</v>
      </c>
      <c r="E1020" s="6">
        <v>852137</v>
      </c>
      <c r="F1020" s="6">
        <v>7117</v>
      </c>
      <c r="G1020" s="6">
        <v>3</v>
      </c>
      <c r="H1020" s="6">
        <v>166.9902913</v>
      </c>
      <c r="I1020" s="6">
        <v>5</v>
      </c>
      <c r="J1020" s="6">
        <v>172</v>
      </c>
      <c r="K1020" s="6">
        <v>48.543689319999999</v>
      </c>
      <c r="L1020" s="3" t="s">
        <v>49</v>
      </c>
      <c r="M1020" s="26"/>
    </row>
    <row r="1021" spans="1:13" x14ac:dyDescent="0.25">
      <c r="A1021" s="6">
        <v>1.29857906602482E+17</v>
      </c>
      <c r="B1021" s="31" t="s">
        <v>267</v>
      </c>
      <c r="C1021" s="32" t="str">
        <f t="shared" si="30"/>
        <v>Mar</v>
      </c>
      <c r="D1021" s="3" t="s">
        <v>9</v>
      </c>
      <c r="E1021" s="6">
        <v>762010</v>
      </c>
      <c r="F1021" s="6">
        <v>7117</v>
      </c>
      <c r="G1021" s="6">
        <v>3</v>
      </c>
      <c r="H1021" s="6">
        <v>170.8737864</v>
      </c>
      <c r="I1021" s="6">
        <v>5</v>
      </c>
      <c r="J1021" s="6">
        <v>176</v>
      </c>
      <c r="K1021" s="6">
        <v>49.514563109999997</v>
      </c>
      <c r="L1021" s="3" t="s">
        <v>10</v>
      </c>
      <c r="M1021" s="26"/>
    </row>
    <row r="1022" spans="1:13" x14ac:dyDescent="0.25">
      <c r="A1022" s="6">
        <v>1.37238308435104E+17</v>
      </c>
      <c r="B1022" s="31" t="s">
        <v>269</v>
      </c>
      <c r="C1022" s="32" t="str">
        <f t="shared" si="30"/>
        <v>Mar</v>
      </c>
      <c r="D1022" s="3" t="s">
        <v>9</v>
      </c>
      <c r="E1022" s="6">
        <v>276403</v>
      </c>
      <c r="F1022" s="6">
        <v>7117</v>
      </c>
      <c r="G1022" s="6">
        <v>3</v>
      </c>
      <c r="H1022" s="6">
        <v>192.2330097</v>
      </c>
      <c r="I1022" s="6">
        <v>5</v>
      </c>
      <c r="J1022" s="6">
        <v>198</v>
      </c>
      <c r="K1022" s="6">
        <v>70.873786409999994</v>
      </c>
      <c r="L1022" s="3" t="s">
        <v>35</v>
      </c>
      <c r="M1022" s="26"/>
    </row>
    <row r="1023" spans="1:13" x14ac:dyDescent="0.25">
      <c r="A1023" s="6">
        <v>1.3607715260836301E+17</v>
      </c>
      <c r="B1023" s="31" t="s">
        <v>205</v>
      </c>
      <c r="C1023" s="32" t="str">
        <f t="shared" si="30"/>
        <v>Mar</v>
      </c>
      <c r="D1023" s="3" t="s">
        <v>25</v>
      </c>
      <c r="E1023" s="6">
        <v>811302</v>
      </c>
      <c r="F1023" s="6">
        <v>7117</v>
      </c>
      <c r="G1023" s="6">
        <v>3</v>
      </c>
      <c r="H1023" s="6">
        <v>156.31067959999999</v>
      </c>
      <c r="I1023" s="6">
        <v>4</v>
      </c>
      <c r="J1023" s="6">
        <v>161</v>
      </c>
      <c r="K1023" s="6">
        <v>52.42718447</v>
      </c>
      <c r="L1023" s="3" t="s">
        <v>23</v>
      </c>
      <c r="M1023" s="26"/>
    </row>
    <row r="1024" spans="1:13" x14ac:dyDescent="0.25">
      <c r="A1024" s="6">
        <v>1.3528648214754701E+17</v>
      </c>
      <c r="B1024" s="31" t="s">
        <v>244</v>
      </c>
      <c r="C1024" s="32" t="str">
        <f t="shared" si="30"/>
        <v>Mar</v>
      </c>
      <c r="D1024" s="3" t="s">
        <v>33</v>
      </c>
      <c r="E1024" s="6">
        <v>805131</v>
      </c>
      <c r="F1024" s="6">
        <v>7117</v>
      </c>
      <c r="G1024" s="6">
        <v>3</v>
      </c>
      <c r="H1024" s="6">
        <v>152.42718450000001</v>
      </c>
      <c r="I1024" s="6">
        <v>4</v>
      </c>
      <c r="J1024" s="6">
        <v>157</v>
      </c>
      <c r="K1024" s="6">
        <v>52.42718447</v>
      </c>
      <c r="L1024" s="3" t="s">
        <v>19</v>
      </c>
      <c r="M1024" s="26"/>
    </row>
    <row r="1025" spans="1:13" x14ac:dyDescent="0.25">
      <c r="A1025" s="6">
        <v>1.3204362550968701E+17</v>
      </c>
      <c r="B1025" s="31" t="s">
        <v>203</v>
      </c>
      <c r="C1025" s="32" t="str">
        <f t="shared" si="30"/>
        <v>Mar</v>
      </c>
      <c r="D1025" s="3" t="s">
        <v>16</v>
      </c>
      <c r="E1025" s="6">
        <v>190007</v>
      </c>
      <c r="F1025" s="6">
        <v>7117</v>
      </c>
      <c r="G1025" s="6">
        <v>3</v>
      </c>
      <c r="H1025" s="6">
        <v>102.91262140000001</v>
      </c>
      <c r="I1025" s="6">
        <v>3</v>
      </c>
      <c r="J1025" s="6">
        <v>106</v>
      </c>
      <c r="K1025" s="6">
        <v>40.776699030000003</v>
      </c>
      <c r="L1025" s="3" t="s">
        <v>23</v>
      </c>
      <c r="M1025" s="26"/>
    </row>
    <row r="1026" spans="1:13" x14ac:dyDescent="0.25">
      <c r="A1026" s="6">
        <v>1.33643370718724E+17</v>
      </c>
      <c r="B1026" s="31" t="s">
        <v>239</v>
      </c>
      <c r="C1026" s="32" t="str">
        <f t="shared" si="30"/>
        <v>Mar</v>
      </c>
      <c r="D1026" s="3" t="s">
        <v>16</v>
      </c>
      <c r="E1026" s="6">
        <v>811213</v>
      </c>
      <c r="F1026" s="6">
        <v>7117</v>
      </c>
      <c r="G1026" s="6">
        <v>3</v>
      </c>
      <c r="H1026" s="6">
        <v>143.68932040000001</v>
      </c>
      <c r="I1026" s="6">
        <v>4</v>
      </c>
      <c r="J1026" s="6">
        <v>148</v>
      </c>
      <c r="K1026" s="6">
        <v>52.42718447</v>
      </c>
      <c r="L1026" s="3" t="s">
        <v>12</v>
      </c>
      <c r="M1026" s="26"/>
    </row>
    <row r="1027" spans="1:13" x14ac:dyDescent="0.25">
      <c r="A1027" s="6">
        <v>1.3354319085767901E+17</v>
      </c>
      <c r="B1027" s="31" t="s">
        <v>275</v>
      </c>
      <c r="C1027" s="32" t="str">
        <f t="shared" ref="C1027:C1090" si="32">TEXT(B1027, "mmm")</f>
        <v>Mar</v>
      </c>
      <c r="D1027" s="3" t="s">
        <v>16</v>
      </c>
      <c r="E1027" s="6">
        <v>229301</v>
      </c>
      <c r="F1027" s="6">
        <v>7117</v>
      </c>
      <c r="G1027" s="6">
        <v>3</v>
      </c>
      <c r="H1027" s="6">
        <v>135.92233010000001</v>
      </c>
      <c r="I1027" s="6">
        <v>4</v>
      </c>
      <c r="J1027" s="6">
        <v>140</v>
      </c>
      <c r="K1027" s="6">
        <v>37.86407767</v>
      </c>
      <c r="L1027" s="3" t="s">
        <v>26</v>
      </c>
      <c r="M1027" s="26"/>
    </row>
    <row r="1028" spans="1:13" x14ac:dyDescent="0.25">
      <c r="A1028" s="6">
        <v>1.3384560587653901E+17</v>
      </c>
      <c r="B1028" s="31" t="s">
        <v>239</v>
      </c>
      <c r="C1028" s="32" t="str">
        <f t="shared" si="32"/>
        <v>Mar</v>
      </c>
      <c r="D1028" s="3" t="s">
        <v>16</v>
      </c>
      <c r="E1028" s="6">
        <v>143521</v>
      </c>
      <c r="F1028" s="6">
        <v>7117</v>
      </c>
      <c r="G1028" s="6">
        <v>3</v>
      </c>
      <c r="H1028" s="6">
        <v>166.0194175</v>
      </c>
      <c r="I1028" s="6">
        <v>4</v>
      </c>
      <c r="J1028" s="6">
        <v>171</v>
      </c>
      <c r="K1028" s="6">
        <v>52.42718447</v>
      </c>
      <c r="L1028" s="3" t="s">
        <v>39</v>
      </c>
      <c r="M1028" s="26"/>
    </row>
    <row r="1029" spans="1:13" x14ac:dyDescent="0.25">
      <c r="A1029" s="6">
        <v>1.3206165097798099E+17</v>
      </c>
      <c r="B1029" s="31" t="s">
        <v>203</v>
      </c>
      <c r="C1029" s="32" t="str">
        <f t="shared" si="32"/>
        <v>Mar</v>
      </c>
      <c r="D1029" s="3" t="s">
        <v>25</v>
      </c>
      <c r="E1029" s="6">
        <v>572137</v>
      </c>
      <c r="F1029" s="6">
        <v>7117</v>
      </c>
      <c r="G1029" s="6">
        <v>3</v>
      </c>
      <c r="H1029" s="6">
        <v>150.4854369</v>
      </c>
      <c r="I1029" s="6">
        <v>4</v>
      </c>
      <c r="J1029" s="6">
        <v>155</v>
      </c>
      <c r="K1029" s="6">
        <v>47.57281553</v>
      </c>
      <c r="L1029" s="3" t="s">
        <v>10</v>
      </c>
      <c r="M1029" s="26"/>
    </row>
    <row r="1030" spans="1:13" x14ac:dyDescent="0.25">
      <c r="A1030" s="6">
        <v>1.3511404960320899E+17</v>
      </c>
      <c r="B1030" s="31" t="s">
        <v>244</v>
      </c>
      <c r="C1030" s="32" t="str">
        <f t="shared" si="32"/>
        <v>Mar</v>
      </c>
      <c r="D1030" s="3" t="s">
        <v>25</v>
      </c>
      <c r="E1030" s="6">
        <v>175027</v>
      </c>
      <c r="F1030" s="6">
        <v>7117</v>
      </c>
      <c r="G1030" s="6">
        <v>3</v>
      </c>
      <c r="H1030" s="6">
        <v>172.81553400000001</v>
      </c>
      <c r="I1030" s="6">
        <v>5</v>
      </c>
      <c r="J1030" s="6">
        <v>178</v>
      </c>
      <c r="K1030" s="6">
        <v>43.689320389999999</v>
      </c>
      <c r="L1030" s="3" t="s">
        <v>10</v>
      </c>
      <c r="M1030" s="26"/>
    </row>
    <row r="1031" spans="1:13" x14ac:dyDescent="0.25">
      <c r="A1031" s="6">
        <v>1.3099322678542301E+17</v>
      </c>
      <c r="B1031" s="31" t="s">
        <v>207</v>
      </c>
      <c r="C1031" s="32" t="str">
        <f t="shared" si="32"/>
        <v>Mar</v>
      </c>
      <c r="D1031" s="3" t="s">
        <v>9</v>
      </c>
      <c r="E1031" s="6">
        <v>825325</v>
      </c>
      <c r="F1031" s="6">
        <v>330410</v>
      </c>
      <c r="G1031" s="6">
        <v>18</v>
      </c>
      <c r="H1031" s="6">
        <v>230.5084746</v>
      </c>
      <c r="I1031" s="6">
        <v>41</v>
      </c>
      <c r="J1031" s="6">
        <v>272</v>
      </c>
      <c r="K1031" s="6">
        <v>45.762711860000003</v>
      </c>
      <c r="L1031" s="3" t="s">
        <v>28</v>
      </c>
      <c r="M1031" s="26"/>
    </row>
    <row r="1032" spans="1:13" x14ac:dyDescent="0.25">
      <c r="A1032" s="6">
        <v>1.32129228224104E+17</v>
      </c>
      <c r="B1032" s="31" t="s">
        <v>203</v>
      </c>
      <c r="C1032" s="32" t="str">
        <f t="shared" si="32"/>
        <v>Mar</v>
      </c>
      <c r="D1032" s="3" t="s">
        <v>25</v>
      </c>
      <c r="E1032" s="6">
        <v>301701</v>
      </c>
      <c r="F1032" s="6">
        <v>7117</v>
      </c>
      <c r="G1032" s="6">
        <v>3</v>
      </c>
      <c r="H1032" s="6">
        <v>177.66990290000001</v>
      </c>
      <c r="I1032" s="6">
        <v>5</v>
      </c>
      <c r="J1032" s="6">
        <v>183</v>
      </c>
      <c r="K1032" s="6">
        <v>56.310679610000001</v>
      </c>
      <c r="L1032" s="3" t="s">
        <v>22</v>
      </c>
      <c r="M1032" s="26"/>
    </row>
    <row r="1033" spans="1:13" x14ac:dyDescent="0.25">
      <c r="A1033" s="6">
        <v>1.30835549996352E+17</v>
      </c>
      <c r="B1033" s="31" t="s">
        <v>207</v>
      </c>
      <c r="C1033" s="32" t="str">
        <f t="shared" si="32"/>
        <v>Mar</v>
      </c>
      <c r="D1033" s="3" t="s">
        <v>9</v>
      </c>
      <c r="E1033" s="6">
        <v>853201</v>
      </c>
      <c r="F1033" s="6">
        <v>7117</v>
      </c>
      <c r="G1033" s="6">
        <v>3</v>
      </c>
      <c r="H1033" s="6">
        <v>274.7572816</v>
      </c>
      <c r="I1033" s="6">
        <v>8</v>
      </c>
      <c r="J1033" s="6">
        <v>283</v>
      </c>
      <c r="K1033" s="6">
        <v>56.310679610000001</v>
      </c>
      <c r="L1033" s="3" t="s">
        <v>37</v>
      </c>
      <c r="M1033" s="26"/>
    </row>
    <row r="1034" spans="1:13" x14ac:dyDescent="0.25">
      <c r="A1034" s="6">
        <v>1.36704413910438E+17</v>
      </c>
      <c r="B1034" s="31" t="s">
        <v>217</v>
      </c>
      <c r="C1034" s="32" t="str">
        <f t="shared" si="32"/>
        <v>Mar</v>
      </c>
      <c r="D1034" s="3" t="s">
        <v>25</v>
      </c>
      <c r="E1034" s="6">
        <v>843129</v>
      </c>
      <c r="F1034" s="6">
        <v>7117</v>
      </c>
      <c r="G1034" s="6">
        <v>3</v>
      </c>
      <c r="H1034" s="6">
        <v>149.5145631</v>
      </c>
      <c r="I1034" s="6">
        <v>4</v>
      </c>
      <c r="J1034" s="6">
        <v>154</v>
      </c>
      <c r="K1034" s="6">
        <v>52.42718447</v>
      </c>
      <c r="L1034" s="3" t="s">
        <v>37</v>
      </c>
      <c r="M1034" s="26"/>
    </row>
    <row r="1035" spans="1:13" x14ac:dyDescent="0.25">
      <c r="A1035" s="6">
        <v>1.2984992722496701E+17</v>
      </c>
      <c r="B1035" s="31" t="s">
        <v>267</v>
      </c>
      <c r="C1035" s="32" t="str">
        <f t="shared" si="32"/>
        <v>Mar</v>
      </c>
      <c r="D1035" s="3" t="s">
        <v>9</v>
      </c>
      <c r="E1035" s="6">
        <v>534450</v>
      </c>
      <c r="F1035" s="6">
        <v>7117</v>
      </c>
      <c r="G1035" s="6">
        <v>3</v>
      </c>
      <c r="H1035" s="6">
        <v>169.90291260000001</v>
      </c>
      <c r="I1035" s="6">
        <v>5</v>
      </c>
      <c r="J1035" s="6">
        <v>175</v>
      </c>
      <c r="K1035" s="6">
        <v>48.543689319999999</v>
      </c>
      <c r="L1035" s="3" t="s">
        <v>39</v>
      </c>
      <c r="M1035" s="26"/>
    </row>
    <row r="1036" spans="1:13" x14ac:dyDescent="0.25">
      <c r="A1036" s="6">
        <v>1.3736627530255699E+17</v>
      </c>
      <c r="B1036" s="31" t="s">
        <v>232</v>
      </c>
      <c r="C1036" s="32" t="str">
        <f t="shared" si="32"/>
        <v>Mar</v>
      </c>
      <c r="D1036" s="3" t="s">
        <v>25</v>
      </c>
      <c r="E1036" s="6">
        <v>721101</v>
      </c>
      <c r="F1036" s="6">
        <v>7117</v>
      </c>
      <c r="G1036" s="6">
        <v>3</v>
      </c>
      <c r="H1036" s="6">
        <v>136.8932039</v>
      </c>
      <c r="I1036" s="6">
        <v>4</v>
      </c>
      <c r="J1036" s="6">
        <v>141</v>
      </c>
      <c r="K1036" s="6">
        <v>33.980582519999999</v>
      </c>
      <c r="L1036" s="3" t="s">
        <v>22</v>
      </c>
      <c r="M1036" s="26"/>
    </row>
    <row r="1037" spans="1:13" x14ac:dyDescent="0.25">
      <c r="A1037" s="6">
        <v>1.32791279015594E+17</v>
      </c>
      <c r="B1037" s="31" t="s">
        <v>248</v>
      </c>
      <c r="C1037" s="32" t="str">
        <f t="shared" si="32"/>
        <v>Mar</v>
      </c>
      <c r="D1037" s="3" t="s">
        <v>9</v>
      </c>
      <c r="E1037" s="6">
        <v>813205</v>
      </c>
      <c r="F1037" s="6">
        <v>7117</v>
      </c>
      <c r="G1037" s="6">
        <v>3</v>
      </c>
      <c r="H1037" s="6">
        <v>247.57281549999999</v>
      </c>
      <c r="I1037" s="6">
        <v>7</v>
      </c>
      <c r="J1037" s="6">
        <v>255</v>
      </c>
      <c r="K1037" s="6">
        <v>37.86407767</v>
      </c>
      <c r="L1037" s="3" t="s">
        <v>19</v>
      </c>
      <c r="M1037" s="26"/>
    </row>
    <row r="1038" spans="1:13" x14ac:dyDescent="0.25">
      <c r="A1038" s="6">
        <v>1.3234154356542701E+17</v>
      </c>
      <c r="B1038" s="31" t="s">
        <v>287</v>
      </c>
      <c r="C1038" s="32" t="str">
        <f t="shared" si="32"/>
        <v>Mar</v>
      </c>
      <c r="D1038" s="3" t="s">
        <v>9</v>
      </c>
      <c r="E1038" s="6">
        <v>228159</v>
      </c>
      <c r="F1038" s="6">
        <v>7117</v>
      </c>
      <c r="G1038" s="6">
        <v>3</v>
      </c>
      <c r="H1038" s="6">
        <v>177.66990290000001</v>
      </c>
      <c r="I1038" s="6">
        <v>5</v>
      </c>
      <c r="J1038" s="6">
        <v>183</v>
      </c>
      <c r="K1038" s="6">
        <v>56.310679610000001</v>
      </c>
      <c r="L1038" s="3" t="s">
        <v>22</v>
      </c>
      <c r="M1038" s="26"/>
    </row>
    <row r="1039" spans="1:13" x14ac:dyDescent="0.25">
      <c r="A1039" s="6">
        <v>1.32849371959304E+17</v>
      </c>
      <c r="B1039" s="31" t="s">
        <v>248</v>
      </c>
      <c r="C1039" s="32" t="str">
        <f t="shared" si="32"/>
        <v>Mar</v>
      </c>
      <c r="D1039" s="3" t="s">
        <v>9</v>
      </c>
      <c r="E1039" s="6">
        <v>486340</v>
      </c>
      <c r="F1039" s="6">
        <v>7117</v>
      </c>
      <c r="G1039" s="6">
        <v>3</v>
      </c>
      <c r="H1039" s="6">
        <v>145.631068</v>
      </c>
      <c r="I1039" s="6">
        <v>4</v>
      </c>
      <c r="J1039" s="6">
        <v>150</v>
      </c>
      <c r="K1039" s="6">
        <v>45.631067960000003</v>
      </c>
      <c r="L1039" s="3" t="s">
        <v>10</v>
      </c>
      <c r="M1039" s="26"/>
    </row>
    <row r="1040" spans="1:13" x14ac:dyDescent="0.25">
      <c r="A1040" s="6">
        <v>1.3288591015625501E+17</v>
      </c>
      <c r="B1040" s="31" t="s">
        <v>248</v>
      </c>
      <c r="C1040" s="32" t="str">
        <f t="shared" si="32"/>
        <v>Mar</v>
      </c>
      <c r="D1040" s="3" t="s">
        <v>16</v>
      </c>
      <c r="E1040" s="6">
        <v>201304</v>
      </c>
      <c r="F1040" s="6">
        <v>7117</v>
      </c>
      <c r="G1040" s="6">
        <v>3</v>
      </c>
      <c r="H1040" s="6">
        <v>147.57281549999999</v>
      </c>
      <c r="I1040" s="6">
        <v>4</v>
      </c>
      <c r="J1040" s="6">
        <v>152</v>
      </c>
      <c r="K1040" s="6">
        <v>47.57281553</v>
      </c>
      <c r="L1040" s="3" t="s">
        <v>54</v>
      </c>
      <c r="M1040" s="26"/>
    </row>
    <row r="1041" spans="1:13" x14ac:dyDescent="0.25">
      <c r="A1041" s="6">
        <v>1.33361054142138E+17</v>
      </c>
      <c r="B1041" s="31" t="s">
        <v>275</v>
      </c>
      <c r="C1041" s="32" t="str">
        <f t="shared" si="32"/>
        <v>Mar</v>
      </c>
      <c r="D1041" s="3" t="s">
        <v>25</v>
      </c>
      <c r="E1041" s="6">
        <v>301701</v>
      </c>
      <c r="F1041" s="6">
        <v>7117</v>
      </c>
      <c r="G1041" s="6">
        <v>3</v>
      </c>
      <c r="H1041" s="6">
        <v>129.1262136</v>
      </c>
      <c r="I1041" s="6">
        <v>3</v>
      </c>
      <c r="J1041" s="6">
        <v>133</v>
      </c>
      <c r="K1041" s="6">
        <v>37.86407767</v>
      </c>
      <c r="L1041" s="3" t="s">
        <v>26</v>
      </c>
      <c r="M1041" s="26"/>
    </row>
    <row r="1042" spans="1:13" x14ac:dyDescent="0.25">
      <c r="A1042" s="6">
        <v>1.2911533687693299E+17</v>
      </c>
      <c r="B1042" s="31" t="s">
        <v>237</v>
      </c>
      <c r="C1042" s="32" t="str">
        <f t="shared" si="32"/>
        <v>Mar</v>
      </c>
      <c r="D1042" s="3" t="s">
        <v>9</v>
      </c>
      <c r="E1042" s="6">
        <v>344001</v>
      </c>
      <c r="F1042" s="6">
        <v>7117</v>
      </c>
      <c r="G1042" s="6">
        <v>3</v>
      </c>
      <c r="H1042" s="6">
        <v>161.16504850000001</v>
      </c>
      <c r="I1042" s="6">
        <v>4</v>
      </c>
      <c r="J1042" s="6">
        <v>166</v>
      </c>
      <c r="K1042" s="6">
        <v>49.514563109999997</v>
      </c>
      <c r="L1042" s="3" t="s">
        <v>10</v>
      </c>
      <c r="M1042" s="26"/>
    </row>
    <row r="1043" spans="1:13" x14ac:dyDescent="0.25">
      <c r="A1043" s="6">
        <v>1.3248069600113501E+17</v>
      </c>
      <c r="B1043" s="31" t="s">
        <v>287</v>
      </c>
      <c r="C1043" s="32" t="str">
        <f t="shared" si="32"/>
        <v>Mar</v>
      </c>
      <c r="D1043" s="3" t="s">
        <v>25</v>
      </c>
      <c r="E1043" s="6">
        <v>110053</v>
      </c>
      <c r="F1043" s="6">
        <v>7117</v>
      </c>
      <c r="G1043" s="6">
        <v>3</v>
      </c>
      <c r="H1043" s="6">
        <v>120.3883495</v>
      </c>
      <c r="I1043" s="6">
        <v>3</v>
      </c>
      <c r="J1043" s="6">
        <v>124</v>
      </c>
      <c r="K1043" s="6">
        <v>40.776699030000003</v>
      </c>
      <c r="L1043" s="3" t="s">
        <v>54</v>
      </c>
      <c r="M1043" s="26"/>
    </row>
    <row r="1044" spans="1:13" x14ac:dyDescent="0.25">
      <c r="A1044" s="6">
        <v>1.30691907681956E+17</v>
      </c>
      <c r="B1044" s="31" t="s">
        <v>252</v>
      </c>
      <c r="C1044" s="32" t="str">
        <f t="shared" si="32"/>
        <v>Mar</v>
      </c>
      <c r="D1044" s="3" t="s">
        <v>33</v>
      </c>
      <c r="E1044" s="6">
        <v>522001</v>
      </c>
      <c r="F1044" s="6">
        <v>7117</v>
      </c>
      <c r="G1044" s="6">
        <v>3</v>
      </c>
      <c r="H1044" s="6">
        <v>172.81553400000001</v>
      </c>
      <c r="I1044" s="6">
        <v>5</v>
      </c>
      <c r="J1044" s="6">
        <v>178</v>
      </c>
      <c r="K1044" s="6">
        <v>51.456310680000001</v>
      </c>
      <c r="L1044" s="3" t="s">
        <v>46</v>
      </c>
      <c r="M1044" s="26"/>
    </row>
    <row r="1045" spans="1:13" x14ac:dyDescent="0.25">
      <c r="A1045" s="6">
        <v>1.36097986467928E+17</v>
      </c>
      <c r="B1045" s="31" t="s">
        <v>205</v>
      </c>
      <c r="C1045" s="32" t="str">
        <f t="shared" si="32"/>
        <v>Mar</v>
      </c>
      <c r="D1045" s="3" t="s">
        <v>33</v>
      </c>
      <c r="E1045" s="6">
        <v>600012</v>
      </c>
      <c r="F1045" s="6">
        <v>7117</v>
      </c>
      <c r="G1045" s="6">
        <v>3</v>
      </c>
      <c r="H1045" s="6">
        <v>157.28155340000001</v>
      </c>
      <c r="I1045" s="6">
        <v>4</v>
      </c>
      <c r="J1045" s="6">
        <v>162</v>
      </c>
      <c r="K1045" s="6">
        <v>45.631067960000003</v>
      </c>
      <c r="L1045" s="3" t="s">
        <v>63</v>
      </c>
      <c r="M1045" s="26"/>
    </row>
    <row r="1046" spans="1:13" x14ac:dyDescent="0.25">
      <c r="A1046" s="6">
        <v>1.34888912024506E+17</v>
      </c>
      <c r="B1046" s="31" t="s">
        <v>215</v>
      </c>
      <c r="C1046" s="32" t="str">
        <f t="shared" si="32"/>
        <v>Mar</v>
      </c>
      <c r="D1046" s="3" t="s">
        <v>52</v>
      </c>
      <c r="E1046" s="6">
        <v>600057</v>
      </c>
      <c r="F1046" s="6">
        <v>7117</v>
      </c>
      <c r="G1046" s="6">
        <v>3</v>
      </c>
      <c r="H1046" s="6">
        <v>154.368932</v>
      </c>
      <c r="I1046" s="6">
        <v>4</v>
      </c>
      <c r="J1046" s="6">
        <v>159</v>
      </c>
      <c r="K1046" s="6">
        <v>37.86407767</v>
      </c>
      <c r="L1046" s="3" t="s">
        <v>39</v>
      </c>
      <c r="M1046" s="26"/>
    </row>
    <row r="1047" spans="1:13" x14ac:dyDescent="0.25">
      <c r="A1047" s="6">
        <v>1.3542920302877101E+17</v>
      </c>
      <c r="B1047" s="31" t="s">
        <v>244</v>
      </c>
      <c r="C1047" s="32" t="str">
        <f t="shared" si="32"/>
        <v>Mar</v>
      </c>
      <c r="D1047" s="3" t="s">
        <v>33</v>
      </c>
      <c r="E1047" s="6">
        <v>277501</v>
      </c>
      <c r="F1047" s="6">
        <v>7117</v>
      </c>
      <c r="G1047" s="6">
        <v>3</v>
      </c>
      <c r="H1047" s="6">
        <v>149.5145631</v>
      </c>
      <c r="I1047" s="6">
        <v>4</v>
      </c>
      <c r="J1047" s="6">
        <v>154</v>
      </c>
      <c r="K1047" s="6">
        <v>37.86407767</v>
      </c>
      <c r="L1047" s="3" t="s">
        <v>41</v>
      </c>
      <c r="M1047" s="26"/>
    </row>
    <row r="1048" spans="1:13" x14ac:dyDescent="0.25">
      <c r="A1048" s="6">
        <v>1.3283556646640899E+17</v>
      </c>
      <c r="B1048" s="31" t="s">
        <v>248</v>
      </c>
      <c r="C1048" s="32" t="str">
        <f t="shared" si="32"/>
        <v>Mar</v>
      </c>
      <c r="D1048" s="3" t="s">
        <v>25</v>
      </c>
      <c r="E1048" s="6">
        <v>301701</v>
      </c>
      <c r="F1048" s="6">
        <v>7117</v>
      </c>
      <c r="G1048" s="6">
        <v>3</v>
      </c>
      <c r="H1048" s="6">
        <v>133.9805825</v>
      </c>
      <c r="I1048" s="6">
        <v>4</v>
      </c>
      <c r="J1048" s="6">
        <v>138</v>
      </c>
      <c r="K1048" s="6">
        <v>35.922330100000003</v>
      </c>
      <c r="L1048" s="3" t="s">
        <v>10</v>
      </c>
      <c r="M1048" s="26"/>
    </row>
    <row r="1049" spans="1:13" x14ac:dyDescent="0.25">
      <c r="A1049" s="6">
        <v>1.29069092171334E+17</v>
      </c>
      <c r="B1049" s="31" t="s">
        <v>237</v>
      </c>
      <c r="C1049" s="32" t="str">
        <f t="shared" si="32"/>
        <v>Mar</v>
      </c>
      <c r="D1049" s="3" t="s">
        <v>25</v>
      </c>
      <c r="E1049" s="6">
        <v>491995</v>
      </c>
      <c r="F1049" s="6">
        <v>7117</v>
      </c>
      <c r="G1049" s="6">
        <v>3</v>
      </c>
      <c r="H1049" s="6">
        <v>168.93203879999999</v>
      </c>
      <c r="I1049" s="6">
        <v>5</v>
      </c>
      <c r="J1049" s="6">
        <v>174</v>
      </c>
      <c r="K1049" s="6">
        <v>57.2815534</v>
      </c>
      <c r="L1049" s="3" t="s">
        <v>53</v>
      </c>
      <c r="M1049" s="26"/>
    </row>
    <row r="1050" spans="1:13" x14ac:dyDescent="0.25">
      <c r="A1050" s="6">
        <v>1.2980377321280301E+17</v>
      </c>
      <c r="B1050" s="31" t="s">
        <v>267</v>
      </c>
      <c r="C1050" s="32" t="str">
        <f t="shared" si="32"/>
        <v>Mar</v>
      </c>
      <c r="D1050" s="3" t="s">
        <v>16</v>
      </c>
      <c r="E1050" s="6">
        <v>735214</v>
      </c>
      <c r="F1050" s="6">
        <v>7117</v>
      </c>
      <c r="G1050" s="6">
        <v>3</v>
      </c>
      <c r="H1050" s="6">
        <v>190.29126210000001</v>
      </c>
      <c r="I1050" s="6">
        <v>5</v>
      </c>
      <c r="J1050" s="6">
        <v>196</v>
      </c>
      <c r="K1050" s="6">
        <v>49.514563109999997</v>
      </c>
      <c r="L1050" s="3" t="s">
        <v>17</v>
      </c>
      <c r="M1050" s="26"/>
    </row>
    <row r="1051" spans="1:13" x14ac:dyDescent="0.25">
      <c r="A1051" s="6">
        <v>1.29468159590318E+17</v>
      </c>
      <c r="B1051" s="31" t="s">
        <v>301</v>
      </c>
      <c r="C1051" s="32" t="str">
        <f t="shared" si="32"/>
        <v>Mar</v>
      </c>
      <c r="D1051" s="3" t="s">
        <v>9</v>
      </c>
      <c r="E1051" s="6">
        <v>534324</v>
      </c>
      <c r="F1051" s="6">
        <v>7117</v>
      </c>
      <c r="G1051" s="6">
        <v>3</v>
      </c>
      <c r="H1051" s="6">
        <v>176.69902909999999</v>
      </c>
      <c r="I1051" s="6">
        <v>5</v>
      </c>
      <c r="J1051" s="6">
        <v>182</v>
      </c>
      <c r="K1051" s="6">
        <v>55.339805830000003</v>
      </c>
      <c r="L1051" s="3" t="s">
        <v>41</v>
      </c>
      <c r="M1051" s="26"/>
    </row>
    <row r="1052" spans="1:13" x14ac:dyDescent="0.25">
      <c r="A1052" s="6">
        <v>1.3241982328756701E+17</v>
      </c>
      <c r="B1052" s="31" t="s">
        <v>287</v>
      </c>
      <c r="C1052" s="32" t="str">
        <f t="shared" si="32"/>
        <v>Mar</v>
      </c>
      <c r="D1052" s="3" t="s">
        <v>9</v>
      </c>
      <c r="E1052" s="6">
        <v>813203</v>
      </c>
      <c r="F1052" s="6">
        <v>7117</v>
      </c>
      <c r="G1052" s="6">
        <v>3</v>
      </c>
      <c r="H1052" s="6">
        <v>153.3980583</v>
      </c>
      <c r="I1052" s="6">
        <v>4</v>
      </c>
      <c r="J1052" s="6">
        <v>158</v>
      </c>
      <c r="K1052" s="6">
        <v>49.514563109999997</v>
      </c>
      <c r="L1052" s="3" t="s">
        <v>85</v>
      </c>
      <c r="M1052" s="26"/>
    </row>
    <row r="1053" spans="1:13" x14ac:dyDescent="0.25">
      <c r="A1053" s="6">
        <v>1.3072962763037E+17</v>
      </c>
      <c r="B1053" s="31" t="s">
        <v>252</v>
      </c>
      <c r="C1053" s="32" t="str">
        <f t="shared" si="32"/>
        <v>Mar</v>
      </c>
      <c r="D1053" s="3" t="s">
        <v>9</v>
      </c>
      <c r="E1053" s="6">
        <v>121003</v>
      </c>
      <c r="F1053" s="6">
        <v>7117</v>
      </c>
      <c r="G1053" s="6">
        <v>3</v>
      </c>
      <c r="H1053" s="6">
        <v>255.33980579999999</v>
      </c>
      <c r="I1053" s="6">
        <v>7</v>
      </c>
      <c r="J1053" s="6">
        <v>263</v>
      </c>
      <c r="K1053" s="6">
        <v>36.893203880000002</v>
      </c>
      <c r="L1053" s="3" t="s">
        <v>10</v>
      </c>
      <c r="M1053" s="26"/>
    </row>
    <row r="1054" spans="1:13" x14ac:dyDescent="0.25">
      <c r="A1054" s="6">
        <v>1.29276585026226E+17</v>
      </c>
      <c r="B1054" s="31" t="s">
        <v>237</v>
      </c>
      <c r="C1054" s="32" t="str">
        <f t="shared" si="32"/>
        <v>Mar</v>
      </c>
      <c r="D1054" s="3" t="s">
        <v>21</v>
      </c>
      <c r="E1054" s="6">
        <v>422001</v>
      </c>
      <c r="F1054" s="6">
        <v>7117</v>
      </c>
      <c r="G1054" s="6">
        <v>3</v>
      </c>
      <c r="H1054" s="6">
        <v>160.19417480000001</v>
      </c>
      <c r="I1054" s="6">
        <v>4</v>
      </c>
      <c r="J1054" s="6">
        <v>165</v>
      </c>
      <c r="K1054" s="6">
        <v>56.310679610000001</v>
      </c>
      <c r="L1054" s="3" t="s">
        <v>22</v>
      </c>
      <c r="M1054" s="26"/>
    </row>
    <row r="1055" spans="1:13" x14ac:dyDescent="0.25">
      <c r="A1055" s="6">
        <v>1.3564377193228701E+17</v>
      </c>
      <c r="B1055" s="31" t="s">
        <v>213</v>
      </c>
      <c r="C1055" s="32" t="str">
        <f t="shared" si="32"/>
        <v>Mar</v>
      </c>
      <c r="D1055" s="3" t="s">
        <v>25</v>
      </c>
      <c r="E1055" s="6">
        <v>221010</v>
      </c>
      <c r="F1055" s="6">
        <v>7117</v>
      </c>
      <c r="G1055" s="6">
        <v>3</v>
      </c>
      <c r="H1055" s="6">
        <v>173.78640780000001</v>
      </c>
      <c r="I1055" s="6">
        <v>5</v>
      </c>
      <c r="J1055" s="6">
        <v>179</v>
      </c>
      <c r="K1055" s="6">
        <v>52.42718447</v>
      </c>
      <c r="L1055" s="3" t="s">
        <v>23</v>
      </c>
      <c r="M1055" s="26"/>
    </row>
    <row r="1056" spans="1:13" x14ac:dyDescent="0.25">
      <c r="A1056" s="6">
        <v>1.35426543089656E+17</v>
      </c>
      <c r="B1056" s="31" t="s">
        <v>244</v>
      </c>
      <c r="C1056" s="32" t="str">
        <f t="shared" si="32"/>
        <v>Mar</v>
      </c>
      <c r="D1056" s="3" t="s">
        <v>25</v>
      </c>
      <c r="E1056" s="6">
        <v>841287</v>
      </c>
      <c r="F1056" s="6">
        <v>7117</v>
      </c>
      <c r="G1056" s="6">
        <v>3</v>
      </c>
      <c r="H1056" s="6">
        <v>166.0194175</v>
      </c>
      <c r="I1056" s="6">
        <v>4</v>
      </c>
      <c r="J1056" s="6">
        <v>171</v>
      </c>
      <c r="K1056" s="6">
        <v>36.893203880000002</v>
      </c>
      <c r="L1056" s="3" t="s">
        <v>54</v>
      </c>
      <c r="M1056" s="26"/>
    </row>
    <row r="1057" spans="1:13" x14ac:dyDescent="0.25">
      <c r="A1057" s="6">
        <v>1.30511327307566E+17</v>
      </c>
      <c r="B1057" s="31" t="s">
        <v>252</v>
      </c>
      <c r="C1057" s="32" t="str">
        <f t="shared" si="32"/>
        <v>Mar</v>
      </c>
      <c r="D1057" s="3" t="s">
        <v>25</v>
      </c>
      <c r="E1057" s="6">
        <v>110043</v>
      </c>
      <c r="F1057" s="6">
        <v>7117</v>
      </c>
      <c r="G1057" s="6">
        <v>3</v>
      </c>
      <c r="H1057" s="6">
        <v>199.02912620000001</v>
      </c>
      <c r="I1057" s="6">
        <v>5</v>
      </c>
      <c r="J1057" s="6">
        <v>205</v>
      </c>
      <c r="K1057" s="6">
        <v>74.757281550000002</v>
      </c>
      <c r="L1057" s="3" t="s">
        <v>27</v>
      </c>
      <c r="M1057" s="26"/>
    </row>
    <row r="1058" spans="1:13" x14ac:dyDescent="0.25">
      <c r="A1058" s="6">
        <v>1.3821419196979699E+17</v>
      </c>
      <c r="B1058" s="31" t="s">
        <v>201</v>
      </c>
      <c r="C1058" s="32" t="str">
        <f t="shared" si="32"/>
        <v>Mar</v>
      </c>
      <c r="D1058" s="3" t="s">
        <v>16</v>
      </c>
      <c r="E1058" s="6">
        <v>500007</v>
      </c>
      <c r="F1058" s="6">
        <v>7117</v>
      </c>
      <c r="G1058" s="6">
        <v>3</v>
      </c>
      <c r="H1058" s="6">
        <v>169.90291260000001</v>
      </c>
      <c r="I1058" s="6">
        <v>5</v>
      </c>
      <c r="J1058" s="6">
        <v>175</v>
      </c>
      <c r="K1058" s="6">
        <v>52.42718447</v>
      </c>
      <c r="L1058" s="3" t="s">
        <v>12</v>
      </c>
      <c r="M1058" s="26"/>
    </row>
    <row r="1059" spans="1:13" x14ac:dyDescent="0.25">
      <c r="A1059" s="6">
        <v>1.3542905549452899E+17</v>
      </c>
      <c r="B1059" s="31" t="s">
        <v>244</v>
      </c>
      <c r="C1059" s="32" t="str">
        <f t="shared" si="32"/>
        <v>Mar</v>
      </c>
      <c r="D1059" s="3" t="s">
        <v>9</v>
      </c>
      <c r="E1059" s="6">
        <v>277001</v>
      </c>
      <c r="F1059" s="6">
        <v>7117</v>
      </c>
      <c r="G1059" s="6">
        <v>3</v>
      </c>
      <c r="H1059" s="6">
        <v>151.45631069999999</v>
      </c>
      <c r="I1059" s="6">
        <v>4</v>
      </c>
      <c r="J1059" s="6">
        <v>156</v>
      </c>
      <c r="K1059" s="6">
        <v>37.86407767</v>
      </c>
      <c r="L1059" s="3" t="s">
        <v>41</v>
      </c>
      <c r="M1059" s="26"/>
    </row>
    <row r="1060" spans="1:13" x14ac:dyDescent="0.25">
      <c r="A1060" s="6">
        <v>1.3679651331381901E+17</v>
      </c>
      <c r="B1060" s="31" t="s">
        <v>217</v>
      </c>
      <c r="C1060" s="32" t="str">
        <f t="shared" si="32"/>
        <v>Mar</v>
      </c>
      <c r="D1060" s="3" t="s">
        <v>33</v>
      </c>
      <c r="E1060" s="6">
        <v>110043</v>
      </c>
      <c r="F1060" s="6">
        <v>7117</v>
      </c>
      <c r="G1060" s="6">
        <v>3</v>
      </c>
      <c r="H1060" s="6">
        <v>149.5145631</v>
      </c>
      <c r="I1060" s="6">
        <v>4</v>
      </c>
      <c r="J1060" s="6">
        <v>154</v>
      </c>
      <c r="K1060" s="6">
        <v>42.7184466</v>
      </c>
      <c r="L1060" s="3" t="s">
        <v>10</v>
      </c>
      <c r="M1060" s="26"/>
    </row>
    <row r="1061" spans="1:13" x14ac:dyDescent="0.25">
      <c r="A1061" s="6">
        <v>1.3324705299264499E+17</v>
      </c>
      <c r="B1061" s="31" t="s">
        <v>259</v>
      </c>
      <c r="C1061" s="32" t="str">
        <f t="shared" si="32"/>
        <v>Mar</v>
      </c>
      <c r="D1061" s="3" t="s">
        <v>16</v>
      </c>
      <c r="E1061" s="6">
        <v>497333</v>
      </c>
      <c r="F1061" s="6">
        <v>7117</v>
      </c>
      <c r="G1061" s="6">
        <v>3</v>
      </c>
      <c r="H1061" s="6">
        <v>162.1359223</v>
      </c>
      <c r="I1061" s="6">
        <v>4</v>
      </c>
      <c r="J1061" s="6">
        <v>167</v>
      </c>
      <c r="K1061" s="6">
        <v>45.631067960000003</v>
      </c>
      <c r="L1061" s="3" t="s">
        <v>63</v>
      </c>
      <c r="M1061" s="26"/>
    </row>
    <row r="1062" spans="1:13" x14ac:dyDescent="0.25">
      <c r="A1062" s="6">
        <v>1.28522485029214E+17</v>
      </c>
      <c r="B1062" s="31" t="s">
        <v>229</v>
      </c>
      <c r="C1062" s="32" t="str">
        <f t="shared" si="32"/>
        <v>Mar</v>
      </c>
      <c r="D1062" s="3" t="s">
        <v>21</v>
      </c>
      <c r="E1062" s="6">
        <v>455111</v>
      </c>
      <c r="F1062" s="6">
        <v>7117</v>
      </c>
      <c r="G1062" s="6">
        <v>3</v>
      </c>
      <c r="H1062" s="6">
        <v>89.320388300000005</v>
      </c>
      <c r="I1062" s="6">
        <v>2</v>
      </c>
      <c r="J1062" s="6">
        <v>92</v>
      </c>
      <c r="K1062" s="6">
        <v>41.747572820000002</v>
      </c>
      <c r="L1062" s="3" t="s">
        <v>53</v>
      </c>
      <c r="M1062" s="26"/>
    </row>
    <row r="1063" spans="1:13" x14ac:dyDescent="0.25">
      <c r="A1063" s="6">
        <v>1.2943520533768099E+17</v>
      </c>
      <c r="B1063" s="31" t="s">
        <v>301</v>
      </c>
      <c r="C1063" s="32" t="str">
        <f t="shared" si="32"/>
        <v>Mar</v>
      </c>
      <c r="D1063" s="3" t="s">
        <v>16</v>
      </c>
      <c r="E1063" s="6">
        <v>201013</v>
      </c>
      <c r="F1063" s="6">
        <v>7117</v>
      </c>
      <c r="G1063" s="6">
        <v>3</v>
      </c>
      <c r="H1063" s="6">
        <v>174.7572816</v>
      </c>
      <c r="I1063" s="6">
        <v>5</v>
      </c>
      <c r="J1063" s="6">
        <v>180</v>
      </c>
      <c r="K1063" s="6">
        <v>53.398058249999998</v>
      </c>
      <c r="L1063" s="3" t="s">
        <v>22</v>
      </c>
      <c r="M1063" s="26"/>
    </row>
    <row r="1064" spans="1:13" x14ac:dyDescent="0.25">
      <c r="A1064" s="6">
        <v>1.3460049342632E+17</v>
      </c>
      <c r="B1064" s="31" t="s">
        <v>219</v>
      </c>
      <c r="C1064" s="32" t="str">
        <f t="shared" si="32"/>
        <v>Mar</v>
      </c>
      <c r="D1064" s="3" t="s">
        <v>25</v>
      </c>
      <c r="E1064" s="6">
        <v>144211</v>
      </c>
      <c r="F1064" s="6">
        <v>7117</v>
      </c>
      <c r="G1064" s="6">
        <v>3</v>
      </c>
      <c r="H1064" s="6">
        <v>187.3786408</v>
      </c>
      <c r="I1064" s="6">
        <v>5</v>
      </c>
      <c r="J1064" s="6">
        <v>193</v>
      </c>
      <c r="K1064" s="6">
        <v>70.873786409999994</v>
      </c>
      <c r="L1064" s="3" t="s">
        <v>967</v>
      </c>
      <c r="M1064" s="26"/>
    </row>
    <row r="1065" spans="1:13" x14ac:dyDescent="0.25">
      <c r="A1065" s="6">
        <v>1.3274145682034099E+17</v>
      </c>
      <c r="B1065" s="31" t="s">
        <v>248</v>
      </c>
      <c r="C1065" s="32" t="str">
        <f t="shared" si="32"/>
        <v>Mar</v>
      </c>
      <c r="D1065" s="3" t="s">
        <v>9</v>
      </c>
      <c r="E1065" s="6">
        <v>742213</v>
      </c>
      <c r="F1065" s="6">
        <v>7117</v>
      </c>
      <c r="G1065" s="6">
        <v>3</v>
      </c>
      <c r="H1065" s="6">
        <v>164.07766989999999</v>
      </c>
      <c r="I1065" s="6">
        <v>4</v>
      </c>
      <c r="J1065" s="6">
        <v>169</v>
      </c>
      <c r="K1065" s="6">
        <v>44.660194169999997</v>
      </c>
      <c r="L1065" s="3" t="s">
        <v>46</v>
      </c>
      <c r="M1065" s="26"/>
    </row>
    <row r="1066" spans="1:13" x14ac:dyDescent="0.25">
      <c r="A1066" s="6">
        <v>1.3425554282175699E+17</v>
      </c>
      <c r="B1066" s="31" t="s">
        <v>224</v>
      </c>
      <c r="C1066" s="32" t="str">
        <f t="shared" si="32"/>
        <v>Mar</v>
      </c>
      <c r="D1066" s="3" t="s">
        <v>25</v>
      </c>
      <c r="E1066" s="6">
        <v>816115</v>
      </c>
      <c r="F1066" s="6">
        <v>7117</v>
      </c>
      <c r="G1066" s="6">
        <v>3</v>
      </c>
      <c r="H1066" s="6">
        <v>160.19417480000001</v>
      </c>
      <c r="I1066" s="6">
        <v>4</v>
      </c>
      <c r="J1066" s="6">
        <v>165</v>
      </c>
      <c r="K1066" s="6">
        <v>52.42718447</v>
      </c>
      <c r="L1066" s="3" t="s">
        <v>19</v>
      </c>
      <c r="M1066" s="26"/>
    </row>
    <row r="1067" spans="1:13" x14ac:dyDescent="0.25">
      <c r="A1067" s="6">
        <v>1.28844212799244E+17</v>
      </c>
      <c r="B1067" s="31" t="s">
        <v>318</v>
      </c>
      <c r="C1067" s="32" t="str">
        <f t="shared" si="32"/>
        <v>Mar</v>
      </c>
      <c r="D1067" s="3" t="s">
        <v>21</v>
      </c>
      <c r="E1067" s="6">
        <v>302025</v>
      </c>
      <c r="F1067" s="6">
        <v>7117</v>
      </c>
      <c r="G1067" s="6">
        <v>3</v>
      </c>
      <c r="H1067" s="6">
        <v>145.631068</v>
      </c>
      <c r="I1067" s="6">
        <v>4</v>
      </c>
      <c r="J1067" s="6">
        <v>150</v>
      </c>
      <c r="K1067" s="6">
        <v>48.543689319999999</v>
      </c>
      <c r="L1067" s="3" t="s">
        <v>10</v>
      </c>
      <c r="M1067" s="26"/>
    </row>
    <row r="1068" spans="1:13" x14ac:dyDescent="0.25">
      <c r="A1068" s="6">
        <v>1.354807478079E+17</v>
      </c>
      <c r="B1068" s="31" t="s">
        <v>213</v>
      </c>
      <c r="C1068" s="32" t="str">
        <f t="shared" si="32"/>
        <v>Mar</v>
      </c>
      <c r="D1068" s="3" t="s">
        <v>52</v>
      </c>
      <c r="E1068" s="6">
        <v>462003</v>
      </c>
      <c r="F1068" s="6">
        <v>7117</v>
      </c>
      <c r="G1068" s="6">
        <v>3</v>
      </c>
      <c r="H1068" s="6">
        <v>151.45631069999999</v>
      </c>
      <c r="I1068" s="6">
        <v>4</v>
      </c>
      <c r="J1068" s="6">
        <v>156</v>
      </c>
      <c r="K1068" s="6">
        <v>33.980582519999999</v>
      </c>
      <c r="L1068" s="3" t="s">
        <v>10</v>
      </c>
      <c r="M1068" s="26"/>
    </row>
    <row r="1069" spans="1:13" x14ac:dyDescent="0.25">
      <c r="A1069" s="6">
        <v>1.36018460497678E+17</v>
      </c>
      <c r="B1069" s="31" t="s">
        <v>205</v>
      </c>
      <c r="C1069" s="32" t="str">
        <f t="shared" si="32"/>
        <v>Mar</v>
      </c>
      <c r="D1069" s="3" t="s">
        <v>9</v>
      </c>
      <c r="E1069" s="6">
        <v>224190</v>
      </c>
      <c r="F1069" s="6">
        <v>7117</v>
      </c>
      <c r="G1069" s="6">
        <v>3</v>
      </c>
      <c r="H1069" s="6">
        <v>155.33980579999999</v>
      </c>
      <c r="I1069" s="6">
        <v>4</v>
      </c>
      <c r="J1069" s="6">
        <v>160</v>
      </c>
      <c r="K1069" s="6">
        <v>37.86407767</v>
      </c>
      <c r="L1069" s="3" t="s">
        <v>12</v>
      </c>
      <c r="M1069" s="26"/>
    </row>
    <row r="1070" spans="1:13" x14ac:dyDescent="0.25">
      <c r="A1070" s="6">
        <v>1.3422129034005901E+17</v>
      </c>
      <c r="B1070" s="31" t="s">
        <v>224</v>
      </c>
      <c r="C1070" s="32" t="str">
        <f t="shared" si="32"/>
        <v>Mar</v>
      </c>
      <c r="D1070" s="3" t="s">
        <v>9</v>
      </c>
      <c r="E1070" s="6">
        <v>303007</v>
      </c>
      <c r="F1070" s="6">
        <v>7117</v>
      </c>
      <c r="G1070" s="6">
        <v>3</v>
      </c>
      <c r="H1070" s="6">
        <v>153.3980583</v>
      </c>
      <c r="I1070" s="6">
        <v>4</v>
      </c>
      <c r="J1070" s="6">
        <v>158</v>
      </c>
      <c r="K1070" s="6">
        <v>45.631067960000003</v>
      </c>
      <c r="L1070" s="3" t="s">
        <v>10</v>
      </c>
      <c r="M1070" s="26"/>
    </row>
    <row r="1071" spans="1:13" x14ac:dyDescent="0.25">
      <c r="A1071" s="6">
        <v>1.32099542078984E+17</v>
      </c>
      <c r="B1071" s="31" t="s">
        <v>203</v>
      </c>
      <c r="C1071" s="32" t="str">
        <f t="shared" si="32"/>
        <v>Mar</v>
      </c>
      <c r="D1071" s="3" t="s">
        <v>25</v>
      </c>
      <c r="E1071" s="6">
        <v>491222</v>
      </c>
      <c r="F1071" s="6">
        <v>7117</v>
      </c>
      <c r="G1071" s="6">
        <v>3</v>
      </c>
      <c r="H1071" s="6">
        <v>177.66990290000001</v>
      </c>
      <c r="I1071" s="6">
        <v>5</v>
      </c>
      <c r="J1071" s="6">
        <v>183</v>
      </c>
      <c r="K1071" s="6">
        <v>56.310679610000001</v>
      </c>
      <c r="L1071" s="3" t="s">
        <v>22</v>
      </c>
      <c r="M1071" s="26"/>
    </row>
    <row r="1072" spans="1:13" x14ac:dyDescent="0.25">
      <c r="A1072" s="6">
        <v>1.37886099317238E+17</v>
      </c>
      <c r="B1072" s="31" t="s">
        <v>210</v>
      </c>
      <c r="C1072" s="32" t="str">
        <f t="shared" si="32"/>
        <v>Mar</v>
      </c>
      <c r="D1072" s="3" t="s">
        <v>16</v>
      </c>
      <c r="E1072" s="6">
        <v>412207</v>
      </c>
      <c r="F1072" s="6">
        <v>7117</v>
      </c>
      <c r="G1072" s="6">
        <v>3</v>
      </c>
      <c r="H1072" s="6">
        <v>156.31067959999999</v>
      </c>
      <c r="I1072" s="6">
        <v>4</v>
      </c>
      <c r="J1072" s="6">
        <v>161</v>
      </c>
      <c r="K1072" s="6">
        <v>52.42718447</v>
      </c>
      <c r="L1072" s="3" t="s">
        <v>26</v>
      </c>
      <c r="M1072" s="26"/>
    </row>
    <row r="1073" spans="1:13" x14ac:dyDescent="0.25">
      <c r="A1073" s="6">
        <v>1.35985740986614E+17</v>
      </c>
      <c r="B1073" s="31" t="s">
        <v>205</v>
      </c>
      <c r="C1073" s="32" t="str">
        <f t="shared" si="32"/>
        <v>Mar</v>
      </c>
      <c r="D1073" s="3" t="s">
        <v>33</v>
      </c>
      <c r="E1073" s="6">
        <v>224208</v>
      </c>
      <c r="F1073" s="6">
        <v>7117</v>
      </c>
      <c r="G1073" s="6">
        <v>3</v>
      </c>
      <c r="H1073" s="6">
        <v>173.78640780000001</v>
      </c>
      <c r="I1073" s="6">
        <v>5</v>
      </c>
      <c r="J1073" s="6">
        <v>179</v>
      </c>
      <c r="K1073" s="6">
        <v>52.42718447</v>
      </c>
      <c r="L1073" s="3" t="s">
        <v>41</v>
      </c>
      <c r="M1073" s="26"/>
    </row>
    <row r="1074" spans="1:13" x14ac:dyDescent="0.25">
      <c r="A1074" s="6">
        <v>1.3342124817976701E+17</v>
      </c>
      <c r="B1074" s="31" t="s">
        <v>275</v>
      </c>
      <c r="C1074" s="32" t="str">
        <f t="shared" si="32"/>
        <v>Mar</v>
      </c>
      <c r="D1074" s="3" t="s">
        <v>9</v>
      </c>
      <c r="E1074" s="6">
        <v>281004</v>
      </c>
      <c r="F1074" s="6">
        <v>7117</v>
      </c>
      <c r="G1074" s="6">
        <v>3</v>
      </c>
      <c r="H1074" s="6">
        <v>142.71844659999999</v>
      </c>
      <c r="I1074" s="6">
        <v>4</v>
      </c>
      <c r="J1074" s="6">
        <v>147</v>
      </c>
      <c r="K1074" s="6">
        <v>44.660194169999997</v>
      </c>
      <c r="L1074" s="3" t="s">
        <v>10</v>
      </c>
      <c r="M1074" s="26"/>
    </row>
    <row r="1075" spans="1:13" x14ac:dyDescent="0.25">
      <c r="A1075" s="6">
        <v>1.34976563526804E+17</v>
      </c>
      <c r="B1075" s="31" t="s">
        <v>215</v>
      </c>
      <c r="C1075" s="32" t="str">
        <f t="shared" si="32"/>
        <v>Mar</v>
      </c>
      <c r="D1075" s="3" t="s">
        <v>9</v>
      </c>
      <c r="E1075" s="6">
        <v>272175</v>
      </c>
      <c r="F1075" s="6">
        <v>7117</v>
      </c>
      <c r="G1075" s="6">
        <v>3</v>
      </c>
      <c r="H1075" s="6">
        <v>147.57281549999999</v>
      </c>
      <c r="I1075" s="6">
        <v>4</v>
      </c>
      <c r="J1075" s="6">
        <v>152</v>
      </c>
      <c r="K1075" s="6">
        <v>47.57281553</v>
      </c>
      <c r="L1075" s="3" t="s">
        <v>22</v>
      </c>
      <c r="M1075" s="26"/>
    </row>
    <row r="1076" spans="1:13" x14ac:dyDescent="0.25">
      <c r="A1076" s="6">
        <v>1.29507243934686E+17</v>
      </c>
      <c r="B1076" s="31" t="s">
        <v>301</v>
      </c>
      <c r="C1076" s="32" t="str">
        <f t="shared" si="32"/>
        <v>Mar</v>
      </c>
      <c r="D1076" s="3" t="s">
        <v>16</v>
      </c>
      <c r="E1076" s="6">
        <v>813203</v>
      </c>
      <c r="F1076" s="6">
        <v>7117</v>
      </c>
      <c r="G1076" s="6">
        <v>3</v>
      </c>
      <c r="H1076" s="6">
        <v>170.8737864</v>
      </c>
      <c r="I1076" s="6">
        <v>5</v>
      </c>
      <c r="J1076" s="6">
        <v>176</v>
      </c>
      <c r="K1076" s="6">
        <v>49.514563109999997</v>
      </c>
      <c r="L1076" s="3" t="s">
        <v>10</v>
      </c>
      <c r="M1076" s="26"/>
    </row>
    <row r="1077" spans="1:13" x14ac:dyDescent="0.25">
      <c r="A1077" s="6">
        <v>1.31051037696006E+17</v>
      </c>
      <c r="B1077" s="31" t="s">
        <v>207</v>
      </c>
      <c r="C1077" s="32" t="str">
        <f t="shared" si="32"/>
        <v>Mar</v>
      </c>
      <c r="D1077" s="3" t="s">
        <v>9</v>
      </c>
      <c r="E1077" s="6">
        <v>272190</v>
      </c>
      <c r="F1077" s="6">
        <v>7117</v>
      </c>
      <c r="G1077" s="6">
        <v>3</v>
      </c>
      <c r="H1077" s="6">
        <v>160.19417480000001</v>
      </c>
      <c r="I1077" s="6">
        <v>4</v>
      </c>
      <c r="J1077" s="6">
        <v>165</v>
      </c>
      <c r="K1077" s="6">
        <v>56.310679610000001</v>
      </c>
      <c r="L1077" s="3" t="s">
        <v>37</v>
      </c>
      <c r="M1077" s="26"/>
    </row>
    <row r="1078" spans="1:13" x14ac:dyDescent="0.25">
      <c r="A1078" s="6">
        <v>1.3755778003957E+17</v>
      </c>
      <c r="B1078" s="31" t="s">
        <v>232</v>
      </c>
      <c r="C1078" s="32" t="str">
        <f t="shared" si="32"/>
        <v>Mar</v>
      </c>
      <c r="D1078" s="3" t="s">
        <v>16</v>
      </c>
      <c r="E1078" s="6">
        <v>143103</v>
      </c>
      <c r="F1078" s="6">
        <v>7117</v>
      </c>
      <c r="G1078" s="6">
        <v>3</v>
      </c>
      <c r="H1078" s="6">
        <v>155.33980579999999</v>
      </c>
      <c r="I1078" s="6">
        <v>4</v>
      </c>
      <c r="J1078" s="6">
        <v>160</v>
      </c>
      <c r="K1078" s="6">
        <v>37.86407767</v>
      </c>
      <c r="L1078" s="3" t="s">
        <v>41</v>
      </c>
      <c r="M1078" s="26"/>
    </row>
    <row r="1079" spans="1:13" x14ac:dyDescent="0.25">
      <c r="A1079" s="6">
        <v>1.3354536083685699E+17</v>
      </c>
      <c r="B1079" s="31" t="s">
        <v>275</v>
      </c>
      <c r="C1079" s="32" t="str">
        <f t="shared" si="32"/>
        <v>Mar</v>
      </c>
      <c r="D1079" s="3" t="s">
        <v>9</v>
      </c>
      <c r="E1079" s="6">
        <v>277401</v>
      </c>
      <c r="F1079" s="6">
        <v>7117</v>
      </c>
      <c r="G1079" s="6">
        <v>3</v>
      </c>
      <c r="H1079" s="6">
        <v>129.1262136</v>
      </c>
      <c r="I1079" s="6">
        <v>3</v>
      </c>
      <c r="J1079" s="6">
        <v>133</v>
      </c>
      <c r="K1079" s="6">
        <v>37.86407767</v>
      </c>
      <c r="L1079" s="3" t="s">
        <v>39</v>
      </c>
      <c r="M1079" s="26"/>
    </row>
    <row r="1080" spans="1:13" x14ac:dyDescent="0.25">
      <c r="A1080" s="6">
        <v>1.3537108813706899E+17</v>
      </c>
      <c r="B1080" s="31" t="s">
        <v>244</v>
      </c>
      <c r="C1080" s="32" t="str">
        <f t="shared" si="32"/>
        <v>Mar</v>
      </c>
      <c r="D1080" s="3" t="s">
        <v>9</v>
      </c>
      <c r="E1080" s="6">
        <v>560035</v>
      </c>
      <c r="F1080" s="6">
        <v>7117</v>
      </c>
      <c r="G1080" s="6">
        <v>3</v>
      </c>
      <c r="H1080" s="6">
        <v>262.1359223</v>
      </c>
      <c r="I1080" s="6">
        <v>7</v>
      </c>
      <c r="J1080" s="6">
        <v>270</v>
      </c>
      <c r="K1080" s="6">
        <v>52.42718447</v>
      </c>
      <c r="L1080" s="3" t="s">
        <v>39</v>
      </c>
      <c r="M1080" s="26"/>
    </row>
    <row r="1081" spans="1:13" x14ac:dyDescent="0.25">
      <c r="A1081" s="6">
        <v>1.28085832434482E+17</v>
      </c>
      <c r="B1081" s="31" t="s">
        <v>235</v>
      </c>
      <c r="C1081" s="32" t="str">
        <f t="shared" si="32"/>
        <v>Mar</v>
      </c>
      <c r="D1081" s="3" t="s">
        <v>16</v>
      </c>
      <c r="E1081" s="6">
        <v>110047</v>
      </c>
      <c r="F1081" s="6">
        <v>7117</v>
      </c>
      <c r="G1081" s="6">
        <v>3</v>
      </c>
      <c r="H1081" s="6">
        <v>230.09708739999999</v>
      </c>
      <c r="I1081" s="6">
        <v>6</v>
      </c>
      <c r="J1081" s="6">
        <v>237</v>
      </c>
      <c r="K1081" s="6">
        <v>50.485436890000003</v>
      </c>
      <c r="L1081" s="3" t="s">
        <v>17</v>
      </c>
      <c r="M1081" s="26"/>
    </row>
    <row r="1082" spans="1:13" x14ac:dyDescent="0.25">
      <c r="A1082" s="6">
        <v>1.3307100895632E+17</v>
      </c>
      <c r="B1082" s="31" t="s">
        <v>259</v>
      </c>
      <c r="C1082" s="32" t="str">
        <f t="shared" si="32"/>
        <v>Mar</v>
      </c>
      <c r="D1082" s="3" t="s">
        <v>25</v>
      </c>
      <c r="E1082" s="6">
        <v>753001</v>
      </c>
      <c r="F1082" s="6">
        <v>7117</v>
      </c>
      <c r="G1082" s="6">
        <v>3</v>
      </c>
      <c r="H1082" s="6">
        <v>154.368932</v>
      </c>
      <c r="I1082" s="6">
        <v>4</v>
      </c>
      <c r="J1082" s="6">
        <v>159</v>
      </c>
      <c r="K1082" s="6">
        <v>37.86407767</v>
      </c>
      <c r="L1082" s="3" t="s">
        <v>63</v>
      </c>
      <c r="M1082" s="26"/>
    </row>
    <row r="1083" spans="1:13" x14ac:dyDescent="0.25">
      <c r="A1083" s="6">
        <v>1.3127154095627299E+17</v>
      </c>
      <c r="B1083" s="31" t="s">
        <v>335</v>
      </c>
      <c r="C1083" s="32" t="str">
        <f t="shared" si="32"/>
        <v>Mar</v>
      </c>
      <c r="D1083" s="3" t="s">
        <v>33</v>
      </c>
      <c r="E1083" s="6">
        <v>816115</v>
      </c>
      <c r="F1083" s="6">
        <v>7117</v>
      </c>
      <c r="G1083" s="6">
        <v>3</v>
      </c>
      <c r="H1083" s="6">
        <v>269.90291259999998</v>
      </c>
      <c r="I1083" s="6">
        <v>8</v>
      </c>
      <c r="J1083" s="6">
        <v>278</v>
      </c>
      <c r="K1083" s="6">
        <v>51.456310680000001</v>
      </c>
      <c r="L1083" s="3" t="s">
        <v>27</v>
      </c>
      <c r="M1083" s="26"/>
    </row>
    <row r="1084" spans="1:13" x14ac:dyDescent="0.25">
      <c r="A1084" s="6">
        <v>1.3110665767679101E+17</v>
      </c>
      <c r="B1084" s="31" t="s">
        <v>335</v>
      </c>
      <c r="C1084" s="32" t="str">
        <f t="shared" si="32"/>
        <v>Mar</v>
      </c>
      <c r="D1084" s="3" t="s">
        <v>16</v>
      </c>
      <c r="E1084" s="6">
        <v>228171</v>
      </c>
      <c r="F1084" s="6">
        <v>7117</v>
      </c>
      <c r="G1084" s="6">
        <v>3</v>
      </c>
      <c r="H1084" s="6">
        <v>144.66019420000001</v>
      </c>
      <c r="I1084" s="6">
        <v>4</v>
      </c>
      <c r="J1084" s="6">
        <v>149</v>
      </c>
      <c r="K1084" s="6">
        <v>47.57281553</v>
      </c>
      <c r="L1084" s="3" t="s">
        <v>10</v>
      </c>
      <c r="M1084" s="26"/>
    </row>
    <row r="1085" spans="1:13" x14ac:dyDescent="0.25">
      <c r="A1085" s="6">
        <v>1.3284854932586701E+17</v>
      </c>
      <c r="B1085" s="31" t="s">
        <v>248</v>
      </c>
      <c r="C1085" s="32" t="str">
        <f t="shared" si="32"/>
        <v>Mar</v>
      </c>
      <c r="D1085" s="3" t="s">
        <v>25</v>
      </c>
      <c r="E1085" s="6">
        <v>141016</v>
      </c>
      <c r="F1085" s="6">
        <v>7117</v>
      </c>
      <c r="G1085" s="6">
        <v>3</v>
      </c>
      <c r="H1085" s="6">
        <v>168.93203879999999</v>
      </c>
      <c r="I1085" s="6">
        <v>5</v>
      </c>
      <c r="J1085" s="6">
        <v>174</v>
      </c>
      <c r="K1085" s="6">
        <v>70.873786409999994</v>
      </c>
      <c r="L1085" s="3" t="s">
        <v>35</v>
      </c>
      <c r="M1085" s="26"/>
    </row>
    <row r="1086" spans="1:13" x14ac:dyDescent="0.25">
      <c r="A1086" s="6">
        <v>1.38202496917672E+17</v>
      </c>
      <c r="B1086" s="31" t="s">
        <v>201</v>
      </c>
      <c r="C1086" s="32" t="str">
        <f t="shared" si="32"/>
        <v>Mar</v>
      </c>
      <c r="D1086" s="3" t="s">
        <v>16</v>
      </c>
      <c r="E1086" s="6">
        <v>276137</v>
      </c>
      <c r="F1086" s="6">
        <v>7117</v>
      </c>
      <c r="G1086" s="6">
        <v>3</v>
      </c>
      <c r="H1086" s="6">
        <v>156.31067959999999</v>
      </c>
      <c r="I1086" s="6">
        <v>4</v>
      </c>
      <c r="J1086" s="6">
        <v>161</v>
      </c>
      <c r="K1086" s="6">
        <v>52.42718447</v>
      </c>
      <c r="L1086" s="3" t="s">
        <v>22</v>
      </c>
      <c r="M1086" s="26"/>
    </row>
    <row r="1087" spans="1:13" x14ac:dyDescent="0.25">
      <c r="A1087" s="6">
        <v>1.38189717413234E+17</v>
      </c>
      <c r="B1087" s="31" t="s">
        <v>201</v>
      </c>
      <c r="C1087" s="32" t="str">
        <f t="shared" si="32"/>
        <v>Mar</v>
      </c>
      <c r="D1087" s="3" t="s">
        <v>9</v>
      </c>
      <c r="E1087" s="6">
        <v>493228</v>
      </c>
      <c r="F1087" s="6">
        <v>7117</v>
      </c>
      <c r="G1087" s="6">
        <v>3</v>
      </c>
      <c r="H1087" s="6">
        <v>169.90291260000001</v>
      </c>
      <c r="I1087" s="6">
        <v>5</v>
      </c>
      <c r="J1087" s="6">
        <v>175</v>
      </c>
      <c r="K1087" s="6">
        <v>48.543689319999999</v>
      </c>
      <c r="L1087" s="3" t="s">
        <v>63</v>
      </c>
      <c r="M1087" s="26"/>
    </row>
    <row r="1088" spans="1:13" x14ac:dyDescent="0.25">
      <c r="A1088" s="6">
        <v>1.3515177586701699E+17</v>
      </c>
      <c r="B1088" s="31" t="s">
        <v>244</v>
      </c>
      <c r="C1088" s="32" t="str">
        <f t="shared" si="32"/>
        <v>Mar</v>
      </c>
      <c r="D1088" s="3" t="s">
        <v>21</v>
      </c>
      <c r="E1088" s="6">
        <v>333001</v>
      </c>
      <c r="F1088" s="6">
        <v>7117</v>
      </c>
      <c r="G1088" s="6">
        <v>3</v>
      </c>
      <c r="H1088" s="6">
        <v>145.631068</v>
      </c>
      <c r="I1088" s="6">
        <v>4</v>
      </c>
      <c r="J1088" s="6">
        <v>150</v>
      </c>
      <c r="K1088" s="6">
        <v>45.631067960000003</v>
      </c>
      <c r="L1088" s="3" t="s">
        <v>10</v>
      </c>
      <c r="M1088" s="26"/>
    </row>
    <row r="1089" spans="1:13" x14ac:dyDescent="0.25">
      <c r="A1089" s="6">
        <v>1.36040962722792E+17</v>
      </c>
      <c r="B1089" s="31" t="s">
        <v>205</v>
      </c>
      <c r="C1089" s="32" t="str">
        <f t="shared" si="32"/>
        <v>Mar</v>
      </c>
      <c r="D1089" s="3" t="s">
        <v>9</v>
      </c>
      <c r="E1089" s="6">
        <v>843146</v>
      </c>
      <c r="F1089" s="6">
        <v>7117</v>
      </c>
      <c r="G1089" s="6">
        <v>3</v>
      </c>
      <c r="H1089" s="6">
        <v>168.93203879999999</v>
      </c>
      <c r="I1089" s="6">
        <v>5</v>
      </c>
      <c r="J1089" s="6">
        <v>174</v>
      </c>
      <c r="K1089" s="6">
        <v>47.57281553</v>
      </c>
      <c r="L1089" s="3" t="s">
        <v>17</v>
      </c>
      <c r="M1089" s="26"/>
    </row>
    <row r="1090" spans="1:13" x14ac:dyDescent="0.25">
      <c r="A1090" s="6">
        <v>1.3506210431113901E+17</v>
      </c>
      <c r="B1090" s="31" t="s">
        <v>215</v>
      </c>
      <c r="C1090" s="32" t="str">
        <f t="shared" si="32"/>
        <v>Mar</v>
      </c>
      <c r="D1090" s="3" t="s">
        <v>25</v>
      </c>
      <c r="E1090" s="6">
        <v>846009</v>
      </c>
      <c r="F1090" s="6">
        <v>7117</v>
      </c>
      <c r="G1090" s="6">
        <v>3</v>
      </c>
      <c r="H1090" s="6">
        <v>151.45631069999999</v>
      </c>
      <c r="I1090" s="6">
        <v>4</v>
      </c>
      <c r="J1090" s="6">
        <v>156</v>
      </c>
      <c r="K1090" s="6">
        <v>37.86407767</v>
      </c>
      <c r="L1090" s="3" t="s">
        <v>12</v>
      </c>
      <c r="M1090" s="26"/>
    </row>
    <row r="1091" spans="1:13" x14ac:dyDescent="0.25">
      <c r="A1091" s="6">
        <v>1.3492312452976099E+17</v>
      </c>
      <c r="B1091" s="31" t="s">
        <v>215</v>
      </c>
      <c r="C1091" s="32" t="str">
        <f t="shared" ref="C1091:C1154" si="33">TEXT(B1091, "mmm")</f>
        <v>Mar</v>
      </c>
      <c r="D1091" s="3" t="s">
        <v>9</v>
      </c>
      <c r="E1091" s="6">
        <v>243632</v>
      </c>
      <c r="F1091" s="6">
        <v>7117</v>
      </c>
      <c r="G1091" s="6">
        <v>3</v>
      </c>
      <c r="H1091" s="6">
        <v>166.0194175</v>
      </c>
      <c r="I1091" s="6">
        <v>4</v>
      </c>
      <c r="J1091" s="6">
        <v>171</v>
      </c>
      <c r="K1091" s="6">
        <v>52.42718447</v>
      </c>
      <c r="L1091" s="3" t="s">
        <v>23</v>
      </c>
      <c r="M1091" s="26"/>
    </row>
    <row r="1092" spans="1:13" x14ac:dyDescent="0.25">
      <c r="A1092" s="6">
        <v>1.3705479260973501E+17</v>
      </c>
      <c r="B1092" s="31" t="s">
        <v>269</v>
      </c>
      <c r="C1092" s="32" t="str">
        <f t="shared" si="33"/>
        <v>Mar</v>
      </c>
      <c r="D1092" s="3" t="s">
        <v>16</v>
      </c>
      <c r="E1092" s="6">
        <v>144514</v>
      </c>
      <c r="F1092" s="6">
        <v>7117</v>
      </c>
      <c r="G1092" s="6">
        <v>3</v>
      </c>
      <c r="H1092" s="6">
        <v>169.90291260000001</v>
      </c>
      <c r="I1092" s="6">
        <v>5</v>
      </c>
      <c r="J1092" s="6">
        <v>175</v>
      </c>
      <c r="K1092" s="6">
        <v>48.543689319999999</v>
      </c>
      <c r="L1092" s="3" t="s">
        <v>63</v>
      </c>
      <c r="M1092" s="26"/>
    </row>
    <row r="1093" spans="1:13" x14ac:dyDescent="0.25">
      <c r="A1093" s="6">
        <v>1.2817043553996499E+17</v>
      </c>
      <c r="B1093" s="31" t="s">
        <v>235</v>
      </c>
      <c r="C1093" s="32" t="str">
        <f t="shared" si="33"/>
        <v>Mar</v>
      </c>
      <c r="D1093" s="3" t="s">
        <v>25</v>
      </c>
      <c r="E1093" s="6">
        <v>151001</v>
      </c>
      <c r="F1093" s="6">
        <v>7117</v>
      </c>
      <c r="G1093" s="6">
        <v>3</v>
      </c>
      <c r="H1093" s="6">
        <v>165.04854370000001</v>
      </c>
      <c r="I1093" s="6">
        <v>4</v>
      </c>
      <c r="J1093" s="6">
        <v>170</v>
      </c>
      <c r="K1093" s="6">
        <v>43.689320389999999</v>
      </c>
      <c r="L1093" s="3" t="s">
        <v>10</v>
      </c>
      <c r="M1093" s="26"/>
    </row>
    <row r="1094" spans="1:13" x14ac:dyDescent="0.25">
      <c r="A1094" s="6">
        <v>1.35408240900374E+17</v>
      </c>
      <c r="B1094" s="31" t="s">
        <v>244</v>
      </c>
      <c r="C1094" s="32" t="str">
        <f t="shared" si="33"/>
        <v>Mar</v>
      </c>
      <c r="D1094" s="3" t="s">
        <v>25</v>
      </c>
      <c r="E1094" s="6">
        <v>175012</v>
      </c>
      <c r="F1094" s="6">
        <v>7117</v>
      </c>
      <c r="G1094" s="6">
        <v>3</v>
      </c>
      <c r="H1094" s="6">
        <v>143.68932040000001</v>
      </c>
      <c r="I1094" s="6">
        <v>4</v>
      </c>
      <c r="J1094" s="6">
        <v>148</v>
      </c>
      <c r="K1094" s="6">
        <v>52.42718447</v>
      </c>
      <c r="L1094" s="3" t="s">
        <v>27</v>
      </c>
      <c r="M1094" s="26"/>
    </row>
    <row r="1095" spans="1:13" x14ac:dyDescent="0.25">
      <c r="A1095" s="6">
        <v>1.3051976029034899E+17</v>
      </c>
      <c r="B1095" s="31" t="s">
        <v>252</v>
      </c>
      <c r="C1095" s="32" t="str">
        <f t="shared" si="33"/>
        <v>Mar</v>
      </c>
      <c r="D1095" s="3" t="s">
        <v>16</v>
      </c>
      <c r="E1095" s="6">
        <v>285203</v>
      </c>
      <c r="F1095" s="6">
        <v>7117</v>
      </c>
      <c r="G1095" s="6">
        <v>3</v>
      </c>
      <c r="H1095" s="6">
        <v>172.81553400000001</v>
      </c>
      <c r="I1095" s="6">
        <v>5</v>
      </c>
      <c r="J1095" s="6">
        <v>178</v>
      </c>
      <c r="K1095" s="6">
        <v>51.456310680000001</v>
      </c>
      <c r="L1095" s="3" t="s">
        <v>19</v>
      </c>
      <c r="M1095" s="26"/>
    </row>
    <row r="1096" spans="1:13" x14ac:dyDescent="0.25">
      <c r="A1096" s="6">
        <v>1.3469094179232301E+17</v>
      </c>
      <c r="B1096" s="31" t="s">
        <v>219</v>
      </c>
      <c r="C1096" s="32" t="str">
        <f t="shared" si="33"/>
        <v>Mar</v>
      </c>
      <c r="D1096" s="3" t="s">
        <v>25</v>
      </c>
      <c r="E1096" s="6">
        <v>271855</v>
      </c>
      <c r="F1096" s="6">
        <v>7117</v>
      </c>
      <c r="G1096" s="6">
        <v>3</v>
      </c>
      <c r="H1096" s="6">
        <v>162.1359223</v>
      </c>
      <c r="I1096" s="6">
        <v>4</v>
      </c>
      <c r="J1096" s="6">
        <v>167</v>
      </c>
      <c r="K1096" s="6">
        <v>45.631067960000003</v>
      </c>
      <c r="L1096" s="3" t="s">
        <v>63</v>
      </c>
      <c r="M1096" s="26"/>
    </row>
    <row r="1097" spans="1:13" x14ac:dyDescent="0.25">
      <c r="A1097" s="6">
        <v>1.3275269312627501E+17</v>
      </c>
      <c r="B1097" s="31" t="s">
        <v>248</v>
      </c>
      <c r="C1097" s="32" t="str">
        <f t="shared" si="33"/>
        <v>Mar</v>
      </c>
      <c r="D1097" s="3" t="s">
        <v>9</v>
      </c>
      <c r="E1097" s="6">
        <v>413503</v>
      </c>
      <c r="F1097" s="6">
        <v>7117</v>
      </c>
      <c r="G1097" s="6">
        <v>3</v>
      </c>
      <c r="H1097" s="6">
        <v>168.93203879999999</v>
      </c>
      <c r="I1097" s="6">
        <v>5</v>
      </c>
      <c r="J1097" s="6">
        <v>174</v>
      </c>
      <c r="K1097" s="6">
        <v>52.42718447</v>
      </c>
      <c r="L1097" s="3" t="s">
        <v>22</v>
      </c>
      <c r="M1097" s="26"/>
    </row>
    <row r="1098" spans="1:13" x14ac:dyDescent="0.25">
      <c r="A1098" s="6">
        <v>1.38092223311808E+17</v>
      </c>
      <c r="B1098" s="31" t="s">
        <v>201</v>
      </c>
      <c r="C1098" s="32" t="str">
        <f t="shared" si="33"/>
        <v>Mar</v>
      </c>
      <c r="D1098" s="3" t="s">
        <v>25</v>
      </c>
      <c r="E1098" s="6">
        <v>444704</v>
      </c>
      <c r="F1098" s="6">
        <v>7117</v>
      </c>
      <c r="G1098" s="6">
        <v>3</v>
      </c>
      <c r="H1098" s="6">
        <v>156.31067959999999</v>
      </c>
      <c r="I1098" s="6">
        <v>4</v>
      </c>
      <c r="J1098" s="6">
        <v>161</v>
      </c>
      <c r="K1098" s="6">
        <v>52.42718447</v>
      </c>
      <c r="L1098" s="3" t="s">
        <v>26</v>
      </c>
      <c r="M1098" s="26"/>
    </row>
    <row r="1099" spans="1:13" x14ac:dyDescent="0.25">
      <c r="A1099" s="6">
        <v>1.3231165706214099E+17</v>
      </c>
      <c r="B1099" s="31" t="s">
        <v>287</v>
      </c>
      <c r="C1099" s="32" t="str">
        <f t="shared" si="33"/>
        <v>Mar</v>
      </c>
      <c r="D1099" s="3" t="s">
        <v>33</v>
      </c>
      <c r="E1099" s="6">
        <v>825324</v>
      </c>
      <c r="F1099" s="6">
        <v>7117</v>
      </c>
      <c r="G1099" s="6">
        <v>3</v>
      </c>
      <c r="H1099" s="6">
        <v>160.19417480000001</v>
      </c>
      <c r="I1099" s="6">
        <v>4</v>
      </c>
      <c r="J1099" s="6">
        <v>165</v>
      </c>
      <c r="K1099" s="6">
        <v>56.310679610000001</v>
      </c>
      <c r="L1099" s="3" t="s">
        <v>37</v>
      </c>
      <c r="M1099" s="26"/>
    </row>
    <row r="1100" spans="1:13" x14ac:dyDescent="0.25">
      <c r="A1100" s="6">
        <v>1.32719428953512E+17</v>
      </c>
      <c r="B1100" s="31" t="s">
        <v>248</v>
      </c>
      <c r="C1100" s="32" t="str">
        <f t="shared" si="33"/>
        <v>Mar</v>
      </c>
      <c r="D1100" s="3" t="s">
        <v>9</v>
      </c>
      <c r="E1100" s="6">
        <v>185121</v>
      </c>
      <c r="F1100" s="6">
        <v>7117</v>
      </c>
      <c r="G1100" s="6">
        <v>3</v>
      </c>
      <c r="H1100" s="6">
        <v>152.42718450000001</v>
      </c>
      <c r="I1100" s="6">
        <v>4</v>
      </c>
      <c r="J1100" s="6">
        <v>157</v>
      </c>
      <c r="K1100" s="6">
        <v>52.42718447</v>
      </c>
      <c r="L1100" s="3" t="s">
        <v>22</v>
      </c>
      <c r="M1100" s="26"/>
    </row>
    <row r="1101" spans="1:13" x14ac:dyDescent="0.25">
      <c r="A1101" s="6">
        <v>1.3821351908721101E+17</v>
      </c>
      <c r="B1101" s="31" t="s">
        <v>201</v>
      </c>
      <c r="C1101" s="32" t="str">
        <f t="shared" si="33"/>
        <v>Mar</v>
      </c>
      <c r="D1101" s="3" t="s">
        <v>25</v>
      </c>
      <c r="E1101" s="6">
        <v>626117</v>
      </c>
      <c r="F1101" s="6">
        <v>7117</v>
      </c>
      <c r="G1101" s="6">
        <v>3</v>
      </c>
      <c r="H1101" s="6">
        <v>180.58252429999999</v>
      </c>
      <c r="I1101" s="6">
        <v>5</v>
      </c>
      <c r="J1101" s="6">
        <v>186</v>
      </c>
      <c r="K1101" s="6">
        <v>59.223300969999997</v>
      </c>
      <c r="L1101" s="3" t="s">
        <v>26</v>
      </c>
      <c r="M1101" s="26"/>
    </row>
    <row r="1102" spans="1:13" x14ac:dyDescent="0.25">
      <c r="A1102" s="6">
        <v>1.31338229772422E+17</v>
      </c>
      <c r="B1102" s="31" t="s">
        <v>335</v>
      </c>
      <c r="C1102" s="32" t="str">
        <f t="shared" si="33"/>
        <v>Mar</v>
      </c>
      <c r="D1102" s="3" t="s">
        <v>9</v>
      </c>
      <c r="E1102" s="6">
        <v>848114</v>
      </c>
      <c r="F1102" s="6">
        <v>7117</v>
      </c>
      <c r="G1102" s="6">
        <v>3</v>
      </c>
      <c r="H1102" s="6">
        <v>170.8737864</v>
      </c>
      <c r="I1102" s="6">
        <v>5</v>
      </c>
      <c r="J1102" s="6">
        <v>176</v>
      </c>
      <c r="K1102" s="6">
        <v>49.514563109999997</v>
      </c>
      <c r="L1102" s="3" t="s">
        <v>10</v>
      </c>
      <c r="M1102" s="26"/>
    </row>
    <row r="1103" spans="1:13" x14ac:dyDescent="0.25">
      <c r="A1103" s="6">
        <v>1.3022030296085299E+17</v>
      </c>
      <c r="B1103" s="31" t="s">
        <v>356</v>
      </c>
      <c r="C1103" s="32" t="str">
        <f t="shared" si="33"/>
        <v>Mar</v>
      </c>
      <c r="D1103" s="3" t="s">
        <v>25</v>
      </c>
      <c r="E1103" s="6">
        <v>845106</v>
      </c>
      <c r="F1103" s="6">
        <v>7117</v>
      </c>
      <c r="G1103" s="6">
        <v>3</v>
      </c>
      <c r="H1103" s="6">
        <v>177.66990290000001</v>
      </c>
      <c r="I1103" s="6">
        <v>5</v>
      </c>
      <c r="J1103" s="6">
        <v>183</v>
      </c>
      <c r="K1103" s="6">
        <v>56.310679610000001</v>
      </c>
      <c r="L1103" s="3" t="s">
        <v>22</v>
      </c>
      <c r="M1103" s="26"/>
    </row>
    <row r="1104" spans="1:13" x14ac:dyDescent="0.25">
      <c r="A1104" s="6">
        <v>1.30146817139998E+17</v>
      </c>
      <c r="B1104" s="31" t="s">
        <v>356</v>
      </c>
      <c r="C1104" s="32" t="str">
        <f t="shared" si="33"/>
        <v>Mar</v>
      </c>
      <c r="D1104" s="3" t="s">
        <v>25</v>
      </c>
      <c r="E1104" s="6">
        <v>221404</v>
      </c>
      <c r="F1104" s="6">
        <v>7117</v>
      </c>
      <c r="G1104" s="6">
        <v>3</v>
      </c>
      <c r="H1104" s="6">
        <v>177.66990290000001</v>
      </c>
      <c r="I1104" s="6">
        <v>5</v>
      </c>
      <c r="J1104" s="6">
        <v>183</v>
      </c>
      <c r="K1104" s="6">
        <v>56.310679610000001</v>
      </c>
      <c r="L1104" s="3" t="s">
        <v>23</v>
      </c>
      <c r="M1104" s="26"/>
    </row>
    <row r="1105" spans="1:13" x14ac:dyDescent="0.25">
      <c r="A1105" s="6">
        <v>1.33463072957726E+17</v>
      </c>
      <c r="B1105" s="31" t="s">
        <v>275</v>
      </c>
      <c r="C1105" s="32" t="str">
        <f t="shared" si="33"/>
        <v>Mar</v>
      </c>
      <c r="D1105" s="3" t="s">
        <v>25</v>
      </c>
      <c r="E1105" s="6">
        <v>226016</v>
      </c>
      <c r="F1105" s="6">
        <v>7117</v>
      </c>
      <c r="G1105" s="6">
        <v>3</v>
      </c>
      <c r="H1105" s="6">
        <v>243.68932040000001</v>
      </c>
      <c r="I1105" s="6">
        <v>7</v>
      </c>
      <c r="J1105" s="6">
        <v>251</v>
      </c>
      <c r="K1105" s="6">
        <v>33.980582519999999</v>
      </c>
      <c r="L1105" s="3" t="s">
        <v>63</v>
      </c>
      <c r="M1105" s="26"/>
    </row>
    <row r="1106" spans="1:13" x14ac:dyDescent="0.25">
      <c r="A1106" s="6">
        <v>1.34852030421574E+17</v>
      </c>
      <c r="B1106" s="31" t="s">
        <v>215</v>
      </c>
      <c r="C1106" s="32" t="str">
        <f t="shared" si="33"/>
        <v>Mar</v>
      </c>
      <c r="D1106" s="3" t="s">
        <v>9</v>
      </c>
      <c r="E1106" s="6">
        <v>276123</v>
      </c>
      <c r="F1106" s="6">
        <v>7117</v>
      </c>
      <c r="G1106" s="6">
        <v>3</v>
      </c>
      <c r="H1106" s="6">
        <v>211.65048540000001</v>
      </c>
      <c r="I1106" s="6">
        <v>6</v>
      </c>
      <c r="J1106" s="6">
        <v>218</v>
      </c>
      <c r="K1106" s="6">
        <v>52.42718447</v>
      </c>
      <c r="L1106" s="3" t="s">
        <v>22</v>
      </c>
      <c r="M1106" s="26"/>
    </row>
    <row r="1107" spans="1:13" x14ac:dyDescent="0.25">
      <c r="A1107" s="6">
        <v>1.3384303448716899E+17</v>
      </c>
      <c r="B1107" s="31" t="s">
        <v>239</v>
      </c>
      <c r="C1107" s="32" t="str">
        <f t="shared" si="33"/>
        <v>Mar</v>
      </c>
      <c r="D1107" s="3" t="s">
        <v>33</v>
      </c>
      <c r="E1107" s="6">
        <v>243402</v>
      </c>
      <c r="F1107" s="6">
        <v>7117</v>
      </c>
      <c r="G1107" s="6">
        <v>3</v>
      </c>
      <c r="H1107" s="6">
        <v>161.16504850000001</v>
      </c>
      <c r="I1107" s="6">
        <v>4</v>
      </c>
      <c r="J1107" s="6">
        <v>166</v>
      </c>
      <c r="K1107" s="6">
        <v>44.660194169999997</v>
      </c>
      <c r="L1107" s="3" t="s">
        <v>10</v>
      </c>
      <c r="M1107" s="26"/>
    </row>
    <row r="1108" spans="1:13" x14ac:dyDescent="0.25">
      <c r="A1108" s="6">
        <v>1.3273496117756099E+17</v>
      </c>
      <c r="B1108" s="31" t="s">
        <v>248</v>
      </c>
      <c r="C1108" s="32" t="str">
        <f t="shared" si="33"/>
        <v>Mar</v>
      </c>
      <c r="D1108" s="3" t="s">
        <v>9</v>
      </c>
      <c r="E1108" s="6">
        <v>201304</v>
      </c>
      <c r="F1108" s="6">
        <v>7117</v>
      </c>
      <c r="G1108" s="6">
        <v>3</v>
      </c>
      <c r="H1108" s="6">
        <v>161.16504850000001</v>
      </c>
      <c r="I1108" s="6">
        <v>4</v>
      </c>
      <c r="J1108" s="6">
        <v>166</v>
      </c>
      <c r="K1108" s="6">
        <v>44.660194169999997</v>
      </c>
      <c r="L1108" s="3" t="s">
        <v>10</v>
      </c>
      <c r="M1108" s="26"/>
    </row>
    <row r="1109" spans="1:13" x14ac:dyDescent="0.25">
      <c r="A1109" s="6">
        <v>1.36023670132212E+17</v>
      </c>
      <c r="B1109" s="31" t="s">
        <v>205</v>
      </c>
      <c r="C1109" s="32" t="str">
        <f t="shared" si="33"/>
        <v>Mar</v>
      </c>
      <c r="D1109" s="3" t="s">
        <v>25</v>
      </c>
      <c r="E1109" s="6">
        <v>201013</v>
      </c>
      <c r="F1109" s="6">
        <v>7117</v>
      </c>
      <c r="G1109" s="6">
        <v>3</v>
      </c>
      <c r="H1109" s="6">
        <v>160.19417480000001</v>
      </c>
      <c r="I1109" s="6">
        <v>4</v>
      </c>
      <c r="J1109" s="6">
        <v>165</v>
      </c>
      <c r="K1109" s="6">
        <v>42.7184466</v>
      </c>
      <c r="L1109" s="3" t="s">
        <v>10</v>
      </c>
      <c r="M1109" s="26"/>
    </row>
    <row r="1110" spans="1:13" x14ac:dyDescent="0.25">
      <c r="A1110" s="6">
        <v>1.3778150555291299E+17</v>
      </c>
      <c r="B1110" s="31" t="s">
        <v>210</v>
      </c>
      <c r="C1110" s="32" t="str">
        <f t="shared" si="33"/>
        <v>Mar</v>
      </c>
      <c r="D1110" s="3" t="s">
        <v>25</v>
      </c>
      <c r="E1110" s="6">
        <v>110043</v>
      </c>
      <c r="F1110" s="6">
        <v>7117</v>
      </c>
      <c r="G1110" s="6">
        <v>3</v>
      </c>
      <c r="H1110" s="6">
        <v>173.78640780000001</v>
      </c>
      <c r="I1110" s="6">
        <v>5</v>
      </c>
      <c r="J1110" s="6">
        <v>179</v>
      </c>
      <c r="K1110" s="6">
        <v>52.42718447</v>
      </c>
      <c r="L1110" s="3" t="s">
        <v>19</v>
      </c>
      <c r="M1110" s="26"/>
    </row>
    <row r="1111" spans="1:13" x14ac:dyDescent="0.25">
      <c r="A1111" s="6">
        <v>1.3633743330938099E+17</v>
      </c>
      <c r="B1111" s="31" t="s">
        <v>226</v>
      </c>
      <c r="C1111" s="32" t="str">
        <f t="shared" si="33"/>
        <v>Mar</v>
      </c>
      <c r="D1111" s="3" t="s">
        <v>9</v>
      </c>
      <c r="E1111" s="6">
        <v>222139</v>
      </c>
      <c r="F1111" s="6">
        <v>7117</v>
      </c>
      <c r="G1111" s="6">
        <v>3</v>
      </c>
      <c r="H1111" s="6">
        <v>164.07766989999999</v>
      </c>
      <c r="I1111" s="6">
        <v>4</v>
      </c>
      <c r="J1111" s="6">
        <v>169</v>
      </c>
      <c r="K1111" s="6">
        <v>52.42718447</v>
      </c>
      <c r="L1111" s="3" t="s">
        <v>23</v>
      </c>
      <c r="M1111" s="26"/>
    </row>
    <row r="1112" spans="1:13" x14ac:dyDescent="0.25">
      <c r="A1112" s="6">
        <v>1.3816566850666701E+17</v>
      </c>
      <c r="B1112" s="31" t="s">
        <v>201</v>
      </c>
      <c r="C1112" s="32" t="str">
        <f t="shared" si="33"/>
        <v>Mar</v>
      </c>
      <c r="D1112" s="3" t="s">
        <v>9</v>
      </c>
      <c r="E1112" s="6">
        <v>226013</v>
      </c>
      <c r="F1112" s="6">
        <v>7117</v>
      </c>
      <c r="G1112" s="6">
        <v>3</v>
      </c>
      <c r="H1112" s="6">
        <v>164.07766989999999</v>
      </c>
      <c r="I1112" s="6">
        <v>4</v>
      </c>
      <c r="J1112" s="6">
        <v>169</v>
      </c>
      <c r="K1112" s="6">
        <v>42.7184466</v>
      </c>
      <c r="L1112" s="3" t="s">
        <v>26</v>
      </c>
      <c r="M1112" s="26"/>
    </row>
    <row r="1113" spans="1:13" x14ac:dyDescent="0.25">
      <c r="A1113" s="6">
        <v>1.34306093501582E+17</v>
      </c>
      <c r="B1113" s="31" t="s">
        <v>224</v>
      </c>
      <c r="C1113" s="32" t="str">
        <f t="shared" si="33"/>
        <v>Mar</v>
      </c>
      <c r="D1113" s="3" t="s">
        <v>16</v>
      </c>
      <c r="E1113" s="6">
        <v>491771</v>
      </c>
      <c r="F1113" s="6">
        <v>7117</v>
      </c>
      <c r="G1113" s="6">
        <v>3</v>
      </c>
      <c r="H1113" s="6">
        <v>166.9902913</v>
      </c>
      <c r="I1113" s="6">
        <v>5</v>
      </c>
      <c r="J1113" s="6">
        <v>172</v>
      </c>
      <c r="K1113" s="6">
        <v>52.42718447</v>
      </c>
      <c r="L1113" s="3" t="s">
        <v>22</v>
      </c>
      <c r="M1113" s="26"/>
    </row>
    <row r="1114" spans="1:13" x14ac:dyDescent="0.25">
      <c r="A1114" s="6">
        <v>1.3354559063346301E+17</v>
      </c>
      <c r="B1114" s="31" t="s">
        <v>275</v>
      </c>
      <c r="C1114" s="32" t="str">
        <f t="shared" si="33"/>
        <v>Mar</v>
      </c>
      <c r="D1114" s="3" t="s">
        <v>9</v>
      </c>
      <c r="E1114" s="6">
        <v>261506</v>
      </c>
      <c r="F1114" s="6">
        <v>7117</v>
      </c>
      <c r="G1114" s="6">
        <v>3</v>
      </c>
      <c r="H1114" s="6">
        <v>129.1262136</v>
      </c>
      <c r="I1114" s="6">
        <v>3</v>
      </c>
      <c r="J1114" s="6">
        <v>133</v>
      </c>
      <c r="K1114" s="6">
        <v>37.86407767</v>
      </c>
      <c r="L1114" s="3" t="s">
        <v>39</v>
      </c>
      <c r="M1114" s="26"/>
    </row>
    <row r="1115" spans="1:13" x14ac:dyDescent="0.25">
      <c r="A1115" s="6">
        <v>1.2874896715989E+17</v>
      </c>
      <c r="B1115" s="31" t="s">
        <v>318</v>
      </c>
      <c r="C1115" s="32" t="str">
        <f t="shared" si="33"/>
        <v>Mar</v>
      </c>
      <c r="D1115" s="3" t="s">
        <v>9</v>
      </c>
      <c r="E1115" s="6">
        <v>122413</v>
      </c>
      <c r="F1115" s="6">
        <v>7117</v>
      </c>
      <c r="G1115" s="6">
        <v>3</v>
      </c>
      <c r="H1115" s="6">
        <v>167.96116499999999</v>
      </c>
      <c r="I1115" s="6">
        <v>5</v>
      </c>
      <c r="J1115" s="6">
        <v>173</v>
      </c>
      <c r="K1115" s="6">
        <v>56.310679610000001</v>
      </c>
      <c r="L1115" s="3" t="s">
        <v>26</v>
      </c>
      <c r="M1115" s="26"/>
    </row>
    <row r="1116" spans="1:13" x14ac:dyDescent="0.25">
      <c r="A1116" s="6">
        <v>1.32040431064386E+17</v>
      </c>
      <c r="B1116" s="31" t="s">
        <v>203</v>
      </c>
      <c r="C1116" s="32" t="str">
        <f t="shared" si="33"/>
        <v>Mar</v>
      </c>
      <c r="D1116" s="3" t="s">
        <v>16</v>
      </c>
      <c r="E1116" s="6">
        <v>805106</v>
      </c>
      <c r="F1116" s="6">
        <v>7117</v>
      </c>
      <c r="G1116" s="6">
        <v>3</v>
      </c>
      <c r="H1116" s="6">
        <v>147.57281549999999</v>
      </c>
      <c r="I1116" s="6">
        <v>4</v>
      </c>
      <c r="J1116" s="6">
        <v>152</v>
      </c>
      <c r="K1116" s="6">
        <v>50.485436890000003</v>
      </c>
      <c r="L1116" s="3" t="s">
        <v>46</v>
      </c>
      <c r="M1116" s="26"/>
    </row>
    <row r="1117" spans="1:13" x14ac:dyDescent="0.25">
      <c r="A1117" s="6">
        <v>1.3533245631987699E+17</v>
      </c>
      <c r="B1117" s="31" t="s">
        <v>244</v>
      </c>
      <c r="C1117" s="32" t="str">
        <f t="shared" si="33"/>
        <v>Mar</v>
      </c>
      <c r="D1117" s="3" t="s">
        <v>9</v>
      </c>
      <c r="E1117" s="6">
        <v>800014</v>
      </c>
      <c r="F1117" s="6">
        <v>7117</v>
      </c>
      <c r="G1117" s="6">
        <v>3</v>
      </c>
      <c r="H1117" s="6">
        <v>146.6019417</v>
      </c>
      <c r="I1117" s="6">
        <v>4</v>
      </c>
      <c r="J1117" s="6">
        <v>151</v>
      </c>
      <c r="K1117" s="6">
        <v>33.009708740000001</v>
      </c>
      <c r="L1117" s="3" t="s">
        <v>10</v>
      </c>
      <c r="M1117" s="26"/>
    </row>
    <row r="1118" spans="1:13" x14ac:dyDescent="0.25">
      <c r="A1118" s="6">
        <v>1.3103667751410099E+17</v>
      </c>
      <c r="B1118" s="31" t="s">
        <v>207</v>
      </c>
      <c r="C1118" s="32" t="str">
        <f t="shared" si="33"/>
        <v>Mar</v>
      </c>
      <c r="D1118" s="3" t="s">
        <v>33</v>
      </c>
      <c r="E1118" s="6">
        <v>232327</v>
      </c>
      <c r="F1118" s="6">
        <v>7117</v>
      </c>
      <c r="G1118" s="6">
        <v>3</v>
      </c>
      <c r="H1118" s="6">
        <v>158.2524272</v>
      </c>
      <c r="I1118" s="6">
        <v>4</v>
      </c>
      <c r="J1118" s="6">
        <v>163</v>
      </c>
      <c r="K1118" s="6">
        <v>55.339805830000003</v>
      </c>
      <c r="L1118" s="3" t="s">
        <v>196</v>
      </c>
      <c r="M1118" s="26"/>
    </row>
    <row r="1119" spans="1:13" x14ac:dyDescent="0.25">
      <c r="A1119" s="6">
        <v>1.34897091263496E+17</v>
      </c>
      <c r="B1119" s="31" t="s">
        <v>215</v>
      </c>
      <c r="C1119" s="32" t="str">
        <f t="shared" si="33"/>
        <v>Mar</v>
      </c>
      <c r="D1119" s="3" t="s">
        <v>25</v>
      </c>
      <c r="E1119" s="6">
        <v>848101</v>
      </c>
      <c r="F1119" s="6">
        <v>7117</v>
      </c>
      <c r="G1119" s="6">
        <v>3</v>
      </c>
      <c r="H1119" s="6">
        <v>255.33980579999999</v>
      </c>
      <c r="I1119" s="6">
        <v>7</v>
      </c>
      <c r="J1119" s="6">
        <v>263</v>
      </c>
      <c r="K1119" s="6">
        <v>45.631067960000003</v>
      </c>
      <c r="L1119" s="3" t="s">
        <v>27</v>
      </c>
      <c r="M1119" s="26"/>
    </row>
    <row r="1120" spans="1:13" x14ac:dyDescent="0.25">
      <c r="A1120" s="6">
        <v>1.32571350543302E+17</v>
      </c>
      <c r="B1120" s="31" t="s">
        <v>248</v>
      </c>
      <c r="C1120" s="32" t="str">
        <f t="shared" si="33"/>
        <v>Mar</v>
      </c>
      <c r="D1120" s="3" t="s">
        <v>25</v>
      </c>
      <c r="E1120" s="6">
        <v>335001</v>
      </c>
      <c r="F1120" s="6">
        <v>7117</v>
      </c>
      <c r="G1120" s="6">
        <v>3</v>
      </c>
      <c r="H1120" s="6">
        <v>135.92233010000001</v>
      </c>
      <c r="I1120" s="6">
        <v>4</v>
      </c>
      <c r="J1120" s="6">
        <v>140</v>
      </c>
      <c r="K1120" s="6">
        <v>37.86407767</v>
      </c>
      <c r="L1120" s="3" t="s">
        <v>19</v>
      </c>
      <c r="M1120" s="26"/>
    </row>
    <row r="1121" spans="1:13" x14ac:dyDescent="0.25">
      <c r="A1121" s="6">
        <v>1.32561919687952E+17</v>
      </c>
      <c r="B1121" s="31" t="s">
        <v>248</v>
      </c>
      <c r="C1121" s="32" t="str">
        <f t="shared" si="33"/>
        <v>Mar</v>
      </c>
      <c r="D1121" s="3" t="s">
        <v>33</v>
      </c>
      <c r="E1121" s="6">
        <v>123401</v>
      </c>
      <c r="F1121" s="6">
        <v>7117</v>
      </c>
      <c r="G1121" s="6">
        <v>3</v>
      </c>
      <c r="H1121" s="6">
        <v>152.42718450000001</v>
      </c>
      <c r="I1121" s="6">
        <v>4</v>
      </c>
      <c r="J1121" s="6">
        <v>157</v>
      </c>
      <c r="K1121" s="6">
        <v>52.42718447</v>
      </c>
      <c r="L1121" s="3" t="s">
        <v>37</v>
      </c>
      <c r="M1121" s="26"/>
    </row>
    <row r="1122" spans="1:13" x14ac:dyDescent="0.25">
      <c r="A1122" s="6">
        <v>1.3286706743387901E+17</v>
      </c>
      <c r="B1122" s="31" t="s">
        <v>248</v>
      </c>
      <c r="C1122" s="32" t="str">
        <f t="shared" si="33"/>
        <v>Mar</v>
      </c>
      <c r="D1122" s="3" t="s">
        <v>9</v>
      </c>
      <c r="E1122" s="6">
        <v>400607</v>
      </c>
      <c r="F1122" s="6">
        <v>7117</v>
      </c>
      <c r="G1122" s="6">
        <v>3</v>
      </c>
      <c r="H1122" s="6">
        <v>168.93203879999999</v>
      </c>
      <c r="I1122" s="6">
        <v>5</v>
      </c>
      <c r="J1122" s="6">
        <v>174</v>
      </c>
      <c r="K1122" s="6">
        <v>52.42718447</v>
      </c>
      <c r="L1122" s="3" t="s">
        <v>41</v>
      </c>
      <c r="M1122" s="26"/>
    </row>
    <row r="1123" spans="1:13" x14ac:dyDescent="0.25">
      <c r="A1123" s="6">
        <v>1.2907984073740099E+17</v>
      </c>
      <c r="B1123" s="31" t="s">
        <v>237</v>
      </c>
      <c r="C1123" s="32" t="str">
        <f t="shared" si="33"/>
        <v>Mar</v>
      </c>
      <c r="D1123" s="3" t="s">
        <v>33</v>
      </c>
      <c r="E1123" s="6">
        <v>477222</v>
      </c>
      <c r="F1123" s="6">
        <v>7117</v>
      </c>
      <c r="G1123" s="6">
        <v>3</v>
      </c>
      <c r="H1123" s="6">
        <v>120.3883495</v>
      </c>
      <c r="I1123" s="6">
        <v>3</v>
      </c>
      <c r="J1123" s="6">
        <v>124</v>
      </c>
      <c r="K1123" s="6">
        <v>40.776699030000003</v>
      </c>
      <c r="L1123" s="3" t="s">
        <v>37</v>
      </c>
      <c r="M1123" s="26"/>
    </row>
    <row r="1124" spans="1:13" x14ac:dyDescent="0.25">
      <c r="A1124" s="6">
        <v>1.32414229646312E+17</v>
      </c>
      <c r="B1124" s="31" t="s">
        <v>287</v>
      </c>
      <c r="C1124" s="32" t="str">
        <f t="shared" si="33"/>
        <v>Mar</v>
      </c>
      <c r="D1124" s="3" t="s">
        <v>9</v>
      </c>
      <c r="E1124" s="6">
        <v>413102</v>
      </c>
      <c r="F1124" s="6">
        <v>7117</v>
      </c>
      <c r="G1124" s="6">
        <v>3</v>
      </c>
      <c r="H1124" s="6">
        <v>170.8737864</v>
      </c>
      <c r="I1124" s="6">
        <v>5</v>
      </c>
      <c r="J1124" s="6">
        <v>176</v>
      </c>
      <c r="K1124" s="6">
        <v>73.786407769999997</v>
      </c>
      <c r="L1124" s="3" t="s">
        <v>35</v>
      </c>
      <c r="M1124" s="26"/>
    </row>
    <row r="1125" spans="1:13" x14ac:dyDescent="0.25">
      <c r="A1125" s="6">
        <v>1.3525512610480099E+17</v>
      </c>
      <c r="B1125" s="31" t="s">
        <v>244</v>
      </c>
      <c r="C1125" s="32" t="str">
        <f t="shared" si="33"/>
        <v>Mar</v>
      </c>
      <c r="D1125" s="3" t="s">
        <v>52</v>
      </c>
      <c r="E1125" s="6">
        <v>509001</v>
      </c>
      <c r="F1125" s="6">
        <v>7117</v>
      </c>
      <c r="G1125" s="6">
        <v>3</v>
      </c>
      <c r="H1125" s="6">
        <v>166.0194175</v>
      </c>
      <c r="I1125" s="6">
        <v>4</v>
      </c>
      <c r="J1125" s="6">
        <v>171</v>
      </c>
      <c r="K1125" s="6">
        <v>52.42718447</v>
      </c>
      <c r="L1125" s="3" t="s">
        <v>22</v>
      </c>
      <c r="M1125" s="26"/>
    </row>
    <row r="1126" spans="1:13" x14ac:dyDescent="0.25">
      <c r="A1126" s="6">
        <v>1.3264495660634099E+17</v>
      </c>
      <c r="B1126" s="31" t="s">
        <v>248</v>
      </c>
      <c r="C1126" s="32" t="str">
        <f t="shared" si="33"/>
        <v>Mar</v>
      </c>
      <c r="D1126" s="3" t="s">
        <v>52</v>
      </c>
      <c r="E1126" s="6">
        <v>277001</v>
      </c>
      <c r="F1126" s="6">
        <v>7117</v>
      </c>
      <c r="G1126" s="6">
        <v>3</v>
      </c>
      <c r="H1126" s="6">
        <v>154.368932</v>
      </c>
      <c r="I1126" s="6">
        <v>4</v>
      </c>
      <c r="J1126" s="6">
        <v>159</v>
      </c>
      <c r="K1126" s="6">
        <v>37.86407767</v>
      </c>
      <c r="L1126" s="3" t="s">
        <v>22</v>
      </c>
      <c r="M1126" s="26"/>
    </row>
    <row r="1127" spans="1:13" x14ac:dyDescent="0.25">
      <c r="A1127" s="6">
        <v>1.3616557139293101E+17</v>
      </c>
      <c r="B1127" s="31" t="s">
        <v>205</v>
      </c>
      <c r="C1127" s="32" t="str">
        <f t="shared" si="33"/>
        <v>Mar</v>
      </c>
      <c r="D1127" s="3" t="s">
        <v>9</v>
      </c>
      <c r="E1127" s="6">
        <v>509376</v>
      </c>
      <c r="F1127" s="6">
        <v>7117</v>
      </c>
      <c r="G1127" s="6">
        <v>3</v>
      </c>
      <c r="H1127" s="6">
        <v>150.4854369</v>
      </c>
      <c r="I1127" s="6">
        <v>4</v>
      </c>
      <c r="J1127" s="6">
        <v>155</v>
      </c>
      <c r="K1127" s="6">
        <v>33.009708740000001</v>
      </c>
      <c r="L1127" s="3" t="s">
        <v>10</v>
      </c>
      <c r="M1127" s="26"/>
    </row>
    <row r="1128" spans="1:13" x14ac:dyDescent="0.25">
      <c r="A1128" s="6">
        <v>1.3430557031576301E+17</v>
      </c>
      <c r="B1128" s="31" t="s">
        <v>224</v>
      </c>
      <c r="C1128" s="32" t="str">
        <f t="shared" si="33"/>
        <v>Mar</v>
      </c>
      <c r="D1128" s="3" t="s">
        <v>16</v>
      </c>
      <c r="E1128" s="6">
        <v>392240</v>
      </c>
      <c r="F1128" s="6">
        <v>7117</v>
      </c>
      <c r="G1128" s="6">
        <v>3</v>
      </c>
      <c r="H1128" s="6">
        <v>181.55339810000001</v>
      </c>
      <c r="I1128" s="6">
        <v>5</v>
      </c>
      <c r="J1128" s="6">
        <v>187</v>
      </c>
      <c r="K1128" s="6">
        <v>45.631067960000003</v>
      </c>
      <c r="L1128" s="3" t="s">
        <v>10</v>
      </c>
      <c r="M1128" s="26"/>
    </row>
    <row r="1129" spans="1:13" x14ac:dyDescent="0.25">
      <c r="A1129" s="6">
        <v>1.33846075034208E+17</v>
      </c>
      <c r="B1129" s="31" t="s">
        <v>239</v>
      </c>
      <c r="C1129" s="32" t="str">
        <f t="shared" si="33"/>
        <v>Mar</v>
      </c>
      <c r="D1129" s="3" t="s">
        <v>16</v>
      </c>
      <c r="E1129" s="6">
        <v>226005</v>
      </c>
      <c r="F1129" s="6">
        <v>7117</v>
      </c>
      <c r="G1129" s="6">
        <v>3</v>
      </c>
      <c r="H1129" s="6">
        <v>168.93203879999999</v>
      </c>
      <c r="I1129" s="6">
        <v>5</v>
      </c>
      <c r="J1129" s="6">
        <v>174</v>
      </c>
      <c r="K1129" s="6">
        <v>52.42718447</v>
      </c>
      <c r="L1129" s="3" t="s">
        <v>19</v>
      </c>
      <c r="M1129" s="26"/>
    </row>
    <row r="1130" spans="1:13" x14ac:dyDescent="0.25">
      <c r="A1130" s="6">
        <v>1.2891661315611699E+17</v>
      </c>
      <c r="B1130" s="31" t="s">
        <v>318</v>
      </c>
      <c r="C1130" s="32" t="str">
        <f t="shared" si="33"/>
        <v>Mar</v>
      </c>
      <c r="D1130" s="3" t="s">
        <v>71</v>
      </c>
      <c r="E1130" s="6">
        <v>226002</v>
      </c>
      <c r="F1130" s="6">
        <v>7117</v>
      </c>
      <c r="G1130" s="6">
        <v>3</v>
      </c>
      <c r="H1130" s="6">
        <v>191.2621359</v>
      </c>
      <c r="I1130" s="6">
        <v>5</v>
      </c>
      <c r="J1130" s="6">
        <v>197</v>
      </c>
      <c r="K1130" s="6">
        <v>40.776699030000003</v>
      </c>
      <c r="L1130" s="3" t="s">
        <v>53</v>
      </c>
      <c r="M1130" s="26"/>
    </row>
    <row r="1131" spans="1:13" x14ac:dyDescent="0.25">
      <c r="A1131" s="6">
        <v>1.3680849954685101E+17</v>
      </c>
      <c r="B1131" s="31" t="s">
        <v>217</v>
      </c>
      <c r="C1131" s="32" t="str">
        <f t="shared" si="33"/>
        <v>Mar</v>
      </c>
      <c r="D1131" s="3" t="s">
        <v>25</v>
      </c>
      <c r="E1131" s="6">
        <v>411060</v>
      </c>
      <c r="F1131" s="6">
        <v>7117</v>
      </c>
      <c r="G1131" s="6">
        <v>3</v>
      </c>
      <c r="H1131" s="6">
        <v>174.7572816</v>
      </c>
      <c r="I1131" s="6">
        <v>5</v>
      </c>
      <c r="J1131" s="6">
        <v>180</v>
      </c>
      <c r="K1131" s="6">
        <v>53.398058249999998</v>
      </c>
      <c r="L1131" s="3" t="s">
        <v>22</v>
      </c>
      <c r="M1131" s="26"/>
    </row>
    <row r="1132" spans="1:13" x14ac:dyDescent="0.25">
      <c r="A1132" s="6">
        <v>1.37394315761294E+17</v>
      </c>
      <c r="B1132" s="31" t="s">
        <v>232</v>
      </c>
      <c r="C1132" s="32" t="str">
        <f t="shared" si="33"/>
        <v>Mar</v>
      </c>
      <c r="D1132" s="3" t="s">
        <v>9</v>
      </c>
      <c r="E1132" s="6">
        <v>400043</v>
      </c>
      <c r="F1132" s="6">
        <v>7117</v>
      </c>
      <c r="G1132" s="6">
        <v>3</v>
      </c>
      <c r="H1132" s="6">
        <v>156.31067959999999</v>
      </c>
      <c r="I1132" s="6">
        <v>4</v>
      </c>
      <c r="J1132" s="6">
        <v>161</v>
      </c>
      <c r="K1132" s="6">
        <v>44.660194169999997</v>
      </c>
      <c r="L1132" s="3" t="s">
        <v>10</v>
      </c>
      <c r="M1132" s="26"/>
    </row>
    <row r="1133" spans="1:13" x14ac:dyDescent="0.25">
      <c r="A1133" s="6">
        <v>1.2942455686842E+17</v>
      </c>
      <c r="B1133" s="31" t="s">
        <v>301</v>
      </c>
      <c r="C1133" s="32" t="str">
        <f t="shared" si="33"/>
        <v>Mar</v>
      </c>
      <c r="D1133" s="3" t="s">
        <v>25</v>
      </c>
      <c r="E1133" s="6">
        <v>151207</v>
      </c>
      <c r="F1133" s="6">
        <v>7117</v>
      </c>
      <c r="G1133" s="6">
        <v>3</v>
      </c>
      <c r="H1133" s="6">
        <v>160.19417480000001</v>
      </c>
      <c r="I1133" s="6">
        <v>4</v>
      </c>
      <c r="J1133" s="6">
        <v>165</v>
      </c>
      <c r="K1133" s="6">
        <v>56.310679610000001</v>
      </c>
      <c r="L1133" s="3" t="s">
        <v>22</v>
      </c>
      <c r="M1133" s="26"/>
    </row>
    <row r="1134" spans="1:13" x14ac:dyDescent="0.25">
      <c r="A1134" s="6">
        <v>1.3692062541483299E+17</v>
      </c>
      <c r="B1134" s="31" t="s">
        <v>269</v>
      </c>
      <c r="C1134" s="32" t="str">
        <f t="shared" si="33"/>
        <v>Mar</v>
      </c>
      <c r="D1134" s="3" t="s">
        <v>16</v>
      </c>
      <c r="E1134" s="6">
        <v>411041</v>
      </c>
      <c r="F1134" s="6">
        <v>7117</v>
      </c>
      <c r="G1134" s="6">
        <v>3</v>
      </c>
      <c r="H1134" s="6">
        <v>173.78640780000001</v>
      </c>
      <c r="I1134" s="6">
        <v>5</v>
      </c>
      <c r="J1134" s="6">
        <v>179</v>
      </c>
      <c r="K1134" s="6">
        <v>52.42718447</v>
      </c>
      <c r="L1134" s="3" t="s">
        <v>22</v>
      </c>
      <c r="M1134" s="26"/>
    </row>
    <row r="1135" spans="1:13" x14ac:dyDescent="0.25">
      <c r="A1135" s="6">
        <v>1.3163674464269699E+17</v>
      </c>
      <c r="B1135" s="31" t="s">
        <v>246</v>
      </c>
      <c r="C1135" s="32" t="str">
        <f t="shared" si="33"/>
        <v>Mar</v>
      </c>
      <c r="D1135" s="3" t="s">
        <v>16</v>
      </c>
      <c r="E1135" s="6">
        <v>133203</v>
      </c>
      <c r="F1135" s="6">
        <v>7117</v>
      </c>
      <c r="G1135" s="6">
        <v>3</v>
      </c>
      <c r="H1135" s="6">
        <v>177.66990290000001</v>
      </c>
      <c r="I1135" s="6">
        <v>5</v>
      </c>
      <c r="J1135" s="6">
        <v>183</v>
      </c>
      <c r="K1135" s="6">
        <v>56.310679610000001</v>
      </c>
      <c r="L1135" s="3" t="s">
        <v>53</v>
      </c>
      <c r="M1135" s="26"/>
    </row>
    <row r="1136" spans="1:13" x14ac:dyDescent="0.25">
      <c r="A1136" s="6">
        <v>1.3546182385097299E+17</v>
      </c>
      <c r="B1136" s="31" t="s">
        <v>213</v>
      </c>
      <c r="C1136" s="32" t="str">
        <f t="shared" si="33"/>
        <v>Mar</v>
      </c>
      <c r="D1136" s="3" t="s">
        <v>16</v>
      </c>
      <c r="E1136" s="6">
        <v>483501</v>
      </c>
      <c r="F1136" s="6">
        <v>330410</v>
      </c>
      <c r="G1136" s="6">
        <v>18</v>
      </c>
      <c r="H1136" s="6">
        <v>225.42372879999999</v>
      </c>
      <c r="I1136" s="6">
        <v>40</v>
      </c>
      <c r="J1136" s="6">
        <v>266</v>
      </c>
      <c r="K1136" s="6">
        <v>40.677966099999999</v>
      </c>
      <c r="L1136" s="3" t="s">
        <v>10</v>
      </c>
      <c r="M1136" s="26"/>
    </row>
    <row r="1137" spans="1:13" x14ac:dyDescent="0.25">
      <c r="A1137" s="6">
        <v>1.3703220301912701E+17</v>
      </c>
      <c r="B1137" s="31" t="s">
        <v>269</v>
      </c>
      <c r="C1137" s="32" t="str">
        <f t="shared" si="33"/>
        <v>Mar</v>
      </c>
      <c r="D1137" s="3" t="s">
        <v>52</v>
      </c>
      <c r="E1137" s="6">
        <v>500004</v>
      </c>
      <c r="F1137" s="6">
        <v>7117</v>
      </c>
      <c r="G1137" s="6">
        <v>3</v>
      </c>
      <c r="H1137" s="6">
        <v>168.93203879999999</v>
      </c>
      <c r="I1137" s="6">
        <v>5</v>
      </c>
      <c r="J1137" s="6">
        <v>174</v>
      </c>
      <c r="K1137" s="6">
        <v>71.844660189999999</v>
      </c>
      <c r="L1137" s="3" t="s">
        <v>54</v>
      </c>
      <c r="M1137" s="26"/>
    </row>
    <row r="1138" spans="1:13" x14ac:dyDescent="0.25">
      <c r="A1138" s="6">
        <v>1.3180914148353699E+17</v>
      </c>
      <c r="B1138" s="31" t="s">
        <v>246</v>
      </c>
      <c r="C1138" s="32" t="str">
        <f t="shared" si="33"/>
        <v>Mar</v>
      </c>
      <c r="D1138" s="3" t="s">
        <v>16</v>
      </c>
      <c r="E1138" s="6">
        <v>473222</v>
      </c>
      <c r="F1138" s="6">
        <v>7117</v>
      </c>
      <c r="G1138" s="6">
        <v>3</v>
      </c>
      <c r="H1138" s="6">
        <v>274.7572816</v>
      </c>
      <c r="I1138" s="6">
        <v>8</v>
      </c>
      <c r="J1138" s="6">
        <v>283</v>
      </c>
      <c r="K1138" s="6">
        <v>56.310679610000001</v>
      </c>
      <c r="L1138" s="3" t="s">
        <v>37</v>
      </c>
      <c r="M1138" s="26"/>
    </row>
    <row r="1139" spans="1:13" x14ac:dyDescent="0.25">
      <c r="A1139" s="6">
        <v>1.31416007410878E+17</v>
      </c>
      <c r="B1139" s="31" t="s">
        <v>335</v>
      </c>
      <c r="C1139" s="32" t="str">
        <f t="shared" si="33"/>
        <v>Mar</v>
      </c>
      <c r="D1139" s="3" t="s">
        <v>9</v>
      </c>
      <c r="E1139" s="6">
        <v>224190</v>
      </c>
      <c r="F1139" s="6">
        <v>7117</v>
      </c>
      <c r="G1139" s="6">
        <v>3</v>
      </c>
      <c r="H1139" s="6">
        <v>163.1067961</v>
      </c>
      <c r="I1139" s="6">
        <v>4</v>
      </c>
      <c r="J1139" s="6">
        <v>168</v>
      </c>
      <c r="K1139" s="6">
        <v>41.747572820000002</v>
      </c>
      <c r="L1139" s="3" t="s">
        <v>19</v>
      </c>
      <c r="M1139" s="26"/>
    </row>
    <row r="1140" spans="1:13" x14ac:dyDescent="0.25">
      <c r="A1140" s="6">
        <v>1.37558696795768E+17</v>
      </c>
      <c r="B1140" s="31" t="s">
        <v>232</v>
      </c>
      <c r="C1140" s="32" t="str">
        <f t="shared" si="33"/>
        <v>Mar</v>
      </c>
      <c r="D1140" s="3" t="s">
        <v>16</v>
      </c>
      <c r="E1140" s="6">
        <v>562159</v>
      </c>
      <c r="F1140" s="6">
        <v>7117</v>
      </c>
      <c r="G1140" s="6">
        <v>3</v>
      </c>
      <c r="H1140" s="6">
        <v>155.33980579999999</v>
      </c>
      <c r="I1140" s="6">
        <v>4</v>
      </c>
      <c r="J1140" s="6">
        <v>160</v>
      </c>
      <c r="K1140" s="6">
        <v>37.86407767</v>
      </c>
      <c r="L1140" s="3" t="s">
        <v>41</v>
      </c>
      <c r="M1140" s="26"/>
    </row>
    <row r="1141" spans="1:13" x14ac:dyDescent="0.25">
      <c r="A1141" s="6">
        <v>1.3363556031637901E+17</v>
      </c>
      <c r="B1141" s="31" t="s">
        <v>275</v>
      </c>
      <c r="C1141" s="32" t="str">
        <f t="shared" si="33"/>
        <v>Mar</v>
      </c>
      <c r="D1141" s="3" t="s">
        <v>16</v>
      </c>
      <c r="E1141" s="6">
        <v>824211</v>
      </c>
      <c r="F1141" s="6">
        <v>7117</v>
      </c>
      <c r="G1141" s="6">
        <v>3</v>
      </c>
      <c r="H1141" s="6">
        <v>137.8640777</v>
      </c>
      <c r="I1141" s="6">
        <v>4</v>
      </c>
      <c r="J1141" s="6">
        <v>142</v>
      </c>
      <c r="K1141" s="6">
        <v>37.86407767</v>
      </c>
      <c r="L1141" s="3" t="s">
        <v>39</v>
      </c>
      <c r="M1141" s="26"/>
    </row>
    <row r="1142" spans="1:13" x14ac:dyDescent="0.25">
      <c r="A1142" s="6">
        <v>1.36058921411314E+17</v>
      </c>
      <c r="B1142" s="31" t="s">
        <v>205</v>
      </c>
      <c r="C1142" s="32" t="str">
        <f t="shared" si="33"/>
        <v>Mar</v>
      </c>
      <c r="D1142" s="3" t="s">
        <v>52</v>
      </c>
      <c r="E1142" s="6">
        <v>273158</v>
      </c>
      <c r="F1142" s="6">
        <v>7117</v>
      </c>
      <c r="G1142" s="6">
        <v>3</v>
      </c>
      <c r="H1142" s="6">
        <v>170.8737864</v>
      </c>
      <c r="I1142" s="6">
        <v>5</v>
      </c>
      <c r="J1142" s="6">
        <v>176</v>
      </c>
      <c r="K1142" s="6">
        <v>53.398058249999998</v>
      </c>
      <c r="L1142" s="3" t="s">
        <v>53</v>
      </c>
      <c r="M1142" s="26"/>
    </row>
    <row r="1143" spans="1:13" x14ac:dyDescent="0.25">
      <c r="A1143" s="6">
        <v>1.3738583257996099E+17</v>
      </c>
      <c r="B1143" s="31" t="s">
        <v>232</v>
      </c>
      <c r="C1143" s="32" t="str">
        <f t="shared" si="33"/>
        <v>Mar</v>
      </c>
      <c r="D1143" s="3" t="s">
        <v>71</v>
      </c>
      <c r="E1143" s="6">
        <v>223226</v>
      </c>
      <c r="F1143" s="6">
        <v>7117</v>
      </c>
      <c r="G1143" s="6">
        <v>3</v>
      </c>
      <c r="H1143" s="6">
        <v>85.4368932</v>
      </c>
      <c r="I1143" s="6">
        <v>2</v>
      </c>
      <c r="J1143" s="6">
        <v>88</v>
      </c>
      <c r="K1143" s="6">
        <v>37.86407767</v>
      </c>
      <c r="L1143" s="3" t="s">
        <v>39</v>
      </c>
      <c r="M1143" s="26"/>
    </row>
    <row r="1144" spans="1:13" x14ac:dyDescent="0.25">
      <c r="A1144" s="6">
        <v>1.2815867617142499E+17</v>
      </c>
      <c r="B1144" s="31" t="s">
        <v>235</v>
      </c>
      <c r="C1144" s="32" t="str">
        <f t="shared" si="33"/>
        <v>Mar</v>
      </c>
      <c r="D1144" s="3" t="s">
        <v>25</v>
      </c>
      <c r="E1144" s="6">
        <v>208013</v>
      </c>
      <c r="F1144" s="6">
        <v>7117</v>
      </c>
      <c r="G1144" s="6">
        <v>3</v>
      </c>
      <c r="H1144" s="6">
        <v>214.56310680000001</v>
      </c>
      <c r="I1144" s="6">
        <v>6</v>
      </c>
      <c r="J1144" s="6">
        <v>221</v>
      </c>
      <c r="K1144" s="6">
        <v>49.514563109999997</v>
      </c>
      <c r="L1144" s="3" t="s">
        <v>12</v>
      </c>
      <c r="M1144" s="26"/>
    </row>
    <row r="1145" spans="1:13" x14ac:dyDescent="0.25">
      <c r="A1145" s="6">
        <v>1.3027846576032899E+17</v>
      </c>
      <c r="B1145" s="31" t="s">
        <v>356</v>
      </c>
      <c r="C1145" s="32" t="str">
        <f t="shared" si="33"/>
        <v>Mar</v>
      </c>
      <c r="D1145" s="3" t="s">
        <v>52</v>
      </c>
      <c r="E1145" s="6">
        <v>160022</v>
      </c>
      <c r="F1145" s="6">
        <v>7117</v>
      </c>
      <c r="G1145" s="6">
        <v>3</v>
      </c>
      <c r="H1145" s="6">
        <v>187.3786408</v>
      </c>
      <c r="I1145" s="6">
        <v>5</v>
      </c>
      <c r="J1145" s="6">
        <v>193</v>
      </c>
      <c r="K1145" s="6">
        <v>40.776699030000003</v>
      </c>
      <c r="L1145" s="3" t="s">
        <v>23</v>
      </c>
      <c r="M1145" s="26"/>
    </row>
    <row r="1146" spans="1:13" x14ac:dyDescent="0.25">
      <c r="A1146" s="6">
        <v>1.32741705605882E+17</v>
      </c>
      <c r="B1146" s="31" t="s">
        <v>248</v>
      </c>
      <c r="C1146" s="32" t="str">
        <f t="shared" si="33"/>
        <v>Mar</v>
      </c>
      <c r="D1146" s="3" t="s">
        <v>25</v>
      </c>
      <c r="E1146" s="6">
        <v>831011</v>
      </c>
      <c r="F1146" s="6">
        <v>7117</v>
      </c>
      <c r="G1146" s="6">
        <v>3</v>
      </c>
      <c r="H1146" s="6">
        <v>146.6019417</v>
      </c>
      <c r="I1146" s="6">
        <v>4</v>
      </c>
      <c r="J1146" s="6">
        <v>151</v>
      </c>
      <c r="K1146" s="6">
        <v>33.009708740000001</v>
      </c>
      <c r="L1146" s="3" t="s">
        <v>46</v>
      </c>
      <c r="M1146" s="26"/>
    </row>
    <row r="1147" spans="1:13" x14ac:dyDescent="0.25">
      <c r="A1147" s="6">
        <v>1.435193893248E+17</v>
      </c>
      <c r="B1147" s="31" t="s">
        <v>401</v>
      </c>
      <c r="C1147" s="32" t="str">
        <f t="shared" si="33"/>
        <v>Apr</v>
      </c>
      <c r="D1147" s="3" t="s">
        <v>16</v>
      </c>
      <c r="E1147" s="6">
        <v>301704</v>
      </c>
      <c r="F1147" s="6">
        <v>7117</v>
      </c>
      <c r="G1147" s="6">
        <v>3</v>
      </c>
      <c r="H1147" s="6">
        <v>174.7572816</v>
      </c>
      <c r="I1147" s="6">
        <v>5</v>
      </c>
      <c r="J1147" s="6">
        <v>180</v>
      </c>
      <c r="K1147" s="6">
        <v>53.398058249999998</v>
      </c>
      <c r="L1147" s="3" t="s">
        <v>26</v>
      </c>
      <c r="M1147" s="26"/>
    </row>
    <row r="1148" spans="1:13" x14ac:dyDescent="0.25">
      <c r="A1148" s="6">
        <v>1.4611976025270499E+17</v>
      </c>
      <c r="B1148" s="31" t="s">
        <v>403</v>
      </c>
      <c r="C1148" s="32" t="str">
        <f t="shared" si="33"/>
        <v>Apr</v>
      </c>
      <c r="D1148" s="3" t="s">
        <v>52</v>
      </c>
      <c r="E1148" s="6">
        <v>400055</v>
      </c>
      <c r="F1148" s="6">
        <v>7117</v>
      </c>
      <c r="G1148" s="6">
        <v>3</v>
      </c>
      <c r="H1148" s="6">
        <v>163.1067961</v>
      </c>
      <c r="I1148" s="6">
        <v>4</v>
      </c>
      <c r="J1148" s="6">
        <v>168</v>
      </c>
      <c r="K1148" s="6">
        <v>41.747572820000002</v>
      </c>
      <c r="L1148" s="3" t="s">
        <v>17</v>
      </c>
      <c r="M1148" s="26"/>
    </row>
    <row r="1149" spans="1:13" x14ac:dyDescent="0.25">
      <c r="A1149" s="6">
        <v>1.4625338132126301E+17</v>
      </c>
      <c r="B1149" s="31" t="s">
        <v>403</v>
      </c>
      <c r="C1149" s="32" t="str">
        <f t="shared" si="33"/>
        <v>Apr</v>
      </c>
      <c r="D1149" s="3" t="s">
        <v>16</v>
      </c>
      <c r="E1149" s="6">
        <v>392240</v>
      </c>
      <c r="F1149" s="6">
        <v>7117</v>
      </c>
      <c r="G1149" s="6">
        <v>3</v>
      </c>
      <c r="H1149" s="6">
        <v>162.1359223</v>
      </c>
      <c r="I1149" s="6">
        <v>4</v>
      </c>
      <c r="J1149" s="6">
        <v>167</v>
      </c>
      <c r="K1149" s="6">
        <v>44.660194169999997</v>
      </c>
      <c r="L1149" s="3" t="s">
        <v>46</v>
      </c>
      <c r="M1149" s="26"/>
    </row>
    <row r="1150" spans="1:13" x14ac:dyDescent="0.25">
      <c r="A1150" s="6">
        <v>1.43381128413874E+17</v>
      </c>
      <c r="B1150" s="31" t="s">
        <v>406</v>
      </c>
      <c r="C1150" s="32" t="str">
        <f t="shared" si="33"/>
        <v>Apr</v>
      </c>
      <c r="D1150" s="3" t="s">
        <v>52</v>
      </c>
      <c r="E1150" s="6">
        <v>585103</v>
      </c>
      <c r="F1150" s="6">
        <v>7117</v>
      </c>
      <c r="G1150" s="6">
        <v>3</v>
      </c>
      <c r="H1150" s="6">
        <v>128.15533980000001</v>
      </c>
      <c r="I1150" s="6">
        <v>3</v>
      </c>
      <c r="J1150" s="6">
        <v>132</v>
      </c>
      <c r="K1150" s="6">
        <v>33.980582519999999</v>
      </c>
      <c r="L1150" s="3" t="s">
        <v>46</v>
      </c>
      <c r="M1150" s="26"/>
    </row>
    <row r="1151" spans="1:13" x14ac:dyDescent="0.25">
      <c r="A1151" s="6">
        <v>1.4514236189627299E+17</v>
      </c>
      <c r="B1151" s="31" t="s">
        <v>408</v>
      </c>
      <c r="C1151" s="32" t="str">
        <f t="shared" si="33"/>
        <v>Apr</v>
      </c>
      <c r="D1151" s="3" t="s">
        <v>16</v>
      </c>
      <c r="E1151" s="6">
        <v>171014</v>
      </c>
      <c r="F1151" s="6">
        <v>330410</v>
      </c>
      <c r="G1151" s="6">
        <v>18</v>
      </c>
      <c r="H1151" s="6">
        <v>201.69491529999999</v>
      </c>
      <c r="I1151" s="6">
        <v>36</v>
      </c>
      <c r="J1151" s="6">
        <v>238</v>
      </c>
      <c r="K1151" s="6">
        <v>44.915254240000003</v>
      </c>
      <c r="L1151" s="3" t="s">
        <v>10</v>
      </c>
      <c r="M1151" s="26"/>
    </row>
    <row r="1152" spans="1:13" x14ac:dyDescent="0.25">
      <c r="A1152" s="6">
        <v>1.4335628144798E+17</v>
      </c>
      <c r="B1152" s="31" t="s">
        <v>406</v>
      </c>
      <c r="C1152" s="32" t="str">
        <f t="shared" si="33"/>
        <v>Apr</v>
      </c>
      <c r="D1152" s="3" t="s">
        <v>9</v>
      </c>
      <c r="E1152" s="6">
        <v>326034</v>
      </c>
      <c r="F1152" s="6">
        <v>7117</v>
      </c>
      <c r="G1152" s="6">
        <v>3</v>
      </c>
      <c r="H1152" s="6">
        <v>147.57281549999999</v>
      </c>
      <c r="I1152" s="6">
        <v>4</v>
      </c>
      <c r="J1152" s="6">
        <v>152</v>
      </c>
      <c r="K1152" s="6">
        <v>44.660194169999997</v>
      </c>
      <c r="L1152" s="3" t="s">
        <v>46</v>
      </c>
      <c r="M1152" s="26"/>
    </row>
    <row r="1153" spans="1:13" x14ac:dyDescent="0.25">
      <c r="A1153" s="6">
        <v>1.42942804262722E+17</v>
      </c>
      <c r="B1153" s="31" t="s">
        <v>411</v>
      </c>
      <c r="C1153" s="32" t="str">
        <f t="shared" si="33"/>
        <v>Apr</v>
      </c>
      <c r="D1153" s="3" t="s">
        <v>16</v>
      </c>
      <c r="E1153" s="6">
        <v>560037</v>
      </c>
      <c r="F1153" s="6">
        <v>7117</v>
      </c>
      <c r="G1153" s="6">
        <v>3</v>
      </c>
      <c r="H1153" s="6">
        <v>164.07766989999999</v>
      </c>
      <c r="I1153" s="6">
        <v>4</v>
      </c>
      <c r="J1153" s="6">
        <v>169</v>
      </c>
      <c r="K1153" s="6">
        <v>46.601941750000002</v>
      </c>
      <c r="L1153" s="3" t="s">
        <v>10</v>
      </c>
      <c r="M1153" s="26"/>
    </row>
    <row r="1154" spans="1:13" x14ac:dyDescent="0.25">
      <c r="A1154" s="6">
        <v>1.4328433849440301E+17</v>
      </c>
      <c r="B1154" s="31" t="s">
        <v>406</v>
      </c>
      <c r="C1154" s="32" t="str">
        <f t="shared" si="33"/>
        <v>Apr</v>
      </c>
      <c r="D1154" s="3" t="s">
        <v>52</v>
      </c>
      <c r="E1154" s="6">
        <v>560078</v>
      </c>
      <c r="F1154" s="6">
        <v>7117</v>
      </c>
      <c r="G1154" s="6">
        <v>3</v>
      </c>
      <c r="H1154" s="6">
        <v>150.4854369</v>
      </c>
      <c r="I1154" s="6">
        <v>4</v>
      </c>
      <c r="J1154" s="6">
        <v>155</v>
      </c>
      <c r="K1154" s="6">
        <v>53.398058249999998</v>
      </c>
      <c r="L1154" s="3" t="s">
        <v>37</v>
      </c>
      <c r="M1154" s="26"/>
    </row>
    <row r="1155" spans="1:13" x14ac:dyDescent="0.25">
      <c r="A1155" s="6">
        <v>1.4305454240154301E+17</v>
      </c>
      <c r="B1155" s="31" t="s">
        <v>411</v>
      </c>
      <c r="C1155" s="32" t="str">
        <f t="shared" ref="C1155:C1218" si="34">TEXT(B1155, "mmm")</f>
        <v>Apr</v>
      </c>
      <c r="D1155" s="3" t="s">
        <v>16</v>
      </c>
      <c r="E1155" s="6">
        <v>700006</v>
      </c>
      <c r="F1155" s="6">
        <v>7117</v>
      </c>
      <c r="G1155" s="6">
        <v>18</v>
      </c>
      <c r="H1155" s="6">
        <v>133.0508475</v>
      </c>
      <c r="I1155" s="6">
        <v>23</v>
      </c>
      <c r="J1155" s="6">
        <v>157</v>
      </c>
      <c r="K1155" s="6">
        <v>42.372881360000001</v>
      </c>
      <c r="L1155" s="3" t="s">
        <v>41</v>
      </c>
      <c r="M1155" s="26"/>
    </row>
    <row r="1156" spans="1:13" x14ac:dyDescent="0.25">
      <c r="A1156" s="6">
        <v>1.4728596672476301E+17</v>
      </c>
      <c r="B1156" s="31" t="s">
        <v>415</v>
      </c>
      <c r="C1156" s="32" t="str">
        <f t="shared" si="34"/>
        <v>Apr</v>
      </c>
      <c r="D1156" s="3" t="s">
        <v>16</v>
      </c>
      <c r="E1156" s="6">
        <v>226016</v>
      </c>
      <c r="F1156" s="6">
        <v>7117</v>
      </c>
      <c r="G1156" s="6">
        <v>3</v>
      </c>
      <c r="H1156" s="6">
        <v>176.69902909999999</v>
      </c>
      <c r="I1156" s="6">
        <v>5</v>
      </c>
      <c r="J1156" s="6">
        <v>182</v>
      </c>
      <c r="K1156" s="6">
        <v>55.339805830000003</v>
      </c>
      <c r="L1156" s="3" t="s">
        <v>37</v>
      </c>
      <c r="M1156" s="26"/>
    </row>
    <row r="1157" spans="1:13" x14ac:dyDescent="0.25">
      <c r="A1157" s="6">
        <v>1.41791456033894E+17</v>
      </c>
      <c r="B1157" s="31" t="s">
        <v>417</v>
      </c>
      <c r="C1157" s="32" t="str">
        <f t="shared" si="34"/>
        <v>Apr</v>
      </c>
      <c r="D1157" s="3" t="s">
        <v>16</v>
      </c>
      <c r="E1157" s="6">
        <v>440034</v>
      </c>
      <c r="F1157" s="6">
        <v>7117</v>
      </c>
      <c r="G1157" s="6">
        <v>3</v>
      </c>
      <c r="H1157" s="6">
        <v>218.44660189999999</v>
      </c>
      <c r="I1157" s="6">
        <v>6</v>
      </c>
      <c r="J1157" s="6">
        <v>225</v>
      </c>
      <c r="K1157" s="6">
        <v>53.398058249999998</v>
      </c>
      <c r="L1157" s="3" t="s">
        <v>26</v>
      </c>
      <c r="M1157" s="26"/>
    </row>
    <row r="1158" spans="1:13" x14ac:dyDescent="0.25">
      <c r="A1158" s="6">
        <v>1.42305404977304E+17</v>
      </c>
      <c r="B1158" s="31" t="s">
        <v>419</v>
      </c>
      <c r="C1158" s="32" t="str">
        <f t="shared" si="34"/>
        <v>Apr</v>
      </c>
      <c r="D1158" s="3" t="s">
        <v>25</v>
      </c>
      <c r="E1158" s="6">
        <v>845401</v>
      </c>
      <c r="F1158" s="6">
        <v>7117</v>
      </c>
      <c r="G1158" s="6">
        <v>3</v>
      </c>
      <c r="H1158" s="6">
        <v>163.1067961</v>
      </c>
      <c r="I1158" s="6">
        <v>4</v>
      </c>
      <c r="J1158" s="6">
        <v>168</v>
      </c>
      <c r="K1158" s="6">
        <v>45.631067960000003</v>
      </c>
      <c r="L1158" s="3" t="s">
        <v>17</v>
      </c>
      <c r="M1158" s="26"/>
    </row>
    <row r="1159" spans="1:13" x14ac:dyDescent="0.25">
      <c r="A1159" s="6">
        <v>1.43016672017142E+17</v>
      </c>
      <c r="B1159" s="31" t="s">
        <v>411</v>
      </c>
      <c r="C1159" s="32" t="str">
        <f t="shared" si="34"/>
        <v>Apr</v>
      </c>
      <c r="D1159" s="3" t="s">
        <v>16</v>
      </c>
      <c r="E1159" s="6">
        <v>121002</v>
      </c>
      <c r="F1159" s="6">
        <v>7117</v>
      </c>
      <c r="G1159" s="6">
        <v>3</v>
      </c>
      <c r="H1159" s="6">
        <v>156.31067959999999</v>
      </c>
      <c r="I1159" s="6">
        <v>4</v>
      </c>
      <c r="J1159" s="6">
        <v>161</v>
      </c>
      <c r="K1159" s="6">
        <v>38.834951459999999</v>
      </c>
      <c r="L1159" s="3" t="s">
        <v>39</v>
      </c>
      <c r="M1159" s="26"/>
    </row>
    <row r="1160" spans="1:13" x14ac:dyDescent="0.25">
      <c r="A1160" s="6">
        <v>1.4583699744977901E+17</v>
      </c>
      <c r="B1160" s="31" t="s">
        <v>422</v>
      </c>
      <c r="C1160" s="32" t="str">
        <f t="shared" si="34"/>
        <v>Apr</v>
      </c>
      <c r="D1160" s="3" t="s">
        <v>16</v>
      </c>
      <c r="E1160" s="6">
        <v>801109</v>
      </c>
      <c r="F1160" s="6">
        <v>7117</v>
      </c>
      <c r="G1160" s="6">
        <v>3</v>
      </c>
      <c r="H1160" s="6">
        <v>156.31067959999999</v>
      </c>
      <c r="I1160" s="6">
        <v>4</v>
      </c>
      <c r="J1160" s="6">
        <v>161</v>
      </c>
      <c r="K1160" s="6">
        <v>38.834951459999999</v>
      </c>
      <c r="L1160" s="3" t="s">
        <v>41</v>
      </c>
      <c r="M1160" s="26"/>
    </row>
    <row r="1161" spans="1:13" x14ac:dyDescent="0.25">
      <c r="A1161" s="6">
        <v>1.42236954562038E+17</v>
      </c>
      <c r="B1161" s="31" t="s">
        <v>419</v>
      </c>
      <c r="C1161" s="32" t="str">
        <f t="shared" si="34"/>
        <v>Apr</v>
      </c>
      <c r="D1161" s="3" t="s">
        <v>25</v>
      </c>
      <c r="E1161" s="6">
        <v>274702</v>
      </c>
      <c r="F1161" s="6">
        <v>7117</v>
      </c>
      <c r="G1161" s="6">
        <v>18</v>
      </c>
      <c r="H1161" s="6">
        <v>106.779661</v>
      </c>
      <c r="I1161" s="6">
        <v>19</v>
      </c>
      <c r="J1161" s="6">
        <v>126</v>
      </c>
      <c r="K1161" s="6">
        <v>35.593220340000002</v>
      </c>
      <c r="L1161" s="3" t="s">
        <v>41</v>
      </c>
      <c r="M1161" s="26"/>
    </row>
    <row r="1162" spans="1:13" x14ac:dyDescent="0.25">
      <c r="A1162" s="6">
        <v>1.42835994429332E+17</v>
      </c>
      <c r="B1162" s="31" t="s">
        <v>411</v>
      </c>
      <c r="C1162" s="32" t="str">
        <f t="shared" si="34"/>
        <v>Apr</v>
      </c>
      <c r="D1162" s="3" t="s">
        <v>25</v>
      </c>
      <c r="E1162" s="6">
        <v>208021</v>
      </c>
      <c r="F1162" s="6">
        <v>7117</v>
      </c>
      <c r="G1162" s="6">
        <v>3</v>
      </c>
      <c r="H1162" s="6">
        <v>172.81553400000001</v>
      </c>
      <c r="I1162" s="6">
        <v>5</v>
      </c>
      <c r="J1162" s="6">
        <v>178</v>
      </c>
      <c r="K1162" s="6">
        <v>55.339805830000003</v>
      </c>
      <c r="L1162" s="3" t="s">
        <v>53</v>
      </c>
      <c r="M1162" s="26"/>
    </row>
    <row r="1163" spans="1:13" x14ac:dyDescent="0.25">
      <c r="A1163" s="6">
        <v>1.4751421053989798E+17</v>
      </c>
      <c r="B1163" s="31" t="s">
        <v>426</v>
      </c>
      <c r="C1163" s="32" t="str">
        <f t="shared" si="34"/>
        <v>Apr</v>
      </c>
      <c r="D1163" s="3" t="s">
        <v>25</v>
      </c>
      <c r="E1163" s="6">
        <v>517501</v>
      </c>
      <c r="F1163" s="6">
        <v>7117</v>
      </c>
      <c r="G1163" s="6">
        <v>3</v>
      </c>
      <c r="H1163" s="6">
        <v>167.96116499999999</v>
      </c>
      <c r="I1163" s="6">
        <v>5</v>
      </c>
      <c r="J1163" s="6">
        <v>173</v>
      </c>
      <c r="K1163" s="6">
        <v>46.601941750000002</v>
      </c>
      <c r="L1163" s="3" t="s">
        <v>10</v>
      </c>
      <c r="M1163" s="26"/>
    </row>
    <row r="1164" spans="1:13" x14ac:dyDescent="0.25">
      <c r="A1164" s="6">
        <v>1.45216631994784E+17</v>
      </c>
      <c r="B1164" s="31" t="s">
        <v>408</v>
      </c>
      <c r="C1164" s="32" t="str">
        <f t="shared" si="34"/>
        <v>Apr</v>
      </c>
      <c r="D1164" s="3" t="s">
        <v>21</v>
      </c>
      <c r="E1164" s="6">
        <v>500011</v>
      </c>
      <c r="F1164" s="6">
        <v>7117</v>
      </c>
      <c r="G1164" s="6">
        <v>3</v>
      </c>
      <c r="H1164" s="6">
        <v>170.8737864</v>
      </c>
      <c r="I1164" s="6">
        <v>5</v>
      </c>
      <c r="J1164" s="6">
        <v>176</v>
      </c>
      <c r="K1164" s="6">
        <v>53.398058249999998</v>
      </c>
      <c r="L1164" s="3" t="s">
        <v>22</v>
      </c>
      <c r="M1164" s="26"/>
    </row>
    <row r="1165" spans="1:13" x14ac:dyDescent="0.25">
      <c r="A1165" s="6">
        <v>1.4318352723916301E+17</v>
      </c>
      <c r="B1165" s="31" t="s">
        <v>406</v>
      </c>
      <c r="C1165" s="32" t="str">
        <f t="shared" si="34"/>
        <v>Apr</v>
      </c>
      <c r="D1165" s="3" t="s">
        <v>16</v>
      </c>
      <c r="E1165" s="6">
        <v>641654</v>
      </c>
      <c r="F1165" s="6">
        <v>7117</v>
      </c>
      <c r="G1165" s="6">
        <v>3</v>
      </c>
      <c r="H1165" s="6">
        <v>173.78640780000001</v>
      </c>
      <c r="I1165" s="6">
        <v>5</v>
      </c>
      <c r="J1165" s="6">
        <v>179</v>
      </c>
      <c r="K1165" s="6">
        <v>52.42718447</v>
      </c>
      <c r="L1165" s="3" t="s">
        <v>23</v>
      </c>
      <c r="M1165" s="26"/>
    </row>
    <row r="1166" spans="1:13" x14ac:dyDescent="0.25">
      <c r="A1166" s="6">
        <v>1.4221605652497101E+17</v>
      </c>
      <c r="B1166" s="31" t="s">
        <v>419</v>
      </c>
      <c r="C1166" s="32" t="str">
        <f t="shared" si="34"/>
        <v>Apr</v>
      </c>
      <c r="D1166" s="3" t="s">
        <v>16</v>
      </c>
      <c r="E1166" s="6">
        <v>201009</v>
      </c>
      <c r="F1166" s="6">
        <v>7117</v>
      </c>
      <c r="G1166" s="6">
        <v>3</v>
      </c>
      <c r="H1166" s="6">
        <v>100.97087380000001</v>
      </c>
      <c r="I1166" s="6">
        <v>3</v>
      </c>
      <c r="J1166" s="6">
        <v>104</v>
      </c>
      <c r="K1166" s="6">
        <v>38.834951459999999</v>
      </c>
      <c r="L1166" s="3" t="s">
        <v>27</v>
      </c>
      <c r="M1166" s="26"/>
    </row>
    <row r="1167" spans="1:13" x14ac:dyDescent="0.25">
      <c r="A1167" s="6">
        <v>1.4919395521210202E+17</v>
      </c>
      <c r="B1167" s="31" t="s">
        <v>431</v>
      </c>
      <c r="C1167" s="32" t="str">
        <f t="shared" si="34"/>
        <v>Apr</v>
      </c>
      <c r="D1167" s="3" t="s">
        <v>25</v>
      </c>
      <c r="E1167" s="6">
        <v>143507</v>
      </c>
      <c r="F1167" s="6">
        <v>7117</v>
      </c>
      <c r="G1167" s="6">
        <v>3</v>
      </c>
      <c r="H1167" s="6">
        <v>134.95145629999999</v>
      </c>
      <c r="I1167" s="6">
        <v>4</v>
      </c>
      <c r="J1167" s="6">
        <v>139</v>
      </c>
      <c r="K1167" s="6">
        <v>40.776699030000003</v>
      </c>
      <c r="L1167" s="3" t="s">
        <v>10</v>
      </c>
      <c r="M1167" s="26"/>
    </row>
    <row r="1168" spans="1:13" x14ac:dyDescent="0.25">
      <c r="A1168" s="6">
        <v>1.4728435798307802E+17</v>
      </c>
      <c r="B1168" s="31" t="s">
        <v>415</v>
      </c>
      <c r="C1168" s="32" t="str">
        <f t="shared" si="34"/>
        <v>Apr</v>
      </c>
      <c r="D1168" s="3" t="s">
        <v>21</v>
      </c>
      <c r="E1168" s="6">
        <v>843313</v>
      </c>
      <c r="F1168" s="6">
        <v>7117</v>
      </c>
      <c r="G1168" s="6">
        <v>3</v>
      </c>
      <c r="H1168" s="6">
        <v>162.1359223</v>
      </c>
      <c r="I1168" s="6">
        <v>4</v>
      </c>
      <c r="J1168" s="6">
        <v>167</v>
      </c>
      <c r="K1168" s="6">
        <v>40.776699030000003</v>
      </c>
      <c r="L1168" s="3" t="s">
        <v>10</v>
      </c>
      <c r="M1168" s="26"/>
    </row>
    <row r="1169" spans="1:13" x14ac:dyDescent="0.25">
      <c r="A1169" s="6">
        <v>1.41823663804142E+17</v>
      </c>
      <c r="B1169" s="31" t="s">
        <v>417</v>
      </c>
      <c r="C1169" s="32" t="str">
        <f t="shared" si="34"/>
        <v>Apr</v>
      </c>
      <c r="D1169" s="3" t="s">
        <v>16</v>
      </c>
      <c r="E1169" s="6">
        <v>302013</v>
      </c>
      <c r="F1169" s="6">
        <v>7117</v>
      </c>
      <c r="G1169" s="6">
        <v>3</v>
      </c>
      <c r="H1169" s="6">
        <v>169.90291260000001</v>
      </c>
      <c r="I1169" s="6">
        <v>5</v>
      </c>
      <c r="J1169" s="6">
        <v>175</v>
      </c>
      <c r="K1169" s="6">
        <v>52.42718447</v>
      </c>
      <c r="L1169" s="3" t="s">
        <v>10</v>
      </c>
      <c r="M1169" s="26"/>
    </row>
    <row r="1170" spans="1:13" x14ac:dyDescent="0.25">
      <c r="A1170" s="6">
        <v>1.42191758553772E+17</v>
      </c>
      <c r="B1170" s="31" t="s">
        <v>419</v>
      </c>
      <c r="C1170" s="32" t="str">
        <f t="shared" si="34"/>
        <v>Apr</v>
      </c>
      <c r="D1170" s="3" t="s">
        <v>16</v>
      </c>
      <c r="E1170" s="6">
        <v>421204</v>
      </c>
      <c r="F1170" s="6">
        <v>7117</v>
      </c>
      <c r="G1170" s="6">
        <v>3</v>
      </c>
      <c r="H1170" s="6">
        <v>175.7281553</v>
      </c>
      <c r="I1170" s="6">
        <v>5</v>
      </c>
      <c r="J1170" s="6">
        <v>181</v>
      </c>
      <c r="K1170" s="6">
        <v>58.252427179999998</v>
      </c>
      <c r="L1170" s="3" t="s">
        <v>37</v>
      </c>
      <c r="M1170" s="26"/>
    </row>
    <row r="1171" spans="1:13" x14ac:dyDescent="0.25">
      <c r="A1171" s="6">
        <v>1.4253893620695699E+17</v>
      </c>
      <c r="B1171" s="31" t="s">
        <v>436</v>
      </c>
      <c r="C1171" s="32" t="str">
        <f t="shared" si="34"/>
        <v>Apr</v>
      </c>
      <c r="D1171" s="3" t="s">
        <v>52</v>
      </c>
      <c r="E1171" s="6">
        <v>110092</v>
      </c>
      <c r="F1171" s="6">
        <v>7117</v>
      </c>
      <c r="G1171" s="6">
        <v>3</v>
      </c>
      <c r="H1171" s="6">
        <v>124.2718447</v>
      </c>
      <c r="I1171" s="6">
        <v>3</v>
      </c>
      <c r="J1171" s="6">
        <v>128</v>
      </c>
      <c r="K1171" s="6">
        <v>44.660194169999997</v>
      </c>
      <c r="L1171" s="3" t="s">
        <v>10</v>
      </c>
      <c r="M1171" s="26"/>
    </row>
    <row r="1172" spans="1:13" x14ac:dyDescent="0.25">
      <c r="A1172" s="6">
        <v>1.4405437377307901E+17</v>
      </c>
      <c r="B1172" s="31" t="s">
        <v>438</v>
      </c>
      <c r="C1172" s="32" t="str">
        <f t="shared" si="34"/>
        <v>Apr</v>
      </c>
      <c r="D1172" s="3" t="s">
        <v>16</v>
      </c>
      <c r="E1172" s="6">
        <v>700066</v>
      </c>
      <c r="F1172" s="6">
        <v>7117</v>
      </c>
      <c r="G1172" s="6">
        <v>3</v>
      </c>
      <c r="H1172" s="6">
        <v>170.8737864</v>
      </c>
      <c r="I1172" s="6">
        <v>5</v>
      </c>
      <c r="J1172" s="6">
        <v>176</v>
      </c>
      <c r="K1172" s="6">
        <v>53.398058249999998</v>
      </c>
      <c r="L1172" s="3" t="s">
        <v>22</v>
      </c>
      <c r="M1172" s="26"/>
    </row>
    <row r="1173" spans="1:13" x14ac:dyDescent="0.25">
      <c r="A1173" s="6">
        <v>1.4741168184901699E+17</v>
      </c>
      <c r="B1173" s="31" t="s">
        <v>426</v>
      </c>
      <c r="C1173" s="32" t="str">
        <f t="shared" si="34"/>
        <v>Apr</v>
      </c>
      <c r="D1173" s="3" t="s">
        <v>16</v>
      </c>
      <c r="E1173" s="6">
        <v>271123</v>
      </c>
      <c r="F1173" s="6">
        <v>7117</v>
      </c>
      <c r="G1173" s="6">
        <v>3</v>
      </c>
      <c r="H1173" s="6">
        <v>133.9805825</v>
      </c>
      <c r="I1173" s="6">
        <v>4</v>
      </c>
      <c r="J1173" s="6">
        <v>138</v>
      </c>
      <c r="K1173" s="6">
        <v>39.805825239999997</v>
      </c>
      <c r="L1173" s="3" t="s">
        <v>41</v>
      </c>
      <c r="M1173" s="26"/>
    </row>
    <row r="1174" spans="1:13" x14ac:dyDescent="0.25">
      <c r="A1174" s="6">
        <v>1.39385363327396E+17</v>
      </c>
      <c r="B1174" s="31" t="s">
        <v>441</v>
      </c>
      <c r="C1174" s="32" t="str">
        <f t="shared" si="34"/>
        <v>Apr</v>
      </c>
      <c r="D1174" s="3" t="s">
        <v>21</v>
      </c>
      <c r="E1174" s="6">
        <v>247129</v>
      </c>
      <c r="F1174" s="6">
        <v>7117</v>
      </c>
      <c r="G1174" s="6">
        <v>3</v>
      </c>
      <c r="H1174" s="6">
        <v>173.78640780000001</v>
      </c>
      <c r="I1174" s="6">
        <v>5</v>
      </c>
      <c r="J1174" s="6">
        <v>179</v>
      </c>
      <c r="K1174" s="6">
        <v>52.42718447</v>
      </c>
      <c r="L1174" s="3" t="s">
        <v>41</v>
      </c>
      <c r="M1174" s="26"/>
    </row>
    <row r="1175" spans="1:13" x14ac:dyDescent="0.25">
      <c r="A1175" s="6">
        <v>1.3921930672541E+17</v>
      </c>
      <c r="B1175" s="31" t="s">
        <v>441</v>
      </c>
      <c r="C1175" s="32" t="str">
        <f t="shared" si="34"/>
        <v>Apr</v>
      </c>
      <c r="D1175" s="3" t="s">
        <v>16</v>
      </c>
      <c r="E1175" s="6">
        <v>211003</v>
      </c>
      <c r="F1175" s="6">
        <v>7117</v>
      </c>
      <c r="G1175" s="6">
        <v>3</v>
      </c>
      <c r="H1175" s="6">
        <v>167.96116499999999</v>
      </c>
      <c r="I1175" s="6">
        <v>5</v>
      </c>
      <c r="J1175" s="6">
        <v>173</v>
      </c>
      <c r="K1175" s="6">
        <v>46.601941750000002</v>
      </c>
      <c r="L1175" s="3" t="s">
        <v>39</v>
      </c>
      <c r="M1175" s="26"/>
    </row>
    <row r="1176" spans="1:13" x14ac:dyDescent="0.25">
      <c r="A1176" s="6">
        <v>1.42148594395716E+17</v>
      </c>
      <c r="B1176" s="31" t="s">
        <v>419</v>
      </c>
      <c r="C1176" s="32" t="str">
        <f t="shared" si="34"/>
        <v>Apr</v>
      </c>
      <c r="D1176" s="3" t="s">
        <v>16</v>
      </c>
      <c r="E1176" s="6">
        <v>176092</v>
      </c>
      <c r="F1176" s="6">
        <v>7117</v>
      </c>
      <c r="G1176" s="6">
        <v>3</v>
      </c>
      <c r="H1176" s="6">
        <v>161.16504850000001</v>
      </c>
      <c r="I1176" s="6">
        <v>4</v>
      </c>
      <c r="J1176" s="6">
        <v>166</v>
      </c>
      <c r="K1176" s="6">
        <v>39.805825239999997</v>
      </c>
      <c r="L1176" s="3" t="s">
        <v>10</v>
      </c>
      <c r="M1176" s="26"/>
    </row>
    <row r="1177" spans="1:13" x14ac:dyDescent="0.25">
      <c r="A1177" s="6">
        <v>1.39368130858816E+17</v>
      </c>
      <c r="B1177" s="31" t="s">
        <v>441</v>
      </c>
      <c r="C1177" s="32" t="str">
        <f t="shared" si="34"/>
        <v>Apr</v>
      </c>
      <c r="D1177" s="3" t="s">
        <v>16</v>
      </c>
      <c r="E1177" s="6">
        <v>457222</v>
      </c>
      <c r="F1177" s="6">
        <v>7117</v>
      </c>
      <c r="G1177" s="6">
        <v>3</v>
      </c>
      <c r="H1177" s="6">
        <v>150.4854369</v>
      </c>
      <c r="I1177" s="6">
        <v>4</v>
      </c>
      <c r="J1177" s="6">
        <v>155</v>
      </c>
      <c r="K1177" s="6">
        <v>33.009708740000001</v>
      </c>
      <c r="L1177" s="3" t="s">
        <v>10</v>
      </c>
      <c r="M1177" s="26"/>
    </row>
    <row r="1178" spans="1:13" x14ac:dyDescent="0.25">
      <c r="A1178" s="6">
        <v>1.44099990155464E+17</v>
      </c>
      <c r="B1178" s="31" t="s">
        <v>438</v>
      </c>
      <c r="C1178" s="32" t="str">
        <f t="shared" si="34"/>
        <v>Apr</v>
      </c>
      <c r="D1178" s="3" t="s">
        <v>71</v>
      </c>
      <c r="E1178" s="6">
        <v>223226</v>
      </c>
      <c r="F1178" s="6">
        <v>7117</v>
      </c>
      <c r="G1178" s="6">
        <v>3</v>
      </c>
      <c r="H1178" s="6">
        <v>169.90291260000001</v>
      </c>
      <c r="I1178" s="6">
        <v>5</v>
      </c>
      <c r="J1178" s="6">
        <v>175</v>
      </c>
      <c r="K1178" s="6">
        <v>48.543689319999999</v>
      </c>
      <c r="L1178" s="3" t="s">
        <v>23</v>
      </c>
      <c r="M1178" s="26"/>
    </row>
    <row r="1179" spans="1:13" x14ac:dyDescent="0.25">
      <c r="A1179" s="6">
        <v>1.40780902880484E+17</v>
      </c>
      <c r="B1179" s="31" t="s">
        <v>447</v>
      </c>
      <c r="C1179" s="32" t="str">
        <f t="shared" si="34"/>
        <v>Apr</v>
      </c>
      <c r="D1179" s="3" t="s">
        <v>16</v>
      </c>
      <c r="E1179" s="6">
        <v>400066</v>
      </c>
      <c r="F1179" s="6">
        <v>7117</v>
      </c>
      <c r="G1179" s="6">
        <v>3</v>
      </c>
      <c r="H1179" s="6">
        <v>173.78640780000001</v>
      </c>
      <c r="I1179" s="6">
        <v>5</v>
      </c>
      <c r="J1179" s="6">
        <v>179</v>
      </c>
      <c r="K1179" s="6">
        <v>52.42718447</v>
      </c>
      <c r="L1179" s="3" t="s">
        <v>19</v>
      </c>
      <c r="M1179" s="26"/>
    </row>
    <row r="1180" spans="1:13" x14ac:dyDescent="0.25">
      <c r="A1180" s="6">
        <v>1.4580823880144998E+17</v>
      </c>
      <c r="B1180" s="31" t="s">
        <v>422</v>
      </c>
      <c r="C1180" s="32" t="str">
        <f t="shared" si="34"/>
        <v>Apr</v>
      </c>
      <c r="D1180" s="3" t="s">
        <v>16</v>
      </c>
      <c r="E1180" s="6">
        <v>800016</v>
      </c>
      <c r="F1180" s="6">
        <v>7117</v>
      </c>
      <c r="G1180" s="6">
        <v>3</v>
      </c>
      <c r="H1180" s="6">
        <v>152.42718450000001</v>
      </c>
      <c r="I1180" s="6">
        <v>4</v>
      </c>
      <c r="J1180" s="6">
        <v>157</v>
      </c>
      <c r="K1180" s="6">
        <v>34.951456309999998</v>
      </c>
      <c r="L1180" s="3" t="s">
        <v>26</v>
      </c>
      <c r="M1180" s="26"/>
    </row>
    <row r="1181" spans="1:13" x14ac:dyDescent="0.25">
      <c r="A1181" s="6">
        <v>1.4042040018119299E+17</v>
      </c>
      <c r="B1181" s="31" t="s">
        <v>450</v>
      </c>
      <c r="C1181" s="32" t="str">
        <f t="shared" si="34"/>
        <v>Apr</v>
      </c>
      <c r="D1181" s="3" t="s">
        <v>71</v>
      </c>
      <c r="E1181" s="6">
        <v>560087</v>
      </c>
      <c r="F1181" s="6">
        <v>7117</v>
      </c>
      <c r="G1181" s="6">
        <v>3</v>
      </c>
      <c r="H1181" s="6">
        <v>161.16504850000001</v>
      </c>
      <c r="I1181" s="6">
        <v>4</v>
      </c>
      <c r="J1181" s="6">
        <v>166</v>
      </c>
      <c r="K1181" s="6">
        <v>45.631067960000003</v>
      </c>
      <c r="L1181" s="3" t="s">
        <v>49</v>
      </c>
      <c r="M1181" s="26"/>
    </row>
    <row r="1182" spans="1:13" x14ac:dyDescent="0.25">
      <c r="A1182" s="6">
        <v>1.4838010612020602E+17</v>
      </c>
      <c r="B1182" s="31" t="s">
        <v>452</v>
      </c>
      <c r="C1182" s="32" t="str">
        <f t="shared" si="34"/>
        <v>Apr</v>
      </c>
      <c r="D1182" s="3" t="s">
        <v>9</v>
      </c>
      <c r="E1182" s="6">
        <v>400066</v>
      </c>
      <c r="F1182" s="6">
        <v>7117</v>
      </c>
      <c r="G1182" s="6">
        <v>3</v>
      </c>
      <c r="H1182" s="6">
        <v>171.84466019999999</v>
      </c>
      <c r="I1182" s="6">
        <v>5</v>
      </c>
      <c r="J1182" s="6">
        <v>177</v>
      </c>
      <c r="K1182" s="6">
        <v>50.485436890000003</v>
      </c>
      <c r="L1182" s="3" t="s">
        <v>22</v>
      </c>
      <c r="M1182" s="26"/>
    </row>
    <row r="1183" spans="1:13" x14ac:dyDescent="0.25">
      <c r="A1183" s="6">
        <v>1.4209639673219901E+17</v>
      </c>
      <c r="B1183" s="31" t="s">
        <v>419</v>
      </c>
      <c r="C1183" s="32" t="str">
        <f t="shared" si="34"/>
        <v>Apr</v>
      </c>
      <c r="D1183" s="3" t="s">
        <v>21</v>
      </c>
      <c r="E1183" s="6">
        <v>585104</v>
      </c>
      <c r="F1183" s="6">
        <v>7117</v>
      </c>
      <c r="G1183" s="6">
        <v>3</v>
      </c>
      <c r="H1183" s="6">
        <v>152.42718450000001</v>
      </c>
      <c r="I1183" s="6">
        <v>4</v>
      </c>
      <c r="J1183" s="6">
        <v>157</v>
      </c>
      <c r="K1183" s="6">
        <v>34.951456309999998</v>
      </c>
      <c r="L1183" s="3" t="s">
        <v>10</v>
      </c>
      <c r="M1183" s="26"/>
    </row>
    <row r="1184" spans="1:13" x14ac:dyDescent="0.25">
      <c r="A1184" s="6">
        <v>1.42196063080188E+17</v>
      </c>
      <c r="B1184" s="31" t="s">
        <v>419</v>
      </c>
      <c r="C1184" s="32" t="str">
        <f t="shared" si="34"/>
        <v>Apr</v>
      </c>
      <c r="D1184" s="3" t="s">
        <v>16</v>
      </c>
      <c r="E1184" s="6">
        <v>400053</v>
      </c>
      <c r="F1184" s="6">
        <v>7117</v>
      </c>
      <c r="G1184" s="6">
        <v>3</v>
      </c>
      <c r="H1184" s="6">
        <v>186.40776700000001</v>
      </c>
      <c r="I1184" s="6">
        <v>5</v>
      </c>
      <c r="J1184" s="6">
        <v>192</v>
      </c>
      <c r="K1184" s="6">
        <v>67.961165050000005</v>
      </c>
      <c r="L1184" s="3" t="s">
        <v>26</v>
      </c>
      <c r="M1184" s="26"/>
    </row>
    <row r="1185" spans="1:13" x14ac:dyDescent="0.25">
      <c r="A1185" s="6">
        <v>1.4084888052761E+17</v>
      </c>
      <c r="B1185" s="31" t="s">
        <v>447</v>
      </c>
      <c r="C1185" s="32" t="str">
        <f t="shared" si="34"/>
        <v>Apr</v>
      </c>
      <c r="D1185" s="3" t="s">
        <v>16</v>
      </c>
      <c r="E1185" s="6">
        <v>781026</v>
      </c>
      <c r="F1185" s="6">
        <v>7117</v>
      </c>
      <c r="G1185" s="6">
        <v>3</v>
      </c>
      <c r="H1185" s="6">
        <v>169.90291260000001</v>
      </c>
      <c r="I1185" s="6">
        <v>5</v>
      </c>
      <c r="J1185" s="6">
        <v>175</v>
      </c>
      <c r="K1185" s="6">
        <v>52.42718447</v>
      </c>
      <c r="L1185" s="3" t="s">
        <v>14</v>
      </c>
      <c r="M1185" s="26"/>
    </row>
    <row r="1186" spans="1:13" x14ac:dyDescent="0.25">
      <c r="A1186" s="6">
        <v>1.4832829385353299E+17</v>
      </c>
      <c r="B1186" s="31" t="s">
        <v>452</v>
      </c>
      <c r="C1186" s="32" t="str">
        <f t="shared" si="34"/>
        <v>Apr</v>
      </c>
      <c r="D1186" s="3" t="s">
        <v>21</v>
      </c>
      <c r="E1186" s="6">
        <v>110030</v>
      </c>
      <c r="F1186" s="6">
        <v>7117</v>
      </c>
      <c r="G1186" s="6">
        <v>3</v>
      </c>
      <c r="H1186" s="6">
        <v>166.0194175</v>
      </c>
      <c r="I1186" s="6">
        <v>4</v>
      </c>
      <c r="J1186" s="6">
        <v>171</v>
      </c>
      <c r="K1186" s="6">
        <v>62.13592233</v>
      </c>
      <c r="L1186" s="3" t="s">
        <v>22</v>
      </c>
      <c r="M1186" s="26"/>
    </row>
    <row r="1187" spans="1:13" x14ac:dyDescent="0.25">
      <c r="A1187" s="6">
        <v>1.4652757925517699E+17</v>
      </c>
      <c r="B1187" s="31" t="s">
        <v>458</v>
      </c>
      <c r="C1187" s="32" t="str">
        <f t="shared" si="34"/>
        <v>Apr</v>
      </c>
      <c r="D1187" s="3" t="s">
        <v>16</v>
      </c>
      <c r="E1187" s="6">
        <v>274702</v>
      </c>
      <c r="F1187" s="6">
        <v>7117</v>
      </c>
      <c r="G1187" s="6">
        <v>3</v>
      </c>
      <c r="H1187" s="6">
        <v>157.28155340000001</v>
      </c>
      <c r="I1187" s="6">
        <v>4</v>
      </c>
      <c r="J1187" s="6">
        <v>162</v>
      </c>
      <c r="K1187" s="6">
        <v>39.805825239999997</v>
      </c>
      <c r="L1187" s="3" t="s">
        <v>19</v>
      </c>
      <c r="M1187" s="26"/>
    </row>
    <row r="1188" spans="1:13" x14ac:dyDescent="0.25">
      <c r="A1188" s="6">
        <v>1.4079388496859E+17</v>
      </c>
      <c r="B1188" s="31" t="s">
        <v>447</v>
      </c>
      <c r="C1188" s="32" t="str">
        <f t="shared" si="34"/>
        <v>Apr</v>
      </c>
      <c r="D1188" s="3" t="s">
        <v>25</v>
      </c>
      <c r="E1188" s="6">
        <v>160101</v>
      </c>
      <c r="F1188" s="6">
        <v>7117</v>
      </c>
      <c r="G1188" s="6">
        <v>3</v>
      </c>
      <c r="H1188" s="6">
        <v>150.4854369</v>
      </c>
      <c r="I1188" s="6">
        <v>4</v>
      </c>
      <c r="J1188" s="6">
        <v>155</v>
      </c>
      <c r="K1188" s="6">
        <v>33.009708740000001</v>
      </c>
      <c r="L1188" s="3" t="s">
        <v>46</v>
      </c>
      <c r="M1188" s="26"/>
    </row>
    <row r="1189" spans="1:13" x14ac:dyDescent="0.25">
      <c r="A1189" s="6">
        <v>1.4524731743154701E+17</v>
      </c>
      <c r="B1189" s="31" t="s">
        <v>461</v>
      </c>
      <c r="C1189" s="32" t="str">
        <f t="shared" si="34"/>
        <v>Apr</v>
      </c>
      <c r="D1189" s="3" t="s">
        <v>21</v>
      </c>
      <c r="E1189" s="6">
        <v>302025</v>
      </c>
      <c r="F1189" s="6">
        <v>7117</v>
      </c>
      <c r="G1189" s="6">
        <v>3</v>
      </c>
      <c r="H1189" s="6">
        <v>163.1067961</v>
      </c>
      <c r="I1189" s="6">
        <v>4</v>
      </c>
      <c r="J1189" s="6">
        <v>168</v>
      </c>
      <c r="K1189" s="6">
        <v>45.631067960000003</v>
      </c>
      <c r="L1189" s="3" t="s">
        <v>19</v>
      </c>
      <c r="M1189" s="26"/>
    </row>
    <row r="1190" spans="1:13" x14ac:dyDescent="0.25">
      <c r="A1190" s="6">
        <v>1.4045654476747699E+17</v>
      </c>
      <c r="B1190" s="31" t="s">
        <v>450</v>
      </c>
      <c r="C1190" s="32" t="str">
        <f t="shared" si="34"/>
        <v>Apr</v>
      </c>
      <c r="D1190" s="3" t="s">
        <v>16</v>
      </c>
      <c r="E1190" s="6">
        <v>841402</v>
      </c>
      <c r="F1190" s="6">
        <v>7117</v>
      </c>
      <c r="G1190" s="6">
        <v>3</v>
      </c>
      <c r="H1190" s="6">
        <v>149.5145631</v>
      </c>
      <c r="I1190" s="6">
        <v>4</v>
      </c>
      <c r="J1190" s="6">
        <v>154</v>
      </c>
      <c r="K1190" s="6">
        <v>37.86407767</v>
      </c>
      <c r="L1190" s="3" t="s">
        <v>37</v>
      </c>
      <c r="M1190" s="26"/>
    </row>
    <row r="1191" spans="1:13" x14ac:dyDescent="0.25">
      <c r="A1191" s="6">
        <v>1.40849219527876E+17</v>
      </c>
      <c r="B1191" s="31" t="s">
        <v>447</v>
      </c>
      <c r="C1191" s="32" t="str">
        <f t="shared" si="34"/>
        <v>Apr</v>
      </c>
      <c r="D1191" s="3" t="s">
        <v>16</v>
      </c>
      <c r="E1191" s="6">
        <v>562123</v>
      </c>
      <c r="F1191" s="6">
        <v>7117</v>
      </c>
      <c r="G1191" s="6">
        <v>3</v>
      </c>
      <c r="H1191" s="6">
        <v>146.6019417</v>
      </c>
      <c r="I1191" s="6">
        <v>4</v>
      </c>
      <c r="J1191" s="6">
        <v>151</v>
      </c>
      <c r="K1191" s="6">
        <v>52.42718447</v>
      </c>
      <c r="L1191" s="3" t="s">
        <v>12</v>
      </c>
      <c r="M1191" s="26"/>
    </row>
    <row r="1192" spans="1:13" x14ac:dyDescent="0.25">
      <c r="A1192" s="6">
        <v>1.4015716149019E+17</v>
      </c>
      <c r="B1192" s="31" t="s">
        <v>465</v>
      </c>
      <c r="C1192" s="32" t="str">
        <f t="shared" si="34"/>
        <v>Apr</v>
      </c>
      <c r="D1192" s="3" t="s">
        <v>16</v>
      </c>
      <c r="E1192" s="6">
        <v>121008</v>
      </c>
      <c r="F1192" s="6">
        <v>7117</v>
      </c>
      <c r="G1192" s="6">
        <v>3</v>
      </c>
      <c r="H1192" s="6">
        <v>127.184466</v>
      </c>
      <c r="I1192" s="6">
        <v>3</v>
      </c>
      <c r="J1192" s="6">
        <v>131</v>
      </c>
      <c r="K1192" s="6">
        <v>33.009708740000001</v>
      </c>
      <c r="L1192" s="3" t="s">
        <v>49</v>
      </c>
      <c r="M1192" s="26"/>
    </row>
    <row r="1193" spans="1:13" x14ac:dyDescent="0.25">
      <c r="A1193" s="6">
        <v>1.4281994155705E+17</v>
      </c>
      <c r="B1193" s="31" t="s">
        <v>411</v>
      </c>
      <c r="C1193" s="32" t="str">
        <f t="shared" si="34"/>
        <v>Apr</v>
      </c>
      <c r="D1193" s="3" t="s">
        <v>16</v>
      </c>
      <c r="E1193" s="6">
        <v>474010</v>
      </c>
      <c r="F1193" s="6">
        <v>7117</v>
      </c>
      <c r="G1193" s="6">
        <v>3</v>
      </c>
      <c r="H1193" s="6">
        <v>162.1359223</v>
      </c>
      <c r="I1193" s="6">
        <v>4</v>
      </c>
      <c r="J1193" s="6">
        <v>167</v>
      </c>
      <c r="K1193" s="6">
        <v>40.776699030000003</v>
      </c>
      <c r="L1193" s="3" t="s">
        <v>10</v>
      </c>
      <c r="M1193" s="26"/>
    </row>
    <row r="1194" spans="1:13" x14ac:dyDescent="0.25">
      <c r="A1194" s="6">
        <v>1.4331169178139699E+17</v>
      </c>
      <c r="B1194" s="31" t="s">
        <v>406</v>
      </c>
      <c r="C1194" s="32" t="str">
        <f t="shared" si="34"/>
        <v>Apr</v>
      </c>
      <c r="D1194" s="3" t="s">
        <v>25</v>
      </c>
      <c r="E1194" s="6">
        <v>402103</v>
      </c>
      <c r="F1194" s="6">
        <v>7117</v>
      </c>
      <c r="G1194" s="6">
        <v>3</v>
      </c>
      <c r="H1194" s="6">
        <v>161.16504850000001</v>
      </c>
      <c r="I1194" s="6">
        <v>4</v>
      </c>
      <c r="J1194" s="6">
        <v>166</v>
      </c>
      <c r="K1194" s="6">
        <v>39.805825239999997</v>
      </c>
      <c r="L1194" s="3" t="s">
        <v>10</v>
      </c>
      <c r="M1194" s="26"/>
    </row>
    <row r="1195" spans="1:13" x14ac:dyDescent="0.25">
      <c r="A1195" s="6">
        <v>1.4281879787496701E+17</v>
      </c>
      <c r="B1195" s="31" t="s">
        <v>411</v>
      </c>
      <c r="C1195" s="32" t="str">
        <f t="shared" si="34"/>
        <v>Apr</v>
      </c>
      <c r="D1195" s="3" t="s">
        <v>16</v>
      </c>
      <c r="E1195" s="6">
        <v>575007</v>
      </c>
      <c r="F1195" s="6">
        <v>7117</v>
      </c>
      <c r="G1195" s="6">
        <v>3</v>
      </c>
      <c r="H1195" s="6">
        <v>160.19417480000001</v>
      </c>
      <c r="I1195" s="6">
        <v>4</v>
      </c>
      <c r="J1195" s="6">
        <v>165</v>
      </c>
      <c r="K1195" s="6">
        <v>42.7184466</v>
      </c>
      <c r="L1195" s="3" t="s">
        <v>41</v>
      </c>
      <c r="M1195" s="26"/>
    </row>
    <row r="1196" spans="1:13" x14ac:dyDescent="0.25">
      <c r="A1196" s="6">
        <v>1.42601316958098E+17</v>
      </c>
      <c r="B1196" s="31" t="s">
        <v>436</v>
      </c>
      <c r="C1196" s="32" t="str">
        <f t="shared" si="34"/>
        <v>Apr</v>
      </c>
      <c r="D1196" s="3" t="s">
        <v>21</v>
      </c>
      <c r="E1196" s="6">
        <v>844112</v>
      </c>
      <c r="F1196" s="6">
        <v>7117</v>
      </c>
      <c r="G1196" s="6">
        <v>3</v>
      </c>
      <c r="H1196" s="6">
        <v>162.1359223</v>
      </c>
      <c r="I1196" s="6">
        <v>4</v>
      </c>
      <c r="J1196" s="6">
        <v>167</v>
      </c>
      <c r="K1196" s="6">
        <v>44.660194169999997</v>
      </c>
      <c r="L1196" s="3" t="s">
        <v>46</v>
      </c>
      <c r="M1196" s="26"/>
    </row>
    <row r="1197" spans="1:13" x14ac:dyDescent="0.25">
      <c r="A1197" s="6">
        <v>1.4246005103014301E+17</v>
      </c>
      <c r="B1197" s="31" t="s">
        <v>436</v>
      </c>
      <c r="C1197" s="32" t="str">
        <f t="shared" si="34"/>
        <v>Apr</v>
      </c>
      <c r="D1197" s="3" t="s">
        <v>25</v>
      </c>
      <c r="E1197" s="6">
        <v>402103</v>
      </c>
      <c r="F1197" s="6">
        <v>7117</v>
      </c>
      <c r="G1197" s="6">
        <v>3</v>
      </c>
      <c r="H1197" s="6">
        <v>150.4854369</v>
      </c>
      <c r="I1197" s="6">
        <v>4</v>
      </c>
      <c r="J1197" s="6">
        <v>155</v>
      </c>
      <c r="K1197" s="6">
        <v>33.009708740000001</v>
      </c>
      <c r="L1197" s="3" t="s">
        <v>10</v>
      </c>
      <c r="M1197" s="26"/>
    </row>
    <row r="1198" spans="1:13" x14ac:dyDescent="0.25">
      <c r="A1198" s="6">
        <v>1.4398232204368899E+17</v>
      </c>
      <c r="B1198" s="31" t="s">
        <v>438</v>
      </c>
      <c r="C1198" s="32" t="str">
        <f t="shared" si="34"/>
        <v>Apr</v>
      </c>
      <c r="D1198" s="3" t="s">
        <v>16</v>
      </c>
      <c r="E1198" s="6">
        <v>560032</v>
      </c>
      <c r="F1198" s="6">
        <v>7117</v>
      </c>
      <c r="G1198" s="6">
        <v>3</v>
      </c>
      <c r="H1198" s="6">
        <v>150.4854369</v>
      </c>
      <c r="I1198" s="6">
        <v>4</v>
      </c>
      <c r="J1198" s="6">
        <v>155</v>
      </c>
      <c r="K1198" s="6">
        <v>33.009708740000001</v>
      </c>
      <c r="L1198" s="3" t="s">
        <v>10</v>
      </c>
      <c r="M1198" s="26"/>
    </row>
    <row r="1199" spans="1:13" x14ac:dyDescent="0.25">
      <c r="A1199" s="6">
        <v>1.441815118591E+17</v>
      </c>
      <c r="B1199" s="31" t="s">
        <v>473</v>
      </c>
      <c r="C1199" s="32" t="str">
        <f t="shared" si="34"/>
        <v>Apr</v>
      </c>
      <c r="D1199" s="3" t="s">
        <v>16</v>
      </c>
      <c r="E1199" s="6">
        <v>560037</v>
      </c>
      <c r="F1199" s="6">
        <v>7117</v>
      </c>
      <c r="G1199" s="6">
        <v>3</v>
      </c>
      <c r="H1199" s="6">
        <v>157.28155340000001</v>
      </c>
      <c r="I1199" s="6">
        <v>4</v>
      </c>
      <c r="J1199" s="6">
        <v>162</v>
      </c>
      <c r="K1199" s="6">
        <v>39.805825239999997</v>
      </c>
      <c r="L1199" s="3" t="s">
        <v>41</v>
      </c>
      <c r="M1199" s="26"/>
    </row>
    <row r="1200" spans="1:13" x14ac:dyDescent="0.25">
      <c r="A1200" s="6">
        <v>1.42908802962398E+17</v>
      </c>
      <c r="B1200" s="31" t="s">
        <v>411</v>
      </c>
      <c r="C1200" s="32" t="str">
        <f t="shared" si="34"/>
        <v>Apr</v>
      </c>
      <c r="D1200" s="3" t="s">
        <v>16</v>
      </c>
      <c r="E1200" s="6">
        <v>151204</v>
      </c>
      <c r="F1200" s="6">
        <v>7117</v>
      </c>
      <c r="G1200" s="6">
        <v>3</v>
      </c>
      <c r="H1200" s="6">
        <v>155.33980579999999</v>
      </c>
      <c r="I1200" s="6">
        <v>4</v>
      </c>
      <c r="J1200" s="6">
        <v>160</v>
      </c>
      <c r="K1200" s="6">
        <v>37.86407767</v>
      </c>
      <c r="L1200" s="3" t="s">
        <v>22</v>
      </c>
      <c r="M1200" s="26"/>
    </row>
    <row r="1201" spans="1:13" x14ac:dyDescent="0.25">
      <c r="A1201" s="6">
        <v>1.4505017345402202E+17</v>
      </c>
      <c r="B1201" s="31" t="s">
        <v>408</v>
      </c>
      <c r="C1201" s="32" t="str">
        <f t="shared" si="34"/>
        <v>Apr</v>
      </c>
      <c r="D1201" s="3" t="s">
        <v>9</v>
      </c>
      <c r="E1201" s="6">
        <v>227806</v>
      </c>
      <c r="F1201" s="6">
        <v>7117</v>
      </c>
      <c r="G1201" s="6">
        <v>3</v>
      </c>
      <c r="H1201" s="6">
        <v>171.84466019999999</v>
      </c>
      <c r="I1201" s="6">
        <v>5</v>
      </c>
      <c r="J1201" s="6">
        <v>177</v>
      </c>
      <c r="K1201" s="6">
        <v>50.485436890000003</v>
      </c>
      <c r="L1201" s="3" t="s">
        <v>22</v>
      </c>
      <c r="M1201" s="26"/>
    </row>
    <row r="1202" spans="1:13" x14ac:dyDescent="0.25">
      <c r="A1202" s="6">
        <v>1.4815673614667002E+17</v>
      </c>
      <c r="B1202" s="31" t="s">
        <v>452</v>
      </c>
      <c r="C1202" s="32" t="str">
        <f t="shared" si="34"/>
        <v>Apr</v>
      </c>
      <c r="D1202" s="3" t="s">
        <v>16</v>
      </c>
      <c r="E1202" s="6">
        <v>396424</v>
      </c>
      <c r="F1202" s="6">
        <v>7117</v>
      </c>
      <c r="G1202" s="6">
        <v>3</v>
      </c>
      <c r="H1202" s="6">
        <v>202.91262140000001</v>
      </c>
      <c r="I1202" s="6">
        <v>6</v>
      </c>
      <c r="J1202" s="6">
        <v>209</v>
      </c>
      <c r="K1202" s="6">
        <v>81.553398060000006</v>
      </c>
      <c r="L1202" s="3" t="s">
        <v>22</v>
      </c>
      <c r="M1202" s="26"/>
    </row>
    <row r="1203" spans="1:13" x14ac:dyDescent="0.25">
      <c r="A1203" s="6">
        <v>1.4537101158542598E+17</v>
      </c>
      <c r="B1203" s="31" t="s">
        <v>461</v>
      </c>
      <c r="C1203" s="32" t="str">
        <f t="shared" si="34"/>
        <v>Apr</v>
      </c>
      <c r="D1203" s="3" t="s">
        <v>25</v>
      </c>
      <c r="E1203" s="6">
        <v>402103</v>
      </c>
      <c r="F1203" s="6">
        <v>7117</v>
      </c>
      <c r="G1203" s="6">
        <v>3</v>
      </c>
      <c r="H1203" s="6">
        <v>191.2621359</v>
      </c>
      <c r="I1203" s="6">
        <v>5</v>
      </c>
      <c r="J1203" s="6">
        <v>197</v>
      </c>
      <c r="K1203" s="6">
        <v>69.902912619999995</v>
      </c>
      <c r="L1203" s="3" t="s">
        <v>26</v>
      </c>
      <c r="M1203" s="26"/>
    </row>
    <row r="1204" spans="1:13" x14ac:dyDescent="0.25">
      <c r="A1204" s="6">
        <v>1.4516023605969402E+17</v>
      </c>
      <c r="B1204" s="31" t="s">
        <v>408</v>
      </c>
      <c r="C1204" s="32" t="str">
        <f t="shared" si="34"/>
        <v>Apr</v>
      </c>
      <c r="D1204" s="3" t="s">
        <v>25</v>
      </c>
      <c r="E1204" s="6">
        <v>829117</v>
      </c>
      <c r="F1204" s="6">
        <v>7117</v>
      </c>
      <c r="G1204" s="6">
        <v>3</v>
      </c>
      <c r="H1204" s="6">
        <v>157.28155340000001</v>
      </c>
      <c r="I1204" s="6">
        <v>4</v>
      </c>
      <c r="J1204" s="6">
        <v>162</v>
      </c>
      <c r="K1204" s="6">
        <v>53.398058249999998</v>
      </c>
      <c r="L1204" s="3" t="s">
        <v>22</v>
      </c>
      <c r="M1204" s="26"/>
    </row>
    <row r="1205" spans="1:13" x14ac:dyDescent="0.25">
      <c r="A1205" s="6">
        <v>1.450257019593E+17</v>
      </c>
      <c r="B1205" s="31" t="s">
        <v>408</v>
      </c>
      <c r="C1205" s="32" t="str">
        <f t="shared" si="34"/>
        <v>Apr</v>
      </c>
      <c r="D1205" s="3" t="s">
        <v>52</v>
      </c>
      <c r="E1205" s="6">
        <v>221010</v>
      </c>
      <c r="F1205" s="6">
        <v>7117</v>
      </c>
      <c r="G1205" s="6">
        <v>3</v>
      </c>
      <c r="H1205" s="6">
        <v>114.5631068</v>
      </c>
      <c r="I1205" s="6">
        <v>3</v>
      </c>
      <c r="J1205" s="6">
        <v>118</v>
      </c>
      <c r="K1205" s="6">
        <v>38.834951459999999</v>
      </c>
      <c r="L1205" s="3" t="s">
        <v>41</v>
      </c>
      <c r="M1205" s="26"/>
    </row>
    <row r="1206" spans="1:13" x14ac:dyDescent="0.25">
      <c r="A1206" s="6">
        <v>1.42931664736558E+17</v>
      </c>
      <c r="B1206" s="31" t="s">
        <v>411</v>
      </c>
      <c r="C1206" s="32" t="str">
        <f t="shared" si="34"/>
        <v>Apr</v>
      </c>
      <c r="D1206" s="3" t="s">
        <v>25</v>
      </c>
      <c r="E1206" s="6">
        <v>431203</v>
      </c>
      <c r="F1206" s="6">
        <v>7117</v>
      </c>
      <c r="G1206" s="6">
        <v>3</v>
      </c>
      <c r="H1206" s="6">
        <v>135.92233010000001</v>
      </c>
      <c r="I1206" s="6">
        <v>4</v>
      </c>
      <c r="J1206" s="6">
        <v>140</v>
      </c>
      <c r="K1206" s="6">
        <v>41.747572820000002</v>
      </c>
      <c r="L1206" s="3" t="s">
        <v>23</v>
      </c>
      <c r="M1206" s="26"/>
    </row>
    <row r="1207" spans="1:13" x14ac:dyDescent="0.25">
      <c r="A1207" s="6">
        <v>1.4072426893243299E+17</v>
      </c>
      <c r="B1207" s="31" t="s">
        <v>447</v>
      </c>
      <c r="C1207" s="32" t="str">
        <f t="shared" si="34"/>
        <v>Apr</v>
      </c>
      <c r="D1207" s="3" t="s">
        <v>16</v>
      </c>
      <c r="E1207" s="6">
        <v>110091</v>
      </c>
      <c r="F1207" s="6">
        <v>7117</v>
      </c>
      <c r="G1207" s="6">
        <v>3</v>
      </c>
      <c r="H1207" s="6">
        <v>167.96116499999999</v>
      </c>
      <c r="I1207" s="6">
        <v>5</v>
      </c>
      <c r="J1207" s="6">
        <v>173</v>
      </c>
      <c r="K1207" s="6">
        <v>50.485436890000003</v>
      </c>
      <c r="L1207" s="3" t="s">
        <v>12</v>
      </c>
      <c r="M1207" s="26"/>
    </row>
    <row r="1208" spans="1:13" x14ac:dyDescent="0.25">
      <c r="A1208" s="6">
        <v>1.4507424569737798E+17</v>
      </c>
      <c r="B1208" s="31" t="s">
        <v>408</v>
      </c>
      <c r="C1208" s="32" t="str">
        <f t="shared" si="34"/>
        <v>Apr</v>
      </c>
      <c r="D1208" s="3" t="s">
        <v>21</v>
      </c>
      <c r="E1208" s="6">
        <v>221306</v>
      </c>
      <c r="F1208" s="6">
        <v>7117</v>
      </c>
      <c r="G1208" s="6">
        <v>3</v>
      </c>
      <c r="H1208" s="6">
        <v>167.96116499999999</v>
      </c>
      <c r="I1208" s="6">
        <v>5</v>
      </c>
      <c r="J1208" s="6">
        <v>173</v>
      </c>
      <c r="K1208" s="6">
        <v>46.601941750000002</v>
      </c>
      <c r="L1208" s="3" t="s">
        <v>28</v>
      </c>
      <c r="M1208" s="26"/>
    </row>
    <row r="1209" spans="1:13" x14ac:dyDescent="0.25">
      <c r="A1209" s="6">
        <v>1.4770098014974899E+17</v>
      </c>
      <c r="B1209" s="31" t="s">
        <v>426</v>
      </c>
      <c r="C1209" s="32" t="str">
        <f t="shared" si="34"/>
        <v>Apr</v>
      </c>
      <c r="D1209" s="3" t="s">
        <v>16</v>
      </c>
      <c r="E1209" s="6">
        <v>474010</v>
      </c>
      <c r="F1209" s="6">
        <v>7117</v>
      </c>
      <c r="G1209" s="6">
        <v>3</v>
      </c>
      <c r="H1209" s="6">
        <v>156.31067959999999</v>
      </c>
      <c r="I1209" s="6">
        <v>4</v>
      </c>
      <c r="J1209" s="6">
        <v>161</v>
      </c>
      <c r="K1209" s="6">
        <v>38.834951459999999</v>
      </c>
      <c r="L1209" s="3" t="s">
        <v>19</v>
      </c>
      <c r="M1209" s="26"/>
    </row>
    <row r="1210" spans="1:13" x14ac:dyDescent="0.25">
      <c r="A1210" s="6">
        <v>1.3960972725155699E+17</v>
      </c>
      <c r="B1210" s="31" t="s">
        <v>485</v>
      </c>
      <c r="C1210" s="32" t="str">
        <f t="shared" si="34"/>
        <v>Apr</v>
      </c>
      <c r="D1210" s="3" t="s">
        <v>25</v>
      </c>
      <c r="E1210" s="6">
        <v>587101</v>
      </c>
      <c r="F1210" s="6">
        <v>7117</v>
      </c>
      <c r="G1210" s="6">
        <v>3</v>
      </c>
      <c r="H1210" s="6">
        <v>173.78640780000001</v>
      </c>
      <c r="I1210" s="6">
        <v>5</v>
      </c>
      <c r="J1210" s="6">
        <v>179</v>
      </c>
      <c r="K1210" s="6">
        <v>52.42718447</v>
      </c>
      <c r="L1210" s="3" t="s">
        <v>17</v>
      </c>
      <c r="M1210" s="26"/>
    </row>
    <row r="1211" spans="1:13" x14ac:dyDescent="0.25">
      <c r="A1211" s="6">
        <v>1.4033426561047101E+17</v>
      </c>
      <c r="B1211" s="31" t="s">
        <v>450</v>
      </c>
      <c r="C1211" s="32" t="str">
        <f t="shared" si="34"/>
        <v>Apr</v>
      </c>
      <c r="D1211" s="3" t="s">
        <v>16</v>
      </c>
      <c r="E1211" s="6">
        <v>143109</v>
      </c>
      <c r="F1211" s="6">
        <v>7117</v>
      </c>
      <c r="G1211" s="6">
        <v>3</v>
      </c>
      <c r="H1211" s="6">
        <v>154.368932</v>
      </c>
      <c r="I1211" s="6">
        <v>4</v>
      </c>
      <c r="J1211" s="6">
        <v>159</v>
      </c>
      <c r="K1211" s="6">
        <v>38.834951459999999</v>
      </c>
      <c r="L1211" s="3" t="s">
        <v>968</v>
      </c>
      <c r="M1211" s="26"/>
    </row>
    <row r="1212" spans="1:13" x14ac:dyDescent="0.25">
      <c r="A1212" s="6">
        <v>1.45178225106652E+17</v>
      </c>
      <c r="B1212" s="31" t="s">
        <v>408</v>
      </c>
      <c r="C1212" s="32" t="str">
        <f t="shared" si="34"/>
        <v>Apr</v>
      </c>
      <c r="D1212" s="3" t="s">
        <v>52</v>
      </c>
      <c r="E1212" s="6">
        <v>495557</v>
      </c>
      <c r="F1212" s="6">
        <v>7117</v>
      </c>
      <c r="G1212" s="6">
        <v>3</v>
      </c>
      <c r="H1212" s="6">
        <v>144.66019420000001</v>
      </c>
      <c r="I1212" s="6">
        <v>4</v>
      </c>
      <c r="J1212" s="6">
        <v>149</v>
      </c>
      <c r="K1212" s="6">
        <v>37.86407767</v>
      </c>
      <c r="L1212" s="3" t="s">
        <v>14</v>
      </c>
      <c r="M1212" s="26"/>
    </row>
    <row r="1213" spans="1:13" x14ac:dyDescent="0.25">
      <c r="A1213" s="6">
        <v>1.42981043121134E+17</v>
      </c>
      <c r="B1213" s="31" t="s">
        <v>411</v>
      </c>
      <c r="C1213" s="32" t="str">
        <f t="shared" si="34"/>
        <v>Apr</v>
      </c>
      <c r="D1213" s="3" t="s">
        <v>16</v>
      </c>
      <c r="E1213" s="6">
        <v>211019</v>
      </c>
      <c r="F1213" s="6">
        <v>7117</v>
      </c>
      <c r="G1213" s="6">
        <v>3</v>
      </c>
      <c r="H1213" s="6">
        <v>151.45631069999999</v>
      </c>
      <c r="I1213" s="6">
        <v>4</v>
      </c>
      <c r="J1213" s="6">
        <v>156</v>
      </c>
      <c r="K1213" s="6">
        <v>33.980582519999999</v>
      </c>
      <c r="L1213" s="3" t="s">
        <v>28</v>
      </c>
      <c r="M1213" s="26"/>
    </row>
    <row r="1214" spans="1:13" x14ac:dyDescent="0.25">
      <c r="A1214" s="6">
        <v>1.4039140446271299E+17</v>
      </c>
      <c r="B1214" s="31" t="s">
        <v>450</v>
      </c>
      <c r="C1214" s="32" t="str">
        <f t="shared" si="34"/>
        <v>Apr</v>
      </c>
      <c r="D1214" s="3" t="s">
        <v>16</v>
      </c>
      <c r="E1214" s="6">
        <v>844503</v>
      </c>
      <c r="F1214" s="6">
        <v>7117</v>
      </c>
      <c r="G1214" s="6">
        <v>3</v>
      </c>
      <c r="H1214" s="6">
        <v>123.3009709</v>
      </c>
      <c r="I1214" s="6">
        <v>3</v>
      </c>
      <c r="J1214" s="6">
        <v>127</v>
      </c>
      <c r="K1214" s="6">
        <v>33.009708740000001</v>
      </c>
      <c r="L1214" s="3" t="s">
        <v>10</v>
      </c>
      <c r="M1214" s="26"/>
    </row>
    <row r="1215" spans="1:13" x14ac:dyDescent="0.25">
      <c r="A1215" s="6">
        <v>1.4249776323399501E+17</v>
      </c>
      <c r="B1215" s="31" t="s">
        <v>436</v>
      </c>
      <c r="C1215" s="32" t="str">
        <f t="shared" si="34"/>
        <v>Apr</v>
      </c>
      <c r="D1215" s="3" t="s">
        <v>25</v>
      </c>
      <c r="E1215" s="6">
        <v>824102</v>
      </c>
      <c r="F1215" s="6">
        <v>7117</v>
      </c>
      <c r="G1215" s="6">
        <v>3</v>
      </c>
      <c r="H1215" s="6">
        <v>164.07766989999999</v>
      </c>
      <c r="I1215" s="6">
        <v>4</v>
      </c>
      <c r="J1215" s="6">
        <v>169</v>
      </c>
      <c r="K1215" s="6">
        <v>42.7184466</v>
      </c>
      <c r="L1215" s="3" t="s">
        <v>54</v>
      </c>
      <c r="M1215" s="26"/>
    </row>
    <row r="1216" spans="1:13" x14ac:dyDescent="0.25">
      <c r="A1216" s="6">
        <v>1.4434345246412701E+17</v>
      </c>
      <c r="B1216" s="31" t="s">
        <v>473</v>
      </c>
      <c r="C1216" s="32" t="str">
        <f t="shared" si="34"/>
        <v>Apr</v>
      </c>
      <c r="D1216" s="3" t="s">
        <v>16</v>
      </c>
      <c r="E1216" s="6">
        <v>243726</v>
      </c>
      <c r="F1216" s="6">
        <v>7117</v>
      </c>
      <c r="G1216" s="6">
        <v>3</v>
      </c>
      <c r="H1216" s="6">
        <v>170.8737864</v>
      </c>
      <c r="I1216" s="6">
        <v>5</v>
      </c>
      <c r="J1216" s="6">
        <v>176</v>
      </c>
      <c r="K1216" s="6">
        <v>53.398058249999998</v>
      </c>
      <c r="L1216" s="3" t="s">
        <v>22</v>
      </c>
      <c r="M1216" s="26"/>
    </row>
    <row r="1217" spans="1:13" x14ac:dyDescent="0.25">
      <c r="A1217" s="6">
        <v>1.4655880034511002E+17</v>
      </c>
      <c r="B1217" s="31" t="s">
        <v>458</v>
      </c>
      <c r="C1217" s="32" t="str">
        <f t="shared" si="34"/>
        <v>Apr</v>
      </c>
      <c r="D1217" s="3" t="s">
        <v>16</v>
      </c>
      <c r="E1217" s="6">
        <v>210204</v>
      </c>
      <c r="F1217" s="6">
        <v>7117</v>
      </c>
      <c r="G1217" s="6">
        <v>3</v>
      </c>
      <c r="H1217" s="6">
        <v>174.7572816</v>
      </c>
      <c r="I1217" s="6">
        <v>5</v>
      </c>
      <c r="J1217" s="6">
        <v>180</v>
      </c>
      <c r="K1217" s="6">
        <v>53.398058249999998</v>
      </c>
      <c r="L1217" s="3" t="s">
        <v>37</v>
      </c>
      <c r="M1217" s="26"/>
    </row>
    <row r="1218" spans="1:13" x14ac:dyDescent="0.25">
      <c r="A1218" s="6">
        <v>1.4653692781161798E+17</v>
      </c>
      <c r="B1218" s="31" t="s">
        <v>458</v>
      </c>
      <c r="C1218" s="32" t="str">
        <f t="shared" si="34"/>
        <v>Apr</v>
      </c>
      <c r="D1218" s="3" t="s">
        <v>25</v>
      </c>
      <c r="E1218" s="6">
        <v>185211</v>
      </c>
      <c r="F1218" s="6">
        <v>7117</v>
      </c>
      <c r="G1218" s="6">
        <v>3</v>
      </c>
      <c r="H1218" s="6">
        <v>167.96116499999999</v>
      </c>
      <c r="I1218" s="6">
        <v>5</v>
      </c>
      <c r="J1218" s="6">
        <v>173</v>
      </c>
      <c r="K1218" s="6">
        <v>46.601941750000002</v>
      </c>
      <c r="L1218" s="3" t="s">
        <v>10</v>
      </c>
      <c r="M1218" s="26"/>
    </row>
    <row r="1219" spans="1:13" x14ac:dyDescent="0.25">
      <c r="A1219" s="6">
        <v>1.4510262159419501E+17</v>
      </c>
      <c r="B1219" s="31" t="s">
        <v>408</v>
      </c>
      <c r="C1219" s="32" t="str">
        <f t="shared" ref="C1219:C1282" si="35">TEXT(B1219, "mmm")</f>
        <v>Apr</v>
      </c>
      <c r="D1219" s="3" t="s">
        <v>16</v>
      </c>
      <c r="E1219" s="6">
        <v>791109</v>
      </c>
      <c r="F1219" s="6">
        <v>7117</v>
      </c>
      <c r="G1219" s="6">
        <v>3</v>
      </c>
      <c r="H1219" s="6">
        <v>165.04854370000001</v>
      </c>
      <c r="I1219" s="6">
        <v>4</v>
      </c>
      <c r="J1219" s="6">
        <v>170</v>
      </c>
      <c r="K1219" s="6">
        <v>47.57281553</v>
      </c>
      <c r="L1219" s="3" t="s">
        <v>10</v>
      </c>
      <c r="M1219" s="26"/>
    </row>
    <row r="1220" spans="1:13" x14ac:dyDescent="0.25">
      <c r="A1220" s="6">
        <v>1.4479964192594899E+17</v>
      </c>
      <c r="B1220" s="31" t="s">
        <v>496</v>
      </c>
      <c r="C1220" s="32" t="str">
        <f t="shared" si="35"/>
        <v>Apr</v>
      </c>
      <c r="D1220" s="3" t="s">
        <v>25</v>
      </c>
      <c r="E1220" s="6">
        <v>400068</v>
      </c>
      <c r="F1220" s="6">
        <v>7117</v>
      </c>
      <c r="G1220" s="6">
        <v>3</v>
      </c>
      <c r="H1220" s="6">
        <v>148.54368930000001</v>
      </c>
      <c r="I1220" s="6">
        <v>4</v>
      </c>
      <c r="J1220" s="6">
        <v>153</v>
      </c>
      <c r="K1220" s="6">
        <v>45.631067960000003</v>
      </c>
      <c r="L1220" s="3" t="s">
        <v>46</v>
      </c>
      <c r="M1220" s="26"/>
    </row>
    <row r="1221" spans="1:13" x14ac:dyDescent="0.25">
      <c r="A1221" s="6">
        <v>1.43605926749426E+17</v>
      </c>
      <c r="B1221" s="31" t="s">
        <v>401</v>
      </c>
      <c r="C1221" s="32" t="str">
        <f t="shared" si="35"/>
        <v>Apr</v>
      </c>
      <c r="D1221" s="3" t="s">
        <v>16</v>
      </c>
      <c r="E1221" s="6">
        <v>122004</v>
      </c>
      <c r="F1221" s="6">
        <v>7117</v>
      </c>
      <c r="G1221" s="6">
        <v>3</v>
      </c>
      <c r="H1221" s="6">
        <v>154.368932</v>
      </c>
      <c r="I1221" s="6">
        <v>4</v>
      </c>
      <c r="J1221" s="6">
        <v>159</v>
      </c>
      <c r="K1221" s="6">
        <v>50.485436890000003</v>
      </c>
      <c r="L1221" s="3" t="s">
        <v>37</v>
      </c>
      <c r="M1221" s="26"/>
    </row>
    <row r="1222" spans="1:13" x14ac:dyDescent="0.25">
      <c r="A1222" s="6">
        <v>1.4576394336538E+17</v>
      </c>
      <c r="B1222" s="31" t="s">
        <v>422</v>
      </c>
      <c r="C1222" s="32" t="str">
        <f t="shared" si="35"/>
        <v>Apr</v>
      </c>
      <c r="D1222" s="3" t="s">
        <v>16</v>
      </c>
      <c r="E1222" s="6">
        <v>475671</v>
      </c>
      <c r="F1222" s="6">
        <v>7117</v>
      </c>
      <c r="G1222" s="6">
        <v>3</v>
      </c>
      <c r="H1222" s="6">
        <v>159.22330099999999</v>
      </c>
      <c r="I1222" s="6">
        <v>4</v>
      </c>
      <c r="J1222" s="6">
        <v>164</v>
      </c>
      <c r="K1222" s="6">
        <v>55.339805830000003</v>
      </c>
      <c r="L1222" s="3" t="s">
        <v>22</v>
      </c>
      <c r="M1222" s="26"/>
    </row>
    <row r="1223" spans="1:13" x14ac:dyDescent="0.25">
      <c r="A1223" s="6">
        <v>1.4188000158201299E+17</v>
      </c>
      <c r="B1223" s="31" t="s">
        <v>417</v>
      </c>
      <c r="C1223" s="32" t="str">
        <f t="shared" si="35"/>
        <v>Apr</v>
      </c>
      <c r="D1223" s="3" t="s">
        <v>16</v>
      </c>
      <c r="E1223" s="6">
        <v>688535</v>
      </c>
      <c r="F1223" s="6">
        <v>7117</v>
      </c>
      <c r="G1223" s="6">
        <v>3</v>
      </c>
      <c r="H1223" s="6">
        <v>177.66990290000001</v>
      </c>
      <c r="I1223" s="6">
        <v>5</v>
      </c>
      <c r="J1223" s="6">
        <v>183</v>
      </c>
      <c r="K1223" s="6">
        <v>56.310679610000001</v>
      </c>
      <c r="L1223" s="3" t="s">
        <v>19</v>
      </c>
      <c r="M1223" s="26"/>
    </row>
    <row r="1224" spans="1:13" x14ac:dyDescent="0.25">
      <c r="A1224" s="6">
        <v>1.4799294097034598E+17</v>
      </c>
      <c r="B1224" s="31" t="s">
        <v>501</v>
      </c>
      <c r="C1224" s="32" t="str">
        <f t="shared" si="35"/>
        <v>Apr</v>
      </c>
      <c r="D1224" s="3" t="s">
        <v>16</v>
      </c>
      <c r="E1224" s="6">
        <v>110091</v>
      </c>
      <c r="F1224" s="6">
        <v>7117</v>
      </c>
      <c r="G1224" s="6">
        <v>3</v>
      </c>
      <c r="H1224" s="6">
        <v>171.84466019999999</v>
      </c>
      <c r="I1224" s="6">
        <v>5</v>
      </c>
      <c r="J1224" s="6">
        <v>177</v>
      </c>
      <c r="K1224" s="6">
        <v>50.485436890000003</v>
      </c>
      <c r="L1224" s="3" t="s">
        <v>22</v>
      </c>
      <c r="M1224" s="26"/>
    </row>
    <row r="1225" spans="1:13" x14ac:dyDescent="0.25">
      <c r="A1225" s="6">
        <v>1.4484827887109798E+17</v>
      </c>
      <c r="B1225" s="31" t="s">
        <v>496</v>
      </c>
      <c r="C1225" s="32" t="str">
        <f t="shared" si="35"/>
        <v>Apr</v>
      </c>
      <c r="D1225" s="3" t="s">
        <v>16</v>
      </c>
      <c r="E1225" s="6">
        <v>335001</v>
      </c>
      <c r="F1225" s="6">
        <v>7117</v>
      </c>
      <c r="G1225" s="6">
        <v>3</v>
      </c>
      <c r="H1225" s="6">
        <v>156.31067959999999</v>
      </c>
      <c r="I1225" s="6">
        <v>4</v>
      </c>
      <c r="J1225" s="6">
        <v>161</v>
      </c>
      <c r="K1225" s="6">
        <v>38.834951459999999</v>
      </c>
      <c r="L1225" s="3" t="s">
        <v>41</v>
      </c>
      <c r="M1225" s="26"/>
    </row>
    <row r="1226" spans="1:13" x14ac:dyDescent="0.25">
      <c r="A1226" s="6">
        <v>1.4467677435786598E+17</v>
      </c>
      <c r="B1226" s="31" t="s">
        <v>496</v>
      </c>
      <c r="C1226" s="32" t="str">
        <f t="shared" si="35"/>
        <v>Apr</v>
      </c>
      <c r="D1226" s="3" t="s">
        <v>16</v>
      </c>
      <c r="E1226" s="6">
        <v>412115</v>
      </c>
      <c r="F1226" s="6">
        <v>7117</v>
      </c>
      <c r="G1226" s="6">
        <v>3</v>
      </c>
      <c r="H1226" s="6">
        <v>155.33980579999999</v>
      </c>
      <c r="I1226" s="6">
        <v>4</v>
      </c>
      <c r="J1226" s="6">
        <v>160</v>
      </c>
      <c r="K1226" s="6">
        <v>33.980582519999999</v>
      </c>
      <c r="L1226" s="3" t="s">
        <v>10</v>
      </c>
      <c r="M1226" s="26"/>
    </row>
    <row r="1227" spans="1:13" x14ac:dyDescent="0.25">
      <c r="A1227" s="6">
        <v>1.4411024082053E+17</v>
      </c>
      <c r="B1227" s="31" t="s">
        <v>438</v>
      </c>
      <c r="C1227" s="32" t="str">
        <f t="shared" si="35"/>
        <v>Apr</v>
      </c>
      <c r="D1227" s="3" t="s">
        <v>16</v>
      </c>
      <c r="E1227" s="6">
        <v>208011</v>
      </c>
      <c r="F1227" s="6">
        <v>7117</v>
      </c>
      <c r="G1227" s="6">
        <v>3</v>
      </c>
      <c r="H1227" s="6">
        <v>156.31067959999999</v>
      </c>
      <c r="I1227" s="6">
        <v>4</v>
      </c>
      <c r="J1227" s="6">
        <v>161</v>
      </c>
      <c r="K1227" s="6">
        <v>38.834951459999999</v>
      </c>
      <c r="L1227" s="3" t="s">
        <v>41</v>
      </c>
      <c r="M1227" s="26"/>
    </row>
    <row r="1228" spans="1:13" x14ac:dyDescent="0.25">
      <c r="A1228" s="6">
        <v>1.4408768881961E+17</v>
      </c>
      <c r="B1228" s="31" t="s">
        <v>438</v>
      </c>
      <c r="C1228" s="32" t="str">
        <f t="shared" si="35"/>
        <v>Apr</v>
      </c>
      <c r="D1228" s="3" t="s">
        <v>16</v>
      </c>
      <c r="E1228" s="6">
        <v>803116</v>
      </c>
      <c r="F1228" s="6">
        <v>7117</v>
      </c>
      <c r="G1228" s="6">
        <v>3</v>
      </c>
      <c r="H1228" s="6">
        <v>170.8737864</v>
      </c>
      <c r="I1228" s="6">
        <v>5</v>
      </c>
      <c r="J1228" s="6">
        <v>176</v>
      </c>
      <c r="K1228" s="6">
        <v>53.398058249999998</v>
      </c>
      <c r="L1228" s="3" t="s">
        <v>22</v>
      </c>
      <c r="M1228" s="26"/>
    </row>
    <row r="1229" spans="1:13" x14ac:dyDescent="0.25">
      <c r="A1229" s="6">
        <v>1.4433887770836602E+17</v>
      </c>
      <c r="B1229" s="31" t="s">
        <v>473</v>
      </c>
      <c r="C1229" s="32" t="str">
        <f t="shared" si="35"/>
        <v>Apr</v>
      </c>
      <c r="D1229" s="3" t="s">
        <v>21</v>
      </c>
      <c r="E1229" s="6">
        <v>486001</v>
      </c>
      <c r="F1229" s="6">
        <v>7117</v>
      </c>
      <c r="G1229" s="6">
        <v>3</v>
      </c>
      <c r="H1229" s="6">
        <v>175.7281553</v>
      </c>
      <c r="I1229" s="6">
        <v>5</v>
      </c>
      <c r="J1229" s="6">
        <v>181</v>
      </c>
      <c r="K1229" s="6">
        <v>54.368932039999997</v>
      </c>
      <c r="L1229" s="3" t="s">
        <v>46</v>
      </c>
      <c r="M1229" s="26"/>
    </row>
    <row r="1230" spans="1:13" x14ac:dyDescent="0.25">
      <c r="A1230" s="6">
        <v>1.4665075403925101E+17</v>
      </c>
      <c r="B1230" s="31" t="s">
        <v>458</v>
      </c>
      <c r="C1230" s="32" t="str">
        <f t="shared" si="35"/>
        <v>Apr</v>
      </c>
      <c r="D1230" s="3" t="s">
        <v>33</v>
      </c>
      <c r="E1230" s="6">
        <v>110042</v>
      </c>
      <c r="F1230" s="6">
        <v>7117</v>
      </c>
      <c r="G1230" s="6">
        <v>3</v>
      </c>
      <c r="H1230" s="6">
        <v>196.1165049</v>
      </c>
      <c r="I1230" s="6">
        <v>5</v>
      </c>
      <c r="J1230" s="6">
        <v>202</v>
      </c>
      <c r="K1230" s="6">
        <v>74.757281550000002</v>
      </c>
      <c r="L1230" s="3" t="s">
        <v>26</v>
      </c>
      <c r="M1230" s="26"/>
    </row>
    <row r="1231" spans="1:13" x14ac:dyDescent="0.25">
      <c r="A1231" s="6">
        <v>1.46512531390744E+17</v>
      </c>
      <c r="B1231" s="31" t="s">
        <v>458</v>
      </c>
      <c r="C1231" s="32" t="str">
        <f t="shared" si="35"/>
        <v>Apr</v>
      </c>
      <c r="D1231" s="3" t="s">
        <v>25</v>
      </c>
      <c r="E1231" s="6">
        <v>522101</v>
      </c>
      <c r="F1231" s="6">
        <v>7117</v>
      </c>
      <c r="G1231" s="6">
        <v>3</v>
      </c>
      <c r="H1231" s="6">
        <v>187.3786408</v>
      </c>
      <c r="I1231" s="6">
        <v>5</v>
      </c>
      <c r="J1231" s="6">
        <v>193</v>
      </c>
      <c r="K1231" s="6">
        <v>46.601941750000002</v>
      </c>
      <c r="L1231" s="3" t="s">
        <v>46</v>
      </c>
      <c r="M1231" s="26"/>
    </row>
    <row r="1232" spans="1:13" x14ac:dyDescent="0.25">
      <c r="A1232" s="6">
        <v>1.39394529619448E+17</v>
      </c>
      <c r="B1232" s="31" t="s">
        <v>441</v>
      </c>
      <c r="C1232" s="32" t="str">
        <f t="shared" si="35"/>
        <v>Apr</v>
      </c>
      <c r="D1232" s="3" t="s">
        <v>21</v>
      </c>
      <c r="E1232" s="6">
        <v>456664</v>
      </c>
      <c r="F1232" s="6">
        <v>7117</v>
      </c>
      <c r="G1232" s="6">
        <v>3</v>
      </c>
      <c r="H1232" s="6">
        <v>152.42718450000001</v>
      </c>
      <c r="I1232" s="6">
        <v>4</v>
      </c>
      <c r="J1232" s="6">
        <v>157</v>
      </c>
      <c r="K1232" s="6">
        <v>48.543689319999999</v>
      </c>
      <c r="L1232" s="3" t="s">
        <v>26</v>
      </c>
      <c r="M1232" s="26"/>
    </row>
    <row r="1233" spans="1:13" x14ac:dyDescent="0.25">
      <c r="A1233" s="6">
        <v>1.4338261426703699E+17</v>
      </c>
      <c r="B1233" s="31" t="s">
        <v>406</v>
      </c>
      <c r="C1233" s="32" t="str">
        <f t="shared" si="35"/>
        <v>Apr</v>
      </c>
      <c r="D1233" s="3" t="s">
        <v>16</v>
      </c>
      <c r="E1233" s="6">
        <v>276121</v>
      </c>
      <c r="F1233" s="6">
        <v>7117</v>
      </c>
      <c r="G1233" s="6">
        <v>3</v>
      </c>
      <c r="H1233" s="6">
        <v>185.43689319999999</v>
      </c>
      <c r="I1233" s="6">
        <v>5</v>
      </c>
      <c r="J1233" s="6">
        <v>191</v>
      </c>
      <c r="K1233" s="6">
        <v>64.077669900000004</v>
      </c>
      <c r="L1233" s="3" t="s">
        <v>967</v>
      </c>
      <c r="M1233" s="26"/>
    </row>
    <row r="1234" spans="1:13" x14ac:dyDescent="0.25">
      <c r="A1234" s="6">
        <v>1.41959272674488E+17</v>
      </c>
      <c r="B1234" s="31" t="s">
        <v>417</v>
      </c>
      <c r="C1234" s="32" t="str">
        <f t="shared" si="35"/>
        <v>Apr</v>
      </c>
      <c r="D1234" s="3" t="s">
        <v>16</v>
      </c>
      <c r="E1234" s="6">
        <v>110059</v>
      </c>
      <c r="F1234" s="6">
        <v>7117</v>
      </c>
      <c r="G1234" s="6">
        <v>3</v>
      </c>
      <c r="H1234" s="6">
        <v>161.16504850000001</v>
      </c>
      <c r="I1234" s="6">
        <v>4</v>
      </c>
      <c r="J1234" s="6">
        <v>166</v>
      </c>
      <c r="K1234" s="6">
        <v>53.398058249999998</v>
      </c>
      <c r="L1234" s="3" t="s">
        <v>23</v>
      </c>
      <c r="M1234" s="26"/>
    </row>
    <row r="1235" spans="1:13" x14ac:dyDescent="0.25">
      <c r="A1235" s="6">
        <v>1.44095563507994E+17</v>
      </c>
      <c r="B1235" s="31" t="s">
        <v>438</v>
      </c>
      <c r="C1235" s="32" t="str">
        <f t="shared" si="35"/>
        <v>Apr</v>
      </c>
      <c r="D1235" s="3" t="s">
        <v>16</v>
      </c>
      <c r="E1235" s="6">
        <v>344031</v>
      </c>
      <c r="F1235" s="6">
        <v>7117</v>
      </c>
      <c r="G1235" s="6">
        <v>3</v>
      </c>
      <c r="H1235" s="6">
        <v>179.6116505</v>
      </c>
      <c r="I1235" s="6">
        <v>5</v>
      </c>
      <c r="J1235" s="6">
        <v>185</v>
      </c>
      <c r="K1235" s="6">
        <v>62.13592233</v>
      </c>
      <c r="L1235" s="3" t="s">
        <v>39</v>
      </c>
      <c r="M1235" s="26"/>
    </row>
    <row r="1236" spans="1:13" x14ac:dyDescent="0.25">
      <c r="A1236" s="6">
        <v>1.4834713129068701E+17</v>
      </c>
      <c r="B1236" s="31" t="s">
        <v>452</v>
      </c>
      <c r="C1236" s="32" t="str">
        <f t="shared" si="35"/>
        <v>Apr</v>
      </c>
      <c r="D1236" s="3" t="s">
        <v>16</v>
      </c>
      <c r="E1236" s="6">
        <v>848502</v>
      </c>
      <c r="F1236" s="6">
        <v>7117</v>
      </c>
      <c r="G1236" s="6">
        <v>3</v>
      </c>
      <c r="H1236" s="6">
        <v>140.77669900000001</v>
      </c>
      <c r="I1236" s="6">
        <v>4</v>
      </c>
      <c r="J1236" s="6">
        <v>145</v>
      </c>
      <c r="K1236" s="6">
        <v>36.893203880000002</v>
      </c>
      <c r="L1236" s="3" t="s">
        <v>10</v>
      </c>
      <c r="M1236" s="26"/>
    </row>
    <row r="1237" spans="1:13" x14ac:dyDescent="0.25">
      <c r="A1237" s="6">
        <v>1.4153310411177101E+17</v>
      </c>
      <c r="B1237" s="31" t="s">
        <v>515</v>
      </c>
      <c r="C1237" s="32" t="str">
        <f t="shared" si="35"/>
        <v>Apr</v>
      </c>
      <c r="D1237" s="3" t="s">
        <v>52</v>
      </c>
      <c r="E1237" s="6">
        <v>400055</v>
      </c>
      <c r="F1237" s="6">
        <v>7117</v>
      </c>
      <c r="G1237" s="6">
        <v>3</v>
      </c>
      <c r="H1237" s="6">
        <v>320.3883495</v>
      </c>
      <c r="I1237" s="6">
        <v>9</v>
      </c>
      <c r="J1237" s="6">
        <v>330</v>
      </c>
      <c r="K1237" s="6">
        <v>67.961165050000005</v>
      </c>
      <c r="L1237" s="3" t="s">
        <v>10</v>
      </c>
      <c r="M1237" s="26"/>
    </row>
    <row r="1238" spans="1:13" x14ac:dyDescent="0.25">
      <c r="A1238" s="6">
        <v>1.3939144025313501E+17</v>
      </c>
      <c r="B1238" s="31" t="s">
        <v>441</v>
      </c>
      <c r="C1238" s="32" t="str">
        <f t="shared" si="35"/>
        <v>Apr</v>
      </c>
      <c r="D1238" s="3" t="s">
        <v>52</v>
      </c>
      <c r="E1238" s="6">
        <v>184121</v>
      </c>
      <c r="F1238" s="6">
        <v>7117</v>
      </c>
      <c r="G1238" s="6">
        <v>3</v>
      </c>
      <c r="H1238" s="6">
        <v>169.90291260000001</v>
      </c>
      <c r="I1238" s="6">
        <v>5</v>
      </c>
      <c r="J1238" s="6">
        <v>175</v>
      </c>
      <c r="K1238" s="6">
        <v>52.42718447</v>
      </c>
      <c r="L1238" s="3" t="s">
        <v>41</v>
      </c>
      <c r="M1238" s="26"/>
    </row>
    <row r="1239" spans="1:13" x14ac:dyDescent="0.25">
      <c r="A1239" s="6">
        <v>1.41530565023732E+17</v>
      </c>
      <c r="B1239" s="31" t="s">
        <v>515</v>
      </c>
      <c r="C1239" s="32" t="str">
        <f t="shared" si="35"/>
        <v>Apr</v>
      </c>
      <c r="D1239" s="3" t="s">
        <v>16</v>
      </c>
      <c r="E1239" s="6">
        <v>410210</v>
      </c>
      <c r="F1239" s="6">
        <v>7117</v>
      </c>
      <c r="G1239" s="6">
        <v>3</v>
      </c>
      <c r="H1239" s="6">
        <v>143.68932040000001</v>
      </c>
      <c r="I1239" s="6">
        <v>4</v>
      </c>
      <c r="J1239" s="6">
        <v>148</v>
      </c>
      <c r="K1239" s="6">
        <v>39.805825239999997</v>
      </c>
      <c r="L1239" s="3" t="s">
        <v>10</v>
      </c>
      <c r="M1239" s="26"/>
    </row>
    <row r="1240" spans="1:13" x14ac:dyDescent="0.25">
      <c r="A1240" s="6">
        <v>1.44817755019384E+17</v>
      </c>
      <c r="B1240" s="31" t="s">
        <v>496</v>
      </c>
      <c r="C1240" s="32" t="str">
        <f t="shared" si="35"/>
        <v>Apr</v>
      </c>
      <c r="D1240" s="3" t="s">
        <v>25</v>
      </c>
      <c r="E1240" s="6">
        <v>803116</v>
      </c>
      <c r="F1240" s="6">
        <v>7117</v>
      </c>
      <c r="G1240" s="6">
        <v>3</v>
      </c>
      <c r="H1240" s="6">
        <v>156.31067959999999</v>
      </c>
      <c r="I1240" s="6">
        <v>4</v>
      </c>
      <c r="J1240" s="6">
        <v>161</v>
      </c>
      <c r="K1240" s="6">
        <v>38.834951459999999</v>
      </c>
      <c r="L1240" s="3" t="s">
        <v>12</v>
      </c>
      <c r="M1240" s="26"/>
    </row>
    <row r="1241" spans="1:13" x14ac:dyDescent="0.25">
      <c r="A1241" s="6">
        <v>1.4179613856649E+17</v>
      </c>
      <c r="B1241" s="31" t="s">
        <v>417</v>
      </c>
      <c r="C1241" s="32" t="str">
        <f t="shared" si="35"/>
        <v>Apr</v>
      </c>
      <c r="D1241" s="3" t="s">
        <v>21</v>
      </c>
      <c r="E1241" s="6">
        <v>791110</v>
      </c>
      <c r="F1241" s="6">
        <v>7117</v>
      </c>
      <c r="G1241" s="6">
        <v>3</v>
      </c>
      <c r="H1241" s="6">
        <v>168.93203879999999</v>
      </c>
      <c r="I1241" s="6">
        <v>5</v>
      </c>
      <c r="J1241" s="6">
        <v>174</v>
      </c>
      <c r="K1241" s="6">
        <v>47.57281553</v>
      </c>
      <c r="L1241" s="3" t="s">
        <v>46</v>
      </c>
      <c r="M1241" s="26"/>
    </row>
    <row r="1242" spans="1:13" x14ac:dyDescent="0.25">
      <c r="A1242" s="6">
        <v>1.4861748051152198E+17</v>
      </c>
      <c r="B1242" s="31" t="s">
        <v>521</v>
      </c>
      <c r="C1242" s="32" t="str">
        <f t="shared" si="35"/>
        <v>Apr</v>
      </c>
      <c r="D1242" s="3" t="s">
        <v>16</v>
      </c>
      <c r="E1242" s="6">
        <v>752055</v>
      </c>
      <c r="F1242" s="6">
        <v>7117</v>
      </c>
      <c r="G1242" s="6">
        <v>3</v>
      </c>
      <c r="H1242" s="6">
        <v>162.1359223</v>
      </c>
      <c r="I1242" s="6">
        <v>4</v>
      </c>
      <c r="J1242" s="6">
        <v>167</v>
      </c>
      <c r="K1242" s="6">
        <v>40.776699030000003</v>
      </c>
      <c r="L1242" s="3" t="s">
        <v>10</v>
      </c>
      <c r="M1242" s="26"/>
    </row>
    <row r="1243" spans="1:13" x14ac:dyDescent="0.25">
      <c r="A1243" s="6">
        <v>1.4552223474300301E+17</v>
      </c>
      <c r="B1243" s="31" t="s">
        <v>461</v>
      </c>
      <c r="C1243" s="32" t="str">
        <f t="shared" si="35"/>
        <v>Apr</v>
      </c>
      <c r="D1243" s="3" t="s">
        <v>16</v>
      </c>
      <c r="E1243" s="6">
        <v>751024</v>
      </c>
      <c r="F1243" s="6">
        <v>7117</v>
      </c>
      <c r="G1243" s="6">
        <v>3</v>
      </c>
      <c r="H1243" s="6">
        <v>133.0097087</v>
      </c>
      <c r="I1243" s="6">
        <v>3</v>
      </c>
      <c r="J1243" s="6">
        <v>137</v>
      </c>
      <c r="K1243" s="6">
        <v>38.834951459999999</v>
      </c>
      <c r="L1243" s="3" t="s">
        <v>22</v>
      </c>
      <c r="M1243" s="26"/>
    </row>
    <row r="1244" spans="1:13" x14ac:dyDescent="0.25">
      <c r="A1244" s="6">
        <v>1.4369152925287101E+17</v>
      </c>
      <c r="B1244" s="31" t="s">
        <v>401</v>
      </c>
      <c r="C1244" s="32" t="str">
        <f t="shared" si="35"/>
        <v>Apr</v>
      </c>
      <c r="D1244" s="3" t="s">
        <v>25</v>
      </c>
      <c r="E1244" s="6">
        <v>140603</v>
      </c>
      <c r="F1244" s="6">
        <v>7117</v>
      </c>
      <c r="G1244" s="6">
        <v>3</v>
      </c>
      <c r="H1244" s="6">
        <v>166.0194175</v>
      </c>
      <c r="I1244" s="6">
        <v>4</v>
      </c>
      <c r="J1244" s="6">
        <v>171</v>
      </c>
      <c r="K1244" s="6">
        <v>71.844660189999999</v>
      </c>
      <c r="L1244" s="3" t="s">
        <v>44</v>
      </c>
      <c r="M1244" s="26"/>
    </row>
    <row r="1245" spans="1:13" x14ac:dyDescent="0.25">
      <c r="A1245" s="6">
        <v>1.41531812799812E+17</v>
      </c>
      <c r="B1245" s="31" t="s">
        <v>515</v>
      </c>
      <c r="C1245" s="32" t="str">
        <f t="shared" si="35"/>
        <v>Apr</v>
      </c>
      <c r="D1245" s="3" t="s">
        <v>16</v>
      </c>
      <c r="E1245" s="6">
        <v>211006</v>
      </c>
      <c r="F1245" s="6">
        <v>7117</v>
      </c>
      <c r="G1245" s="6">
        <v>3</v>
      </c>
      <c r="H1245" s="6">
        <v>154.368932</v>
      </c>
      <c r="I1245" s="6">
        <v>4</v>
      </c>
      <c r="J1245" s="6">
        <v>159</v>
      </c>
      <c r="K1245" s="6">
        <v>33.009708740000001</v>
      </c>
      <c r="L1245" s="3" t="s">
        <v>10</v>
      </c>
      <c r="M1245" s="26"/>
    </row>
    <row r="1246" spans="1:13" x14ac:dyDescent="0.25">
      <c r="A1246" s="6">
        <v>1.43658022497284E+17</v>
      </c>
      <c r="B1246" s="31" t="s">
        <v>401</v>
      </c>
      <c r="C1246" s="32" t="str">
        <f t="shared" si="35"/>
        <v>Apr</v>
      </c>
      <c r="D1246" s="3" t="s">
        <v>25</v>
      </c>
      <c r="E1246" s="6">
        <v>751009</v>
      </c>
      <c r="F1246" s="6">
        <v>7117</v>
      </c>
      <c r="G1246" s="6">
        <v>3</v>
      </c>
      <c r="H1246" s="6">
        <v>162.1359223</v>
      </c>
      <c r="I1246" s="6">
        <v>4</v>
      </c>
      <c r="J1246" s="6">
        <v>167</v>
      </c>
      <c r="K1246" s="6">
        <v>40.776699030000003</v>
      </c>
      <c r="L1246" s="3" t="s">
        <v>10</v>
      </c>
      <c r="M1246" s="26"/>
    </row>
    <row r="1247" spans="1:13" x14ac:dyDescent="0.25">
      <c r="A1247" s="6">
        <v>1.4153339536523699E+17</v>
      </c>
      <c r="B1247" s="31" t="s">
        <v>515</v>
      </c>
      <c r="C1247" s="32" t="str">
        <f t="shared" si="35"/>
        <v>Apr</v>
      </c>
      <c r="D1247" s="3" t="s">
        <v>16</v>
      </c>
      <c r="E1247" s="6">
        <v>560098</v>
      </c>
      <c r="F1247" s="6">
        <v>7117</v>
      </c>
      <c r="G1247" s="6">
        <v>3</v>
      </c>
      <c r="H1247" s="6">
        <v>300.97087379999999</v>
      </c>
      <c r="I1247" s="6">
        <v>9</v>
      </c>
      <c r="J1247" s="6">
        <v>310</v>
      </c>
      <c r="K1247" s="6">
        <v>66.019417480000001</v>
      </c>
      <c r="L1247" s="3" t="s">
        <v>10</v>
      </c>
      <c r="M1247" s="26"/>
    </row>
    <row r="1248" spans="1:13" x14ac:dyDescent="0.25">
      <c r="A1248" s="6">
        <v>1.49089430082848E+17</v>
      </c>
      <c r="B1248" s="31" t="s">
        <v>431</v>
      </c>
      <c r="C1248" s="32" t="str">
        <f t="shared" si="35"/>
        <v>Apr</v>
      </c>
      <c r="D1248" s="3" t="s">
        <v>16</v>
      </c>
      <c r="E1248" s="6">
        <v>261135</v>
      </c>
      <c r="F1248" s="6">
        <v>7117</v>
      </c>
      <c r="G1248" s="6">
        <v>3</v>
      </c>
      <c r="H1248" s="6">
        <v>152.42718450000001</v>
      </c>
      <c r="I1248" s="6">
        <v>4</v>
      </c>
      <c r="J1248" s="6">
        <v>157</v>
      </c>
      <c r="K1248" s="6">
        <v>48.543689319999999</v>
      </c>
      <c r="L1248" s="3" t="s">
        <v>26</v>
      </c>
      <c r="M1248" s="26"/>
    </row>
    <row r="1249" spans="1:13" x14ac:dyDescent="0.25">
      <c r="A1249" s="6">
        <v>1.4519871388742701E+17</v>
      </c>
      <c r="B1249" s="31" t="s">
        <v>408</v>
      </c>
      <c r="C1249" s="32" t="str">
        <f t="shared" si="35"/>
        <v>Apr</v>
      </c>
      <c r="D1249" s="3" t="s">
        <v>25</v>
      </c>
      <c r="E1249" s="6">
        <v>744101</v>
      </c>
      <c r="F1249" s="6">
        <v>7117</v>
      </c>
      <c r="G1249" s="6">
        <v>3</v>
      </c>
      <c r="H1249" s="6">
        <v>162.1359223</v>
      </c>
      <c r="I1249" s="6">
        <v>4</v>
      </c>
      <c r="J1249" s="6">
        <v>167</v>
      </c>
      <c r="K1249" s="6">
        <v>44.660194169999997</v>
      </c>
      <c r="L1249" s="3" t="s">
        <v>54</v>
      </c>
      <c r="M1249" s="26"/>
    </row>
    <row r="1250" spans="1:13" x14ac:dyDescent="0.25">
      <c r="A1250" s="6">
        <v>1.4834008270409299E+17</v>
      </c>
      <c r="B1250" s="31" t="s">
        <v>452</v>
      </c>
      <c r="C1250" s="32" t="str">
        <f t="shared" si="35"/>
        <v>Apr</v>
      </c>
      <c r="D1250" s="3" t="s">
        <v>21</v>
      </c>
      <c r="E1250" s="6">
        <v>509338</v>
      </c>
      <c r="F1250" s="6">
        <v>7117</v>
      </c>
      <c r="G1250" s="6">
        <v>3</v>
      </c>
      <c r="H1250" s="6">
        <v>312.62135919999997</v>
      </c>
      <c r="I1250" s="6">
        <v>9</v>
      </c>
      <c r="J1250" s="6">
        <v>322</v>
      </c>
      <c r="K1250" s="6">
        <v>77.669902910000005</v>
      </c>
      <c r="L1250" s="3" t="s">
        <v>54</v>
      </c>
      <c r="M1250" s="26"/>
    </row>
    <row r="1251" spans="1:13" x14ac:dyDescent="0.25">
      <c r="A1251" s="6">
        <v>1.49185141620444E+17</v>
      </c>
      <c r="B1251" s="31" t="s">
        <v>431</v>
      </c>
      <c r="C1251" s="32" t="str">
        <f t="shared" si="35"/>
        <v>Apr</v>
      </c>
      <c r="D1251" s="3" t="s">
        <v>16</v>
      </c>
      <c r="E1251" s="6">
        <v>221712</v>
      </c>
      <c r="F1251" s="6">
        <v>7117</v>
      </c>
      <c r="G1251" s="6">
        <v>3</v>
      </c>
      <c r="H1251" s="6">
        <v>167.96116499999999</v>
      </c>
      <c r="I1251" s="6">
        <v>5</v>
      </c>
      <c r="J1251" s="6">
        <v>173</v>
      </c>
      <c r="K1251" s="6">
        <v>46.601941750000002</v>
      </c>
      <c r="L1251" s="3" t="s">
        <v>10</v>
      </c>
      <c r="M1251" s="26"/>
    </row>
    <row r="1252" spans="1:13" x14ac:dyDescent="0.25">
      <c r="A1252" s="6">
        <v>1.4797723246261402E+17</v>
      </c>
      <c r="B1252" s="31" t="s">
        <v>501</v>
      </c>
      <c r="C1252" s="32" t="str">
        <f t="shared" si="35"/>
        <v>Apr</v>
      </c>
      <c r="D1252" s="3" t="s">
        <v>21</v>
      </c>
      <c r="E1252" s="6">
        <v>324008</v>
      </c>
      <c r="F1252" s="6">
        <v>7117</v>
      </c>
      <c r="G1252" s="6">
        <v>3</v>
      </c>
      <c r="H1252" s="6">
        <v>157.28155340000001</v>
      </c>
      <c r="I1252" s="6">
        <v>4</v>
      </c>
      <c r="J1252" s="6">
        <v>162</v>
      </c>
      <c r="K1252" s="6">
        <v>53.398058249999998</v>
      </c>
      <c r="L1252" s="3" t="s">
        <v>22</v>
      </c>
      <c r="M1252" s="26"/>
    </row>
    <row r="1253" spans="1:13" x14ac:dyDescent="0.25">
      <c r="A1253" s="6">
        <v>1.4378448056499E+17</v>
      </c>
      <c r="B1253" s="31" t="s">
        <v>401</v>
      </c>
      <c r="C1253" s="32" t="str">
        <f t="shared" si="35"/>
        <v>Apr</v>
      </c>
      <c r="D1253" s="3" t="s">
        <v>52</v>
      </c>
      <c r="E1253" s="6">
        <v>800010</v>
      </c>
      <c r="F1253" s="6">
        <v>7117</v>
      </c>
      <c r="G1253" s="6">
        <v>3</v>
      </c>
      <c r="H1253" s="6">
        <v>137.8640777</v>
      </c>
      <c r="I1253" s="6">
        <v>4</v>
      </c>
      <c r="J1253" s="6">
        <v>142</v>
      </c>
      <c r="K1253" s="6">
        <v>53.398058249999998</v>
      </c>
      <c r="L1253" s="3" t="s">
        <v>54</v>
      </c>
      <c r="M1253" s="26"/>
    </row>
    <row r="1254" spans="1:13" x14ac:dyDescent="0.25">
      <c r="A1254" s="6">
        <v>1.4006977916001101E+17</v>
      </c>
      <c r="B1254" s="31" t="s">
        <v>465</v>
      </c>
      <c r="C1254" s="32" t="str">
        <f t="shared" si="35"/>
        <v>Apr</v>
      </c>
      <c r="D1254" s="3" t="s">
        <v>25</v>
      </c>
      <c r="E1254" s="6">
        <v>412312</v>
      </c>
      <c r="F1254" s="6">
        <v>7117</v>
      </c>
      <c r="G1254" s="6">
        <v>3</v>
      </c>
      <c r="H1254" s="6">
        <v>162.1359223</v>
      </c>
      <c r="I1254" s="6">
        <v>4</v>
      </c>
      <c r="J1254" s="6">
        <v>167</v>
      </c>
      <c r="K1254" s="6">
        <v>40.776699030000003</v>
      </c>
      <c r="L1254" s="3" t="s">
        <v>26</v>
      </c>
      <c r="M1254" s="26"/>
    </row>
    <row r="1255" spans="1:13" x14ac:dyDescent="0.25">
      <c r="A1255" s="6">
        <v>1.4836520568744E+17</v>
      </c>
      <c r="B1255" s="31" t="s">
        <v>452</v>
      </c>
      <c r="C1255" s="32" t="str">
        <f t="shared" si="35"/>
        <v>Apr</v>
      </c>
      <c r="D1255" s="3" t="s">
        <v>16</v>
      </c>
      <c r="E1255" s="6">
        <v>500020</v>
      </c>
      <c r="F1255" s="6">
        <v>7117</v>
      </c>
      <c r="G1255" s="6">
        <v>3</v>
      </c>
      <c r="H1255" s="6">
        <v>157.28155340000001</v>
      </c>
      <c r="I1255" s="6">
        <v>4</v>
      </c>
      <c r="J1255" s="6">
        <v>162</v>
      </c>
      <c r="K1255" s="6">
        <v>53.398058249999998</v>
      </c>
      <c r="L1255" s="3" t="s">
        <v>53</v>
      </c>
      <c r="M1255" s="26"/>
    </row>
    <row r="1256" spans="1:13" x14ac:dyDescent="0.25">
      <c r="A1256" s="6">
        <v>1.4185125980864099E+17</v>
      </c>
      <c r="B1256" s="31" t="s">
        <v>417</v>
      </c>
      <c r="C1256" s="32" t="str">
        <f t="shared" si="35"/>
        <v>Apr</v>
      </c>
      <c r="D1256" s="3" t="s">
        <v>25</v>
      </c>
      <c r="E1256" s="6">
        <v>225403</v>
      </c>
      <c r="F1256" s="6">
        <v>7117</v>
      </c>
      <c r="G1256" s="6">
        <v>3</v>
      </c>
      <c r="H1256" s="6">
        <v>170.8737864</v>
      </c>
      <c r="I1256" s="6">
        <v>5</v>
      </c>
      <c r="J1256" s="6">
        <v>176</v>
      </c>
      <c r="K1256" s="6">
        <v>53.398058249999998</v>
      </c>
      <c r="L1256" s="3" t="s">
        <v>41</v>
      </c>
      <c r="M1256" s="26"/>
    </row>
    <row r="1257" spans="1:13" x14ac:dyDescent="0.25">
      <c r="A1257" s="6">
        <v>1.4192634991755501E+17</v>
      </c>
      <c r="B1257" s="31" t="s">
        <v>417</v>
      </c>
      <c r="C1257" s="32" t="str">
        <f t="shared" si="35"/>
        <v>Apr</v>
      </c>
      <c r="D1257" s="3" t="s">
        <v>16</v>
      </c>
      <c r="E1257" s="6">
        <v>273212</v>
      </c>
      <c r="F1257" s="6">
        <v>7117</v>
      </c>
      <c r="G1257" s="6">
        <v>3</v>
      </c>
      <c r="H1257" s="6">
        <v>150.4854369</v>
      </c>
      <c r="I1257" s="6">
        <v>4</v>
      </c>
      <c r="J1257" s="6">
        <v>155</v>
      </c>
      <c r="K1257" s="6">
        <v>53.398058249999998</v>
      </c>
      <c r="L1257" s="3" t="s">
        <v>53</v>
      </c>
      <c r="M1257" s="26"/>
    </row>
    <row r="1258" spans="1:13" x14ac:dyDescent="0.25">
      <c r="A1258" s="6">
        <v>1.4765067591110301E+17</v>
      </c>
      <c r="B1258" s="31" t="s">
        <v>426</v>
      </c>
      <c r="C1258" s="32" t="str">
        <f t="shared" si="35"/>
        <v>Apr</v>
      </c>
      <c r="D1258" s="3" t="s">
        <v>25</v>
      </c>
      <c r="E1258" s="6">
        <v>110043</v>
      </c>
      <c r="F1258" s="6">
        <v>7117</v>
      </c>
      <c r="G1258" s="6">
        <v>3</v>
      </c>
      <c r="H1258" s="6">
        <v>169.90291260000001</v>
      </c>
      <c r="I1258" s="6">
        <v>5</v>
      </c>
      <c r="J1258" s="6">
        <v>175</v>
      </c>
      <c r="K1258" s="6">
        <v>48.543689319999999</v>
      </c>
      <c r="L1258" s="3" t="s">
        <v>28</v>
      </c>
      <c r="M1258" s="26"/>
    </row>
    <row r="1259" spans="1:13" x14ac:dyDescent="0.25">
      <c r="A1259" s="6">
        <v>1.4807286201500301E+17</v>
      </c>
      <c r="B1259" s="31" t="s">
        <v>501</v>
      </c>
      <c r="C1259" s="32" t="str">
        <f t="shared" si="35"/>
        <v>Apr</v>
      </c>
      <c r="D1259" s="3" t="s">
        <v>21</v>
      </c>
      <c r="E1259" s="6">
        <v>752038</v>
      </c>
      <c r="F1259" s="6">
        <v>7117</v>
      </c>
      <c r="G1259" s="6">
        <v>3</v>
      </c>
      <c r="H1259" s="6">
        <v>202.91262140000001</v>
      </c>
      <c r="I1259" s="6">
        <v>6</v>
      </c>
      <c r="J1259" s="6">
        <v>209</v>
      </c>
      <c r="K1259" s="6">
        <v>81.553398060000006</v>
      </c>
      <c r="L1259" s="3" t="s">
        <v>22</v>
      </c>
      <c r="M1259" s="26"/>
    </row>
    <row r="1260" spans="1:13" x14ac:dyDescent="0.25">
      <c r="A1260" s="6">
        <v>1.4762612342440301E+17</v>
      </c>
      <c r="B1260" s="31" t="s">
        <v>426</v>
      </c>
      <c r="C1260" s="32" t="str">
        <f t="shared" si="35"/>
        <v>Apr</v>
      </c>
      <c r="D1260" s="3" t="s">
        <v>16</v>
      </c>
      <c r="E1260" s="6">
        <v>845401</v>
      </c>
      <c r="F1260" s="6">
        <v>7117</v>
      </c>
      <c r="G1260" s="6">
        <v>3</v>
      </c>
      <c r="H1260" s="6">
        <v>202.91262140000001</v>
      </c>
      <c r="I1260" s="6">
        <v>6</v>
      </c>
      <c r="J1260" s="6">
        <v>209</v>
      </c>
      <c r="K1260" s="6">
        <v>81.553398060000006</v>
      </c>
      <c r="L1260" s="3" t="s">
        <v>10</v>
      </c>
      <c r="M1260" s="26"/>
    </row>
    <row r="1261" spans="1:13" x14ac:dyDescent="0.25">
      <c r="A1261" s="6">
        <v>1.4875592537194899E+17</v>
      </c>
      <c r="B1261" s="31" t="s">
        <v>521</v>
      </c>
      <c r="C1261" s="32" t="str">
        <f t="shared" si="35"/>
        <v>Apr</v>
      </c>
      <c r="D1261" s="3" t="s">
        <v>9</v>
      </c>
      <c r="E1261" s="6">
        <v>110091</v>
      </c>
      <c r="F1261" s="6">
        <v>7117</v>
      </c>
      <c r="G1261" s="6">
        <v>3</v>
      </c>
      <c r="H1261" s="6">
        <v>171.84466019999999</v>
      </c>
      <c r="I1261" s="6">
        <v>5</v>
      </c>
      <c r="J1261" s="6">
        <v>177</v>
      </c>
      <c r="K1261" s="6">
        <v>50.485436890000003</v>
      </c>
      <c r="L1261" s="3" t="s">
        <v>19</v>
      </c>
      <c r="M1261" s="26"/>
    </row>
    <row r="1262" spans="1:13" x14ac:dyDescent="0.25">
      <c r="A1262" s="6">
        <v>1.4879570135472701E+17</v>
      </c>
      <c r="B1262" s="31" t="s">
        <v>521</v>
      </c>
      <c r="C1262" s="32" t="str">
        <f t="shared" si="35"/>
        <v>Apr</v>
      </c>
      <c r="D1262" s="3" t="s">
        <v>21</v>
      </c>
      <c r="E1262" s="6">
        <v>324008</v>
      </c>
      <c r="F1262" s="6">
        <v>7117</v>
      </c>
      <c r="G1262" s="6">
        <v>3</v>
      </c>
      <c r="H1262" s="6">
        <v>139.80582519999999</v>
      </c>
      <c r="I1262" s="6">
        <v>4</v>
      </c>
      <c r="J1262" s="6">
        <v>144</v>
      </c>
      <c r="K1262" s="6">
        <v>42.7184466</v>
      </c>
      <c r="L1262" s="3" t="s">
        <v>19</v>
      </c>
      <c r="M1262" s="26"/>
    </row>
    <row r="1263" spans="1:13" x14ac:dyDescent="0.25">
      <c r="A1263" s="6">
        <v>1.39586198214286E+17</v>
      </c>
      <c r="B1263" s="31" t="s">
        <v>485</v>
      </c>
      <c r="C1263" s="32" t="str">
        <f t="shared" si="35"/>
        <v>Apr</v>
      </c>
      <c r="D1263" s="3" t="s">
        <v>52</v>
      </c>
      <c r="E1263" s="6">
        <v>700040</v>
      </c>
      <c r="F1263" s="6">
        <v>7117</v>
      </c>
      <c r="G1263" s="6">
        <v>3</v>
      </c>
      <c r="H1263" s="6">
        <v>91.262135900000004</v>
      </c>
      <c r="I1263" s="6">
        <v>2</v>
      </c>
      <c r="J1263" s="6">
        <v>94</v>
      </c>
      <c r="K1263" s="6">
        <v>43.689320389999999</v>
      </c>
      <c r="L1263" s="3" t="s">
        <v>39</v>
      </c>
      <c r="M1263" s="26"/>
    </row>
    <row r="1264" spans="1:13" x14ac:dyDescent="0.25">
      <c r="A1264" s="6">
        <v>1.4543074713809402E+17</v>
      </c>
      <c r="B1264" s="31" t="s">
        <v>461</v>
      </c>
      <c r="C1264" s="32" t="str">
        <f t="shared" si="35"/>
        <v>Apr</v>
      </c>
      <c r="D1264" s="3" t="s">
        <v>16</v>
      </c>
      <c r="E1264" s="6">
        <v>798620</v>
      </c>
      <c r="F1264" s="6">
        <v>7117</v>
      </c>
      <c r="G1264" s="6">
        <v>3</v>
      </c>
      <c r="H1264" s="6">
        <v>174.7572816</v>
      </c>
      <c r="I1264" s="6">
        <v>5</v>
      </c>
      <c r="J1264" s="6">
        <v>180</v>
      </c>
      <c r="K1264" s="6">
        <v>53.398058249999998</v>
      </c>
      <c r="L1264" s="3" t="s">
        <v>41</v>
      </c>
      <c r="M1264" s="26"/>
    </row>
    <row r="1265" spans="1:13" x14ac:dyDescent="0.25">
      <c r="A1265" s="6">
        <v>1.43556788506746E+17</v>
      </c>
      <c r="B1265" s="31" t="s">
        <v>401</v>
      </c>
      <c r="C1265" s="32" t="str">
        <f t="shared" si="35"/>
        <v>Apr</v>
      </c>
      <c r="D1265" s="3" t="s">
        <v>16</v>
      </c>
      <c r="E1265" s="6">
        <v>824102</v>
      </c>
      <c r="F1265" s="6">
        <v>7117</v>
      </c>
      <c r="G1265" s="6">
        <v>3</v>
      </c>
      <c r="H1265" s="6">
        <v>165.04854370000001</v>
      </c>
      <c r="I1265" s="6">
        <v>4</v>
      </c>
      <c r="J1265" s="6">
        <v>170</v>
      </c>
      <c r="K1265" s="6">
        <v>43.689320389999999</v>
      </c>
      <c r="L1265" s="3" t="s">
        <v>14</v>
      </c>
      <c r="M1265" s="26"/>
    </row>
    <row r="1266" spans="1:13" x14ac:dyDescent="0.25">
      <c r="A1266" s="6">
        <v>1.4367122155157E+17</v>
      </c>
      <c r="B1266" s="31" t="s">
        <v>401</v>
      </c>
      <c r="C1266" s="32" t="str">
        <f t="shared" si="35"/>
        <v>Apr</v>
      </c>
      <c r="D1266" s="3" t="s">
        <v>16</v>
      </c>
      <c r="E1266" s="6">
        <v>804407</v>
      </c>
      <c r="F1266" s="6">
        <v>7117</v>
      </c>
      <c r="G1266" s="6">
        <v>3</v>
      </c>
      <c r="H1266" s="6">
        <v>152.42718450000001</v>
      </c>
      <c r="I1266" s="6">
        <v>4</v>
      </c>
      <c r="J1266" s="6">
        <v>157</v>
      </c>
      <c r="K1266" s="6">
        <v>34.951456309999998</v>
      </c>
      <c r="L1266" s="3" t="s">
        <v>28</v>
      </c>
      <c r="M1266" s="26"/>
    </row>
    <row r="1267" spans="1:13" x14ac:dyDescent="0.25">
      <c r="A1267" s="6">
        <v>1.40436484294188E+17</v>
      </c>
      <c r="B1267" s="31" t="s">
        <v>450</v>
      </c>
      <c r="C1267" s="32" t="str">
        <f t="shared" si="35"/>
        <v>Apr</v>
      </c>
      <c r="D1267" s="3" t="s">
        <v>21</v>
      </c>
      <c r="E1267" s="6">
        <v>212601</v>
      </c>
      <c r="F1267" s="6">
        <v>7117</v>
      </c>
      <c r="G1267" s="6">
        <v>3</v>
      </c>
      <c r="H1267" s="6">
        <v>149.5145631</v>
      </c>
      <c r="I1267" s="6">
        <v>4</v>
      </c>
      <c r="J1267" s="6">
        <v>154</v>
      </c>
      <c r="K1267" s="6">
        <v>37.86407767</v>
      </c>
      <c r="L1267" s="3" t="s">
        <v>10</v>
      </c>
      <c r="M1267" s="26"/>
    </row>
    <row r="1268" spans="1:13" x14ac:dyDescent="0.25">
      <c r="A1268" s="6">
        <v>1.4549351810362701E+17</v>
      </c>
      <c r="B1268" s="31" t="s">
        <v>461</v>
      </c>
      <c r="C1268" s="32" t="str">
        <f t="shared" si="35"/>
        <v>Apr</v>
      </c>
      <c r="D1268" s="3" t="s">
        <v>16</v>
      </c>
      <c r="E1268" s="6">
        <v>110040</v>
      </c>
      <c r="F1268" s="6">
        <v>7117</v>
      </c>
      <c r="G1268" s="6">
        <v>3</v>
      </c>
      <c r="H1268" s="6">
        <v>179.6116505</v>
      </c>
      <c r="I1268" s="6">
        <v>5</v>
      </c>
      <c r="J1268" s="6">
        <v>185</v>
      </c>
      <c r="K1268" s="6">
        <v>75.728155340000001</v>
      </c>
      <c r="L1268" s="3" t="s">
        <v>22</v>
      </c>
      <c r="M1268" s="26"/>
    </row>
    <row r="1269" spans="1:13" x14ac:dyDescent="0.25">
      <c r="A1269" s="6">
        <v>1.4865287955647802E+17</v>
      </c>
      <c r="B1269" s="31" t="s">
        <v>521</v>
      </c>
      <c r="C1269" s="32" t="str">
        <f t="shared" si="35"/>
        <v>Apr</v>
      </c>
      <c r="D1269" s="3" t="s">
        <v>16</v>
      </c>
      <c r="E1269" s="6">
        <v>223226</v>
      </c>
      <c r="F1269" s="6">
        <v>7117</v>
      </c>
      <c r="G1269" s="6">
        <v>3</v>
      </c>
      <c r="H1269" s="6">
        <v>171.84466019999999</v>
      </c>
      <c r="I1269" s="6">
        <v>5</v>
      </c>
      <c r="J1269" s="6">
        <v>177</v>
      </c>
      <c r="K1269" s="6">
        <v>53.398058249999998</v>
      </c>
      <c r="L1269" s="3" t="s">
        <v>12</v>
      </c>
      <c r="M1269" s="26"/>
    </row>
    <row r="1270" spans="1:13" x14ac:dyDescent="0.25">
      <c r="A1270" s="6">
        <v>1.39575860634852E+17</v>
      </c>
      <c r="B1270" s="31" t="s">
        <v>485</v>
      </c>
      <c r="C1270" s="32" t="str">
        <f t="shared" si="35"/>
        <v>Apr</v>
      </c>
      <c r="D1270" s="3" t="s">
        <v>16</v>
      </c>
      <c r="E1270" s="6">
        <v>802312</v>
      </c>
      <c r="F1270" s="6">
        <v>7117</v>
      </c>
      <c r="G1270" s="6">
        <v>3</v>
      </c>
      <c r="H1270" s="6">
        <v>128.15533980000001</v>
      </c>
      <c r="I1270" s="6">
        <v>3</v>
      </c>
      <c r="J1270" s="6">
        <v>132</v>
      </c>
      <c r="K1270" s="6">
        <v>33.980582519999999</v>
      </c>
      <c r="L1270" s="3" t="s">
        <v>63</v>
      </c>
      <c r="M1270" s="26"/>
    </row>
    <row r="1271" spans="1:13" x14ac:dyDescent="0.25">
      <c r="A1271" s="6">
        <v>1.3864272669747E+17</v>
      </c>
      <c r="B1271" s="31" t="s">
        <v>551</v>
      </c>
      <c r="C1271" s="32" t="str">
        <f t="shared" si="35"/>
        <v>Apr</v>
      </c>
      <c r="D1271" s="3" t="s">
        <v>71</v>
      </c>
      <c r="E1271" s="6">
        <v>711106</v>
      </c>
      <c r="F1271" s="6">
        <v>7117</v>
      </c>
      <c r="G1271" s="6">
        <v>3</v>
      </c>
      <c r="H1271" s="6">
        <v>155.33980579999999</v>
      </c>
      <c r="I1271" s="6">
        <v>4</v>
      </c>
      <c r="J1271" s="6">
        <v>160</v>
      </c>
      <c r="K1271" s="6">
        <v>37.86407767</v>
      </c>
      <c r="L1271" s="3" t="s">
        <v>10</v>
      </c>
      <c r="M1271" s="26"/>
    </row>
    <row r="1272" spans="1:13" x14ac:dyDescent="0.25">
      <c r="A1272" s="6">
        <v>1.44859601854396E+17</v>
      </c>
      <c r="B1272" s="31" t="s">
        <v>496</v>
      </c>
      <c r="C1272" s="32" t="str">
        <f t="shared" si="35"/>
        <v>Apr</v>
      </c>
      <c r="D1272" s="3" t="s">
        <v>16</v>
      </c>
      <c r="E1272" s="6">
        <v>313027</v>
      </c>
      <c r="F1272" s="6">
        <v>7117</v>
      </c>
      <c r="G1272" s="6">
        <v>3</v>
      </c>
      <c r="H1272" s="6">
        <v>174.7572816</v>
      </c>
      <c r="I1272" s="6">
        <v>5</v>
      </c>
      <c r="J1272" s="6">
        <v>180</v>
      </c>
      <c r="K1272" s="6">
        <v>53.398058249999998</v>
      </c>
      <c r="L1272" s="3" t="s">
        <v>37</v>
      </c>
      <c r="M1272" s="26"/>
    </row>
    <row r="1273" spans="1:13" x14ac:dyDescent="0.25">
      <c r="A1273" s="6">
        <v>1.41214950659396E+17</v>
      </c>
      <c r="B1273" s="31" t="s">
        <v>554</v>
      </c>
      <c r="C1273" s="32" t="str">
        <f t="shared" si="35"/>
        <v>Apr</v>
      </c>
      <c r="D1273" s="3" t="s">
        <v>16</v>
      </c>
      <c r="E1273" s="6">
        <v>683110</v>
      </c>
      <c r="F1273" s="6">
        <v>7117</v>
      </c>
      <c r="G1273" s="6">
        <v>3</v>
      </c>
      <c r="H1273" s="6">
        <v>219.41747570000001</v>
      </c>
      <c r="I1273" s="6">
        <v>6</v>
      </c>
      <c r="J1273" s="6">
        <v>226</v>
      </c>
      <c r="K1273" s="6">
        <v>93.203883500000003</v>
      </c>
      <c r="L1273" s="3" t="s">
        <v>41</v>
      </c>
      <c r="M1273" s="26"/>
    </row>
    <row r="1274" spans="1:13" x14ac:dyDescent="0.25">
      <c r="A1274" s="6">
        <v>1.4824338613793699E+17</v>
      </c>
      <c r="B1274" s="31" t="s">
        <v>452</v>
      </c>
      <c r="C1274" s="32" t="str">
        <f t="shared" si="35"/>
        <v>Apr</v>
      </c>
      <c r="D1274" s="3" t="s">
        <v>16</v>
      </c>
      <c r="E1274" s="6">
        <v>144601</v>
      </c>
      <c r="F1274" s="6">
        <v>7117</v>
      </c>
      <c r="G1274" s="6">
        <v>3</v>
      </c>
      <c r="H1274" s="6">
        <v>163.1067961</v>
      </c>
      <c r="I1274" s="6">
        <v>4</v>
      </c>
      <c r="J1274" s="6">
        <v>168</v>
      </c>
      <c r="K1274" s="6">
        <v>41.747572820000002</v>
      </c>
      <c r="L1274" s="3" t="s">
        <v>10</v>
      </c>
      <c r="M1274" s="26"/>
    </row>
    <row r="1275" spans="1:13" x14ac:dyDescent="0.25">
      <c r="A1275" s="6">
        <v>1.4235324197148701E+17</v>
      </c>
      <c r="B1275" s="31" t="s">
        <v>436</v>
      </c>
      <c r="C1275" s="32" t="str">
        <f t="shared" si="35"/>
        <v>Apr</v>
      </c>
      <c r="D1275" s="3" t="s">
        <v>16</v>
      </c>
      <c r="E1275" s="6">
        <v>600112</v>
      </c>
      <c r="F1275" s="6">
        <v>7117</v>
      </c>
      <c r="G1275" s="6">
        <v>3</v>
      </c>
      <c r="H1275" s="6">
        <v>155.33980579999999</v>
      </c>
      <c r="I1275" s="6">
        <v>4</v>
      </c>
      <c r="J1275" s="6">
        <v>160</v>
      </c>
      <c r="K1275" s="6">
        <v>37.86407767</v>
      </c>
      <c r="L1275" s="3" t="s">
        <v>19</v>
      </c>
      <c r="M1275" s="26"/>
    </row>
    <row r="1276" spans="1:13" x14ac:dyDescent="0.25">
      <c r="A1276" s="6">
        <v>1.4898449426242202E+17</v>
      </c>
      <c r="B1276" s="31" t="s">
        <v>431</v>
      </c>
      <c r="C1276" s="32" t="str">
        <f t="shared" si="35"/>
        <v>Apr</v>
      </c>
      <c r="D1276" s="3" t="s">
        <v>25</v>
      </c>
      <c r="E1276" s="6">
        <v>522101</v>
      </c>
      <c r="F1276" s="6">
        <v>7117</v>
      </c>
      <c r="G1276" s="6">
        <v>3</v>
      </c>
      <c r="H1276" s="6">
        <v>167.96116499999999</v>
      </c>
      <c r="I1276" s="6">
        <v>5</v>
      </c>
      <c r="J1276" s="6">
        <v>173</v>
      </c>
      <c r="K1276" s="6">
        <v>46.601941750000002</v>
      </c>
      <c r="L1276" s="3" t="s">
        <v>10</v>
      </c>
      <c r="M1276" s="26"/>
    </row>
    <row r="1277" spans="1:13" x14ac:dyDescent="0.25">
      <c r="A1277" s="6">
        <v>1.48326921558196E+17</v>
      </c>
      <c r="B1277" s="31" t="s">
        <v>452</v>
      </c>
      <c r="C1277" s="32" t="str">
        <f t="shared" si="35"/>
        <v>Apr</v>
      </c>
      <c r="D1277" s="3" t="s">
        <v>16</v>
      </c>
      <c r="E1277" s="6">
        <v>245304</v>
      </c>
      <c r="F1277" s="6">
        <v>7117</v>
      </c>
      <c r="G1277" s="6">
        <v>3</v>
      </c>
      <c r="H1277" s="6">
        <v>182.52427180000001</v>
      </c>
      <c r="I1277" s="6">
        <v>5</v>
      </c>
      <c r="J1277" s="6">
        <v>188</v>
      </c>
      <c r="K1277" s="6">
        <v>41.747572820000002</v>
      </c>
      <c r="L1277" s="3" t="s">
        <v>10</v>
      </c>
      <c r="M1277" s="26"/>
    </row>
    <row r="1278" spans="1:13" x14ac:dyDescent="0.25">
      <c r="A1278" s="6">
        <v>1.48824369082828E+17</v>
      </c>
      <c r="B1278" s="31" t="s">
        <v>521</v>
      </c>
      <c r="C1278" s="32" t="str">
        <f t="shared" si="35"/>
        <v>Apr</v>
      </c>
      <c r="D1278" s="3" t="s">
        <v>9</v>
      </c>
      <c r="E1278" s="6">
        <v>282007</v>
      </c>
      <c r="F1278" s="6">
        <v>7117</v>
      </c>
      <c r="G1278" s="6">
        <v>3</v>
      </c>
      <c r="H1278" s="6">
        <v>165.04854370000001</v>
      </c>
      <c r="I1278" s="6">
        <v>4</v>
      </c>
      <c r="J1278" s="6">
        <v>170</v>
      </c>
      <c r="K1278" s="6">
        <v>47.57281553</v>
      </c>
      <c r="L1278" s="3" t="s">
        <v>98</v>
      </c>
      <c r="M1278" s="26"/>
    </row>
    <row r="1279" spans="1:13" x14ac:dyDescent="0.25">
      <c r="A1279" s="6">
        <v>1.4911669765456301E+17</v>
      </c>
      <c r="B1279" s="31" t="s">
        <v>431</v>
      </c>
      <c r="C1279" s="32" t="str">
        <f t="shared" si="35"/>
        <v>Apr</v>
      </c>
      <c r="D1279" s="3" t="s">
        <v>16</v>
      </c>
      <c r="E1279" s="6">
        <v>425502</v>
      </c>
      <c r="F1279" s="6">
        <v>7117</v>
      </c>
      <c r="G1279" s="6">
        <v>3</v>
      </c>
      <c r="H1279" s="6">
        <v>160.19417480000001</v>
      </c>
      <c r="I1279" s="6">
        <v>4</v>
      </c>
      <c r="J1279" s="6">
        <v>165</v>
      </c>
      <c r="K1279" s="6">
        <v>42.7184466</v>
      </c>
      <c r="L1279" s="3" t="s">
        <v>10</v>
      </c>
      <c r="M1279" s="26"/>
    </row>
    <row r="1280" spans="1:13" x14ac:dyDescent="0.25">
      <c r="A1280" s="6">
        <v>1.4621200925898099E+17</v>
      </c>
      <c r="B1280" s="31" t="s">
        <v>403</v>
      </c>
      <c r="C1280" s="32" t="str">
        <f t="shared" si="35"/>
        <v>Apr</v>
      </c>
      <c r="D1280" s="3" t="s">
        <v>16</v>
      </c>
      <c r="E1280" s="6">
        <v>263148</v>
      </c>
      <c r="F1280" s="6">
        <v>7117</v>
      </c>
      <c r="G1280" s="6">
        <v>3</v>
      </c>
      <c r="H1280" s="6">
        <v>164.07766989999999</v>
      </c>
      <c r="I1280" s="6">
        <v>4</v>
      </c>
      <c r="J1280" s="6">
        <v>169</v>
      </c>
      <c r="K1280" s="6">
        <v>42.7184466</v>
      </c>
      <c r="L1280" s="3" t="s">
        <v>41</v>
      </c>
      <c r="M1280" s="26"/>
    </row>
    <row r="1281" spans="1:13" x14ac:dyDescent="0.25">
      <c r="A1281" s="6">
        <v>1.4113271325068701E+17</v>
      </c>
      <c r="B1281" s="31" t="s">
        <v>554</v>
      </c>
      <c r="C1281" s="32" t="str">
        <f t="shared" si="35"/>
        <v>Apr</v>
      </c>
      <c r="D1281" s="3" t="s">
        <v>16</v>
      </c>
      <c r="E1281" s="6">
        <v>500034</v>
      </c>
      <c r="F1281" s="6">
        <v>7117</v>
      </c>
      <c r="G1281" s="6">
        <v>3</v>
      </c>
      <c r="H1281" s="6">
        <v>161.16504850000001</v>
      </c>
      <c r="I1281" s="6">
        <v>4</v>
      </c>
      <c r="J1281" s="6">
        <v>166</v>
      </c>
      <c r="K1281" s="6">
        <v>39.805825239999997</v>
      </c>
      <c r="L1281" s="3" t="s">
        <v>22</v>
      </c>
      <c r="M1281" s="26"/>
    </row>
    <row r="1282" spans="1:13" x14ac:dyDescent="0.25">
      <c r="A1282" s="6">
        <v>1.39554258788714E+17</v>
      </c>
      <c r="B1282" s="31" t="s">
        <v>485</v>
      </c>
      <c r="C1282" s="32" t="str">
        <f t="shared" si="35"/>
        <v>Apr</v>
      </c>
      <c r="D1282" s="3" t="s">
        <v>25</v>
      </c>
      <c r="E1282" s="6">
        <v>277213</v>
      </c>
      <c r="F1282" s="6">
        <v>7117</v>
      </c>
      <c r="G1282" s="6">
        <v>3</v>
      </c>
      <c r="H1282" s="6">
        <v>182.52427180000001</v>
      </c>
      <c r="I1282" s="6">
        <v>5</v>
      </c>
      <c r="J1282" s="6">
        <v>188</v>
      </c>
      <c r="K1282" s="6">
        <v>61.165048540000001</v>
      </c>
      <c r="L1282" s="3" t="s">
        <v>169</v>
      </c>
      <c r="M1282" s="26"/>
    </row>
    <row r="1283" spans="1:13" x14ac:dyDescent="0.25">
      <c r="A1283" s="6">
        <v>1.4621461759305501E+17</v>
      </c>
      <c r="B1283" s="31" t="s">
        <v>403</v>
      </c>
      <c r="C1283" s="32" t="str">
        <f t="shared" ref="C1283:C1346" si="36">TEXT(B1283, "mmm")</f>
        <v>Apr</v>
      </c>
      <c r="D1283" s="3" t="s">
        <v>16</v>
      </c>
      <c r="E1283" s="6">
        <v>202135</v>
      </c>
      <c r="F1283" s="6">
        <v>7117</v>
      </c>
      <c r="G1283" s="6">
        <v>3</v>
      </c>
      <c r="H1283" s="6">
        <v>157.28155340000001</v>
      </c>
      <c r="I1283" s="6">
        <v>4</v>
      </c>
      <c r="J1283" s="6">
        <v>162</v>
      </c>
      <c r="K1283" s="6">
        <v>53.398058249999998</v>
      </c>
      <c r="L1283" s="3" t="s">
        <v>22</v>
      </c>
      <c r="M1283" s="26"/>
    </row>
    <row r="1284" spans="1:13" x14ac:dyDescent="0.25">
      <c r="A1284" s="6">
        <v>1.4250507712189699E+17</v>
      </c>
      <c r="B1284" s="31" t="s">
        <v>436</v>
      </c>
      <c r="C1284" s="32" t="str">
        <f t="shared" si="36"/>
        <v>Apr</v>
      </c>
      <c r="D1284" s="3" t="s">
        <v>16</v>
      </c>
      <c r="E1284" s="6">
        <v>803116</v>
      </c>
      <c r="F1284" s="6">
        <v>7117</v>
      </c>
      <c r="G1284" s="6">
        <v>3</v>
      </c>
      <c r="H1284" s="6">
        <v>156.31067959999999</v>
      </c>
      <c r="I1284" s="6">
        <v>4</v>
      </c>
      <c r="J1284" s="6">
        <v>161</v>
      </c>
      <c r="K1284" s="6">
        <v>38.834951459999999</v>
      </c>
      <c r="L1284" s="3" t="s">
        <v>10</v>
      </c>
      <c r="M1284" s="26"/>
    </row>
    <row r="1285" spans="1:13" x14ac:dyDescent="0.25">
      <c r="A1285" s="6">
        <v>1.3966130672750499E+17</v>
      </c>
      <c r="B1285" s="31" t="s">
        <v>485</v>
      </c>
      <c r="C1285" s="32" t="str">
        <f t="shared" si="36"/>
        <v>Apr</v>
      </c>
      <c r="D1285" s="3" t="s">
        <v>52</v>
      </c>
      <c r="E1285" s="6">
        <v>224201</v>
      </c>
      <c r="F1285" s="6">
        <v>7117</v>
      </c>
      <c r="G1285" s="6">
        <v>3</v>
      </c>
      <c r="H1285" s="6">
        <v>186.40776700000001</v>
      </c>
      <c r="I1285" s="6">
        <v>5</v>
      </c>
      <c r="J1285" s="6">
        <v>192</v>
      </c>
      <c r="K1285" s="6">
        <v>46.601941750000002</v>
      </c>
      <c r="L1285" s="3" t="s">
        <v>10</v>
      </c>
      <c r="M1285" s="26"/>
    </row>
    <row r="1286" spans="1:13" x14ac:dyDescent="0.25">
      <c r="A1286" s="6">
        <v>1.4515787104415002E+17</v>
      </c>
      <c r="B1286" s="31" t="s">
        <v>408</v>
      </c>
      <c r="C1286" s="32" t="str">
        <f t="shared" si="36"/>
        <v>Apr</v>
      </c>
      <c r="D1286" s="3" t="s">
        <v>52</v>
      </c>
      <c r="E1286" s="6">
        <v>585401</v>
      </c>
      <c r="F1286" s="6">
        <v>7117</v>
      </c>
      <c r="G1286" s="6">
        <v>3</v>
      </c>
      <c r="H1286" s="6">
        <v>285.43689319999999</v>
      </c>
      <c r="I1286" s="6">
        <v>8</v>
      </c>
      <c r="J1286" s="6">
        <v>294</v>
      </c>
      <c r="K1286" s="6">
        <v>97.087378639999997</v>
      </c>
      <c r="L1286" s="3" t="s">
        <v>967</v>
      </c>
      <c r="M1286" s="26"/>
    </row>
    <row r="1287" spans="1:13" x14ac:dyDescent="0.25">
      <c r="A1287" s="6">
        <v>1.41239808425562E+17</v>
      </c>
      <c r="B1287" s="31" t="s">
        <v>554</v>
      </c>
      <c r="C1287" s="32" t="str">
        <f t="shared" si="36"/>
        <v>Apr</v>
      </c>
      <c r="D1287" s="3" t="s">
        <v>16</v>
      </c>
      <c r="E1287" s="6">
        <v>250004</v>
      </c>
      <c r="F1287" s="6">
        <v>7117</v>
      </c>
      <c r="G1287" s="6">
        <v>3</v>
      </c>
      <c r="H1287" s="6">
        <v>140.77669900000001</v>
      </c>
      <c r="I1287" s="6">
        <v>4</v>
      </c>
      <c r="J1287" s="6">
        <v>145</v>
      </c>
      <c r="K1287" s="6">
        <v>37.86407767</v>
      </c>
      <c r="L1287" s="3" t="s">
        <v>49</v>
      </c>
      <c r="M1287" s="26"/>
    </row>
    <row r="1288" spans="1:13" x14ac:dyDescent="0.25">
      <c r="A1288" s="6">
        <v>1.43218142977088E+17</v>
      </c>
      <c r="B1288" s="31" t="s">
        <v>406</v>
      </c>
      <c r="C1288" s="32" t="str">
        <f t="shared" si="36"/>
        <v>Apr</v>
      </c>
      <c r="D1288" s="3" t="s">
        <v>16</v>
      </c>
      <c r="E1288" s="6">
        <v>788720</v>
      </c>
      <c r="F1288" s="6">
        <v>7117</v>
      </c>
      <c r="G1288" s="6">
        <v>3</v>
      </c>
      <c r="H1288" s="6">
        <v>187.3786408</v>
      </c>
      <c r="I1288" s="6">
        <v>5</v>
      </c>
      <c r="J1288" s="6">
        <v>193</v>
      </c>
      <c r="K1288" s="6">
        <v>32.038834950000002</v>
      </c>
      <c r="L1288" s="3" t="s">
        <v>49</v>
      </c>
      <c r="M1288" s="26"/>
    </row>
    <row r="1289" spans="1:13" x14ac:dyDescent="0.25">
      <c r="A1289" s="6">
        <v>1.4245767518365901E+17</v>
      </c>
      <c r="B1289" s="31" t="s">
        <v>436</v>
      </c>
      <c r="C1289" s="32" t="str">
        <f t="shared" si="36"/>
        <v>Apr</v>
      </c>
      <c r="D1289" s="3" t="s">
        <v>16</v>
      </c>
      <c r="E1289" s="6">
        <v>673014</v>
      </c>
      <c r="F1289" s="6">
        <v>7117</v>
      </c>
      <c r="G1289" s="6">
        <v>3</v>
      </c>
      <c r="H1289" s="6">
        <v>156.31067959999999</v>
      </c>
      <c r="I1289" s="6">
        <v>4</v>
      </c>
      <c r="J1289" s="6">
        <v>161</v>
      </c>
      <c r="K1289" s="6">
        <v>52.42718447</v>
      </c>
      <c r="L1289" s="3" t="s">
        <v>37</v>
      </c>
      <c r="M1289" s="26"/>
    </row>
    <row r="1290" spans="1:13" x14ac:dyDescent="0.25">
      <c r="A1290" s="6">
        <v>1.4159989089622499E+17</v>
      </c>
      <c r="B1290" s="31" t="s">
        <v>515</v>
      </c>
      <c r="C1290" s="32" t="str">
        <f t="shared" si="36"/>
        <v>Apr</v>
      </c>
      <c r="D1290" s="3" t="s">
        <v>16</v>
      </c>
      <c r="E1290" s="6">
        <v>500034</v>
      </c>
      <c r="F1290" s="6">
        <v>7117</v>
      </c>
      <c r="G1290" s="6">
        <v>3</v>
      </c>
      <c r="H1290" s="6">
        <v>160.19417480000001</v>
      </c>
      <c r="I1290" s="6">
        <v>4</v>
      </c>
      <c r="J1290" s="6">
        <v>165</v>
      </c>
      <c r="K1290" s="6">
        <v>33.980582519999999</v>
      </c>
      <c r="L1290" s="3" t="s">
        <v>46</v>
      </c>
      <c r="M1290" s="26"/>
    </row>
    <row r="1291" spans="1:13" x14ac:dyDescent="0.25">
      <c r="A1291" s="6">
        <v>1.41943811136396E+17</v>
      </c>
      <c r="B1291" s="31" t="s">
        <v>417</v>
      </c>
      <c r="C1291" s="32" t="str">
        <f t="shared" si="36"/>
        <v>Apr</v>
      </c>
      <c r="D1291" s="3" t="s">
        <v>9</v>
      </c>
      <c r="E1291" s="6">
        <v>402103</v>
      </c>
      <c r="F1291" s="6">
        <v>7117</v>
      </c>
      <c r="G1291" s="6">
        <v>3</v>
      </c>
      <c r="H1291" s="6">
        <v>136.8932039</v>
      </c>
      <c r="I1291" s="6">
        <v>4</v>
      </c>
      <c r="J1291" s="6">
        <v>141</v>
      </c>
      <c r="K1291" s="6">
        <v>49.514563109999997</v>
      </c>
      <c r="L1291" s="3" t="s">
        <v>23</v>
      </c>
      <c r="M1291" s="26"/>
    </row>
    <row r="1292" spans="1:13" x14ac:dyDescent="0.25">
      <c r="A1292" s="6">
        <v>1.4775609555626099E+17</v>
      </c>
      <c r="B1292" s="31" t="s">
        <v>426</v>
      </c>
      <c r="C1292" s="32" t="str">
        <f t="shared" si="36"/>
        <v>Apr</v>
      </c>
      <c r="D1292" s="3" t="s">
        <v>16</v>
      </c>
      <c r="E1292" s="6">
        <v>621701</v>
      </c>
      <c r="F1292" s="6">
        <v>7117</v>
      </c>
      <c r="G1292" s="6">
        <v>3</v>
      </c>
      <c r="H1292" s="6">
        <v>174.7572816</v>
      </c>
      <c r="I1292" s="6">
        <v>5</v>
      </c>
      <c r="J1292" s="6">
        <v>180</v>
      </c>
      <c r="K1292" s="6">
        <v>57.2815534</v>
      </c>
      <c r="L1292" s="3" t="s">
        <v>26</v>
      </c>
      <c r="M1292" s="26"/>
    </row>
    <row r="1293" spans="1:13" x14ac:dyDescent="0.25">
      <c r="A1293" s="6">
        <v>1.4910450596626899E+17</v>
      </c>
      <c r="B1293" s="31" t="s">
        <v>431</v>
      </c>
      <c r="C1293" s="32" t="str">
        <f t="shared" si="36"/>
        <v>Apr</v>
      </c>
      <c r="D1293" s="3" t="s">
        <v>52</v>
      </c>
      <c r="E1293" s="6">
        <v>244231</v>
      </c>
      <c r="F1293" s="6">
        <v>7117</v>
      </c>
      <c r="G1293" s="6">
        <v>3</v>
      </c>
      <c r="H1293" s="6">
        <v>171.84466019999999</v>
      </c>
      <c r="I1293" s="6">
        <v>5</v>
      </c>
      <c r="J1293" s="6">
        <v>177</v>
      </c>
      <c r="K1293" s="6">
        <v>50.485436890000003</v>
      </c>
      <c r="L1293" s="3" t="s">
        <v>22</v>
      </c>
      <c r="M1293" s="26"/>
    </row>
    <row r="1294" spans="1:13" x14ac:dyDescent="0.25">
      <c r="A1294" s="6">
        <v>1.41509106891952E+17</v>
      </c>
      <c r="B1294" s="31" t="s">
        <v>515</v>
      </c>
      <c r="C1294" s="32" t="str">
        <f t="shared" si="36"/>
        <v>Apr</v>
      </c>
      <c r="D1294" s="3" t="s">
        <v>16</v>
      </c>
      <c r="E1294" s="6">
        <v>328001</v>
      </c>
      <c r="F1294" s="6">
        <v>7117</v>
      </c>
      <c r="G1294" s="6">
        <v>3</v>
      </c>
      <c r="H1294" s="6">
        <v>179.6116505</v>
      </c>
      <c r="I1294" s="6">
        <v>5</v>
      </c>
      <c r="J1294" s="6">
        <v>185</v>
      </c>
      <c r="K1294" s="6">
        <v>53.398058249999998</v>
      </c>
      <c r="L1294" s="3" t="s">
        <v>22</v>
      </c>
      <c r="M1294" s="26"/>
    </row>
    <row r="1295" spans="1:13" x14ac:dyDescent="0.25">
      <c r="A1295" s="6">
        <v>1.4038752896776E+17</v>
      </c>
      <c r="B1295" s="31" t="s">
        <v>450</v>
      </c>
      <c r="C1295" s="32" t="str">
        <f t="shared" si="36"/>
        <v>Apr</v>
      </c>
      <c r="D1295" s="3" t="s">
        <v>16</v>
      </c>
      <c r="E1295" s="6">
        <v>412312</v>
      </c>
      <c r="F1295" s="6">
        <v>7117</v>
      </c>
      <c r="G1295" s="6">
        <v>3</v>
      </c>
      <c r="H1295" s="6">
        <v>124.2718447</v>
      </c>
      <c r="I1295" s="6">
        <v>3</v>
      </c>
      <c r="J1295" s="6">
        <v>128</v>
      </c>
      <c r="K1295" s="6">
        <v>33.980582519999999</v>
      </c>
      <c r="L1295" s="3" t="s">
        <v>46</v>
      </c>
      <c r="M1295" s="26"/>
    </row>
    <row r="1296" spans="1:13" x14ac:dyDescent="0.25">
      <c r="A1296" s="6">
        <v>1.4409536092204701E+17</v>
      </c>
      <c r="B1296" s="31" t="s">
        <v>438</v>
      </c>
      <c r="C1296" s="32" t="str">
        <f t="shared" si="36"/>
        <v>Apr</v>
      </c>
      <c r="D1296" s="3" t="s">
        <v>52</v>
      </c>
      <c r="E1296" s="6">
        <v>735220</v>
      </c>
      <c r="F1296" s="6">
        <v>7117</v>
      </c>
      <c r="G1296" s="6">
        <v>3</v>
      </c>
      <c r="H1296" s="6">
        <v>171.84466019999999</v>
      </c>
      <c r="I1296" s="6">
        <v>5</v>
      </c>
      <c r="J1296" s="6">
        <v>177</v>
      </c>
      <c r="K1296" s="6">
        <v>50.485436890000003</v>
      </c>
      <c r="L1296" s="3" t="s">
        <v>22</v>
      </c>
      <c r="M1296" s="26"/>
    </row>
    <row r="1297" spans="1:13" x14ac:dyDescent="0.25">
      <c r="A1297" s="6">
        <v>1.4619355882187002E+17</v>
      </c>
      <c r="B1297" s="31" t="s">
        <v>403</v>
      </c>
      <c r="C1297" s="32" t="str">
        <f t="shared" si="36"/>
        <v>Apr</v>
      </c>
      <c r="D1297" s="3" t="s">
        <v>16</v>
      </c>
      <c r="E1297" s="6">
        <v>131001</v>
      </c>
      <c r="F1297" s="6">
        <v>7117</v>
      </c>
      <c r="G1297" s="6">
        <v>3</v>
      </c>
      <c r="H1297" s="6">
        <v>189.32038829999999</v>
      </c>
      <c r="I1297" s="6">
        <v>5</v>
      </c>
      <c r="J1297" s="6">
        <v>195</v>
      </c>
      <c r="K1297" s="6">
        <v>71.844660189999999</v>
      </c>
      <c r="L1297" s="3" t="s">
        <v>35</v>
      </c>
      <c r="M1297" s="26"/>
    </row>
    <row r="1298" spans="1:13" x14ac:dyDescent="0.25">
      <c r="A1298" s="6">
        <v>1.4188740859412701E+17</v>
      </c>
      <c r="B1298" s="31" t="s">
        <v>417</v>
      </c>
      <c r="C1298" s="32" t="str">
        <f t="shared" si="36"/>
        <v>Apr</v>
      </c>
      <c r="D1298" s="3" t="s">
        <v>25</v>
      </c>
      <c r="E1298" s="6">
        <v>852214</v>
      </c>
      <c r="F1298" s="6">
        <v>7117</v>
      </c>
      <c r="G1298" s="6">
        <v>3</v>
      </c>
      <c r="H1298" s="6">
        <v>156.31067959999999</v>
      </c>
      <c r="I1298" s="6">
        <v>4</v>
      </c>
      <c r="J1298" s="6">
        <v>161</v>
      </c>
      <c r="K1298" s="6">
        <v>52.42718447</v>
      </c>
      <c r="L1298" s="3" t="s">
        <v>37</v>
      </c>
      <c r="M1298" s="26"/>
    </row>
    <row r="1299" spans="1:13" x14ac:dyDescent="0.25">
      <c r="A1299" s="6">
        <v>1.4918921244498499E+17</v>
      </c>
      <c r="B1299" s="31" t="s">
        <v>431</v>
      </c>
      <c r="C1299" s="32" t="str">
        <f t="shared" si="36"/>
        <v>Apr</v>
      </c>
      <c r="D1299" s="3" t="s">
        <v>9</v>
      </c>
      <c r="E1299" s="6">
        <v>243201</v>
      </c>
      <c r="F1299" s="6">
        <v>7117</v>
      </c>
      <c r="G1299" s="6">
        <v>3</v>
      </c>
      <c r="H1299" s="6">
        <v>184.46601939999999</v>
      </c>
      <c r="I1299" s="6">
        <v>5</v>
      </c>
      <c r="J1299" s="6">
        <v>190</v>
      </c>
      <c r="K1299" s="6">
        <v>43.689320389999999</v>
      </c>
      <c r="L1299" s="3" t="s">
        <v>27</v>
      </c>
      <c r="M1299" s="26"/>
    </row>
    <row r="1300" spans="1:13" x14ac:dyDescent="0.25">
      <c r="A1300" s="6">
        <v>1.4912020276769901E+17</v>
      </c>
      <c r="B1300" s="31" t="s">
        <v>431</v>
      </c>
      <c r="C1300" s="32" t="str">
        <f t="shared" si="36"/>
        <v>Apr</v>
      </c>
      <c r="D1300" s="3" t="s">
        <v>52</v>
      </c>
      <c r="E1300" s="6">
        <v>802132</v>
      </c>
      <c r="F1300" s="6">
        <v>7117</v>
      </c>
      <c r="G1300" s="6">
        <v>3</v>
      </c>
      <c r="H1300" s="6">
        <v>182.52427180000001</v>
      </c>
      <c r="I1300" s="6">
        <v>5</v>
      </c>
      <c r="J1300" s="6">
        <v>188</v>
      </c>
      <c r="K1300" s="6">
        <v>41.747572820000002</v>
      </c>
      <c r="L1300" s="3" t="s">
        <v>10</v>
      </c>
      <c r="M1300" s="26"/>
    </row>
    <row r="1301" spans="1:13" x14ac:dyDescent="0.25">
      <c r="A1301" s="6">
        <v>1.4012020827347501E+17</v>
      </c>
      <c r="B1301" s="31" t="s">
        <v>465</v>
      </c>
      <c r="C1301" s="32" t="str">
        <f t="shared" si="36"/>
        <v>Apr</v>
      </c>
      <c r="D1301" s="3" t="s">
        <v>25</v>
      </c>
      <c r="E1301" s="6">
        <v>362266</v>
      </c>
      <c r="F1301" s="6">
        <v>7117</v>
      </c>
      <c r="G1301" s="6">
        <v>3</v>
      </c>
      <c r="H1301" s="6">
        <v>169.90291260000001</v>
      </c>
      <c r="I1301" s="6">
        <v>5</v>
      </c>
      <c r="J1301" s="6">
        <v>175</v>
      </c>
      <c r="K1301" s="6">
        <v>52.42718447</v>
      </c>
      <c r="L1301" s="3" t="s">
        <v>10</v>
      </c>
      <c r="M1301" s="26"/>
    </row>
    <row r="1302" spans="1:13" x14ac:dyDescent="0.25">
      <c r="A1302" s="6">
        <v>1.43922603518232E+17</v>
      </c>
      <c r="B1302" s="31" t="s">
        <v>438</v>
      </c>
      <c r="C1302" s="32" t="str">
        <f t="shared" si="36"/>
        <v>Apr</v>
      </c>
      <c r="D1302" s="3" t="s">
        <v>25</v>
      </c>
      <c r="E1302" s="6">
        <v>143001</v>
      </c>
      <c r="F1302" s="6">
        <v>7117</v>
      </c>
      <c r="G1302" s="6">
        <v>3</v>
      </c>
      <c r="H1302" s="6">
        <v>162.1359223</v>
      </c>
      <c r="I1302" s="6">
        <v>4</v>
      </c>
      <c r="J1302" s="6">
        <v>167</v>
      </c>
      <c r="K1302" s="6">
        <v>40.776699030000003</v>
      </c>
      <c r="L1302" s="3" t="s">
        <v>44</v>
      </c>
      <c r="M1302" s="26"/>
    </row>
    <row r="1303" spans="1:13" x14ac:dyDescent="0.25">
      <c r="A1303" s="6">
        <v>1.4759077456429402E+17</v>
      </c>
      <c r="B1303" s="31" t="s">
        <v>426</v>
      </c>
      <c r="C1303" s="32" t="str">
        <f t="shared" si="36"/>
        <v>Apr</v>
      </c>
      <c r="D1303" s="3" t="s">
        <v>21</v>
      </c>
      <c r="E1303" s="6">
        <v>843313</v>
      </c>
      <c r="F1303" s="6">
        <v>7117</v>
      </c>
      <c r="G1303" s="6">
        <v>3</v>
      </c>
      <c r="H1303" s="6">
        <v>174.7572816</v>
      </c>
      <c r="I1303" s="6">
        <v>5</v>
      </c>
      <c r="J1303" s="6">
        <v>180</v>
      </c>
      <c r="K1303" s="6">
        <v>53.398058249999998</v>
      </c>
      <c r="L1303" s="3" t="s">
        <v>26</v>
      </c>
      <c r="M1303" s="26"/>
    </row>
    <row r="1304" spans="1:13" x14ac:dyDescent="0.25">
      <c r="A1304" s="6">
        <v>1.41841284265052E+17</v>
      </c>
      <c r="B1304" s="31" t="s">
        <v>417</v>
      </c>
      <c r="C1304" s="32" t="str">
        <f t="shared" si="36"/>
        <v>Apr</v>
      </c>
      <c r="D1304" s="3" t="s">
        <v>16</v>
      </c>
      <c r="E1304" s="6">
        <v>281004</v>
      </c>
      <c r="F1304" s="6">
        <v>7117</v>
      </c>
      <c r="G1304" s="6">
        <v>3</v>
      </c>
      <c r="H1304" s="6">
        <v>149.5145631</v>
      </c>
      <c r="I1304" s="6">
        <v>4</v>
      </c>
      <c r="J1304" s="6">
        <v>154</v>
      </c>
      <c r="K1304" s="6">
        <v>52.42718447</v>
      </c>
      <c r="L1304" s="3" t="s">
        <v>39</v>
      </c>
      <c r="M1304" s="26"/>
    </row>
    <row r="1305" spans="1:13" x14ac:dyDescent="0.25">
      <c r="A1305" s="6">
        <v>1.4154094199895501E+17</v>
      </c>
      <c r="B1305" s="31" t="s">
        <v>515</v>
      </c>
      <c r="C1305" s="32" t="str">
        <f t="shared" si="36"/>
        <v>Apr</v>
      </c>
      <c r="D1305" s="3" t="s">
        <v>16</v>
      </c>
      <c r="E1305" s="6">
        <v>400037</v>
      </c>
      <c r="F1305" s="6">
        <v>330410</v>
      </c>
      <c r="G1305" s="6">
        <v>18</v>
      </c>
      <c r="H1305" s="6">
        <v>216.9491525</v>
      </c>
      <c r="I1305" s="6">
        <v>39</v>
      </c>
      <c r="J1305" s="6">
        <v>256</v>
      </c>
      <c r="K1305" s="6">
        <v>32.203389829999999</v>
      </c>
      <c r="L1305" s="3" t="s">
        <v>10</v>
      </c>
      <c r="M1305" s="26"/>
    </row>
    <row r="1306" spans="1:13" x14ac:dyDescent="0.25">
      <c r="A1306" s="6">
        <v>1.46262294196292E+17</v>
      </c>
      <c r="B1306" s="31" t="s">
        <v>403</v>
      </c>
      <c r="C1306" s="32" t="str">
        <f t="shared" si="36"/>
        <v>Apr</v>
      </c>
      <c r="D1306" s="3" t="s">
        <v>16</v>
      </c>
      <c r="E1306" s="6">
        <v>560064</v>
      </c>
      <c r="F1306" s="6">
        <v>7117</v>
      </c>
      <c r="G1306" s="6">
        <v>3</v>
      </c>
      <c r="H1306" s="6">
        <v>141.7475728</v>
      </c>
      <c r="I1306" s="6">
        <v>4</v>
      </c>
      <c r="J1306" s="6">
        <v>146</v>
      </c>
      <c r="K1306" s="6">
        <v>37.86407767</v>
      </c>
      <c r="L1306" s="3" t="s">
        <v>10</v>
      </c>
      <c r="M1306" s="26"/>
    </row>
    <row r="1307" spans="1:13" x14ac:dyDescent="0.25">
      <c r="A1307" s="6">
        <v>1.41840423395676E+17</v>
      </c>
      <c r="B1307" s="31" t="s">
        <v>417</v>
      </c>
      <c r="C1307" s="32" t="str">
        <f t="shared" si="36"/>
        <v>Apr</v>
      </c>
      <c r="D1307" s="3" t="s">
        <v>16</v>
      </c>
      <c r="E1307" s="6">
        <v>403720</v>
      </c>
      <c r="F1307" s="6">
        <v>7117</v>
      </c>
      <c r="G1307" s="6">
        <v>3</v>
      </c>
      <c r="H1307" s="6">
        <v>149.5145631</v>
      </c>
      <c r="I1307" s="6">
        <v>4</v>
      </c>
      <c r="J1307" s="6">
        <v>154</v>
      </c>
      <c r="K1307" s="6">
        <v>52.42718447</v>
      </c>
      <c r="L1307" s="3" t="s">
        <v>39</v>
      </c>
      <c r="M1307" s="26"/>
    </row>
    <row r="1308" spans="1:13" x14ac:dyDescent="0.25">
      <c r="A1308" s="6">
        <v>1.40115538885258E+17</v>
      </c>
      <c r="B1308" s="31" t="s">
        <v>465</v>
      </c>
      <c r="C1308" s="32" t="str">
        <f t="shared" si="36"/>
        <v>Apr</v>
      </c>
      <c r="D1308" s="3" t="s">
        <v>16</v>
      </c>
      <c r="E1308" s="6">
        <v>110029</v>
      </c>
      <c r="F1308" s="6">
        <v>7117</v>
      </c>
      <c r="G1308" s="6">
        <v>3</v>
      </c>
      <c r="H1308" s="6">
        <v>151.45631069999999</v>
      </c>
      <c r="I1308" s="6">
        <v>4</v>
      </c>
      <c r="J1308" s="6">
        <v>156</v>
      </c>
      <c r="K1308" s="6">
        <v>39.805825239999997</v>
      </c>
      <c r="L1308" s="3" t="s">
        <v>10</v>
      </c>
      <c r="M1308" s="26"/>
    </row>
    <row r="1309" spans="1:13" x14ac:dyDescent="0.25">
      <c r="A1309" s="6">
        <v>1.40119680269878E+17</v>
      </c>
      <c r="B1309" s="31" t="s">
        <v>465</v>
      </c>
      <c r="C1309" s="32" t="str">
        <f t="shared" si="36"/>
        <v>Apr</v>
      </c>
      <c r="D1309" s="3" t="s">
        <v>16</v>
      </c>
      <c r="E1309" s="6">
        <v>110019</v>
      </c>
      <c r="F1309" s="6">
        <v>7117</v>
      </c>
      <c r="G1309" s="6">
        <v>3</v>
      </c>
      <c r="H1309" s="6">
        <v>163.1067961</v>
      </c>
      <c r="I1309" s="6">
        <v>4</v>
      </c>
      <c r="J1309" s="6">
        <v>168</v>
      </c>
      <c r="K1309" s="6">
        <v>45.631067960000003</v>
      </c>
      <c r="L1309" s="3" t="s">
        <v>28</v>
      </c>
      <c r="M1309" s="26"/>
    </row>
    <row r="1310" spans="1:13" x14ac:dyDescent="0.25">
      <c r="A1310" s="6">
        <v>1.4187900161507501E+17</v>
      </c>
      <c r="B1310" s="31" t="s">
        <v>417</v>
      </c>
      <c r="C1310" s="32" t="str">
        <f t="shared" si="36"/>
        <v>Apr</v>
      </c>
      <c r="D1310" s="3" t="s">
        <v>21</v>
      </c>
      <c r="E1310" s="6">
        <v>140507</v>
      </c>
      <c r="F1310" s="6">
        <v>7117</v>
      </c>
      <c r="G1310" s="6">
        <v>3</v>
      </c>
      <c r="H1310" s="6">
        <v>157.28155340000001</v>
      </c>
      <c r="I1310" s="6">
        <v>4</v>
      </c>
      <c r="J1310" s="6">
        <v>162</v>
      </c>
      <c r="K1310" s="6">
        <v>39.805825239999997</v>
      </c>
      <c r="L1310" s="3" t="s">
        <v>10</v>
      </c>
      <c r="M1310" s="26"/>
    </row>
    <row r="1311" spans="1:13" x14ac:dyDescent="0.25">
      <c r="A1311" s="6">
        <v>1.42940042465806E+17</v>
      </c>
      <c r="B1311" s="31" t="s">
        <v>411</v>
      </c>
      <c r="C1311" s="32" t="str">
        <f t="shared" si="36"/>
        <v>Apr</v>
      </c>
      <c r="D1311" s="3" t="s">
        <v>16</v>
      </c>
      <c r="E1311" s="6">
        <v>110084</v>
      </c>
      <c r="F1311" s="6">
        <v>7117</v>
      </c>
      <c r="G1311" s="6">
        <v>3</v>
      </c>
      <c r="H1311" s="6">
        <v>201.94174760000001</v>
      </c>
      <c r="I1311" s="6">
        <v>6</v>
      </c>
      <c r="J1311" s="6">
        <v>208</v>
      </c>
      <c r="K1311" s="6">
        <v>46.601941750000002</v>
      </c>
      <c r="L1311" s="3" t="s">
        <v>46</v>
      </c>
      <c r="M1311" s="26"/>
    </row>
    <row r="1312" spans="1:13" x14ac:dyDescent="0.25">
      <c r="A1312" s="6">
        <v>1.44001790785508E+17</v>
      </c>
      <c r="B1312" s="31" t="s">
        <v>438</v>
      </c>
      <c r="C1312" s="32" t="str">
        <f t="shared" si="36"/>
        <v>Apr</v>
      </c>
      <c r="D1312" s="3" t="s">
        <v>16</v>
      </c>
      <c r="E1312" s="6">
        <v>500034</v>
      </c>
      <c r="F1312" s="6">
        <v>7117</v>
      </c>
      <c r="G1312" s="6">
        <v>3</v>
      </c>
      <c r="H1312" s="6">
        <v>141.7475728</v>
      </c>
      <c r="I1312" s="6">
        <v>4</v>
      </c>
      <c r="J1312" s="6">
        <v>146</v>
      </c>
      <c r="K1312" s="6">
        <v>37.86407767</v>
      </c>
      <c r="L1312" s="3" t="s">
        <v>10</v>
      </c>
      <c r="M1312" s="26"/>
    </row>
    <row r="1313" spans="1:13" x14ac:dyDescent="0.25">
      <c r="A1313" s="6">
        <v>1.38562453076808E+17</v>
      </c>
      <c r="B1313" s="31" t="s">
        <v>551</v>
      </c>
      <c r="C1313" s="32" t="str">
        <f t="shared" si="36"/>
        <v>Apr</v>
      </c>
      <c r="D1313" s="3" t="s">
        <v>9</v>
      </c>
      <c r="E1313" s="6">
        <v>497220</v>
      </c>
      <c r="F1313" s="6">
        <v>7117</v>
      </c>
      <c r="G1313" s="6">
        <v>3</v>
      </c>
      <c r="H1313" s="6">
        <v>339.80582520000002</v>
      </c>
      <c r="I1313" s="6">
        <v>10</v>
      </c>
      <c r="J1313" s="6">
        <v>350</v>
      </c>
      <c r="K1313" s="6">
        <v>104.85436893000001</v>
      </c>
      <c r="L1313" s="3" t="s">
        <v>12</v>
      </c>
      <c r="M1313" s="26"/>
    </row>
    <row r="1314" spans="1:13" x14ac:dyDescent="0.25">
      <c r="A1314" s="6">
        <v>1.39819143821306E+17</v>
      </c>
      <c r="B1314" s="31" t="s">
        <v>465</v>
      </c>
      <c r="C1314" s="32" t="str">
        <f t="shared" si="36"/>
        <v>Apr</v>
      </c>
      <c r="D1314" s="3" t="s">
        <v>21</v>
      </c>
      <c r="E1314" s="6">
        <v>122001</v>
      </c>
      <c r="F1314" s="6">
        <v>7117</v>
      </c>
      <c r="G1314" s="6">
        <v>3</v>
      </c>
      <c r="H1314" s="6">
        <v>139.80582519999999</v>
      </c>
      <c r="I1314" s="6">
        <v>4</v>
      </c>
      <c r="J1314" s="6">
        <v>144</v>
      </c>
      <c r="K1314" s="6">
        <v>45.631067960000003</v>
      </c>
      <c r="L1314" s="3" t="s">
        <v>28</v>
      </c>
      <c r="M1314" s="26"/>
    </row>
    <row r="1315" spans="1:13" x14ac:dyDescent="0.25">
      <c r="A1315" s="6">
        <v>1.4587693960267501E+17</v>
      </c>
      <c r="B1315" s="31" t="s">
        <v>422</v>
      </c>
      <c r="C1315" s="32" t="str">
        <f t="shared" si="36"/>
        <v>Apr</v>
      </c>
      <c r="D1315" s="3" t="s">
        <v>16</v>
      </c>
      <c r="E1315" s="6">
        <v>244412</v>
      </c>
      <c r="F1315" s="6">
        <v>7117</v>
      </c>
      <c r="G1315" s="6">
        <v>3</v>
      </c>
      <c r="H1315" s="6">
        <v>158.2524272</v>
      </c>
      <c r="I1315" s="6">
        <v>4</v>
      </c>
      <c r="J1315" s="6">
        <v>163</v>
      </c>
      <c r="K1315" s="6">
        <v>61.165048540000001</v>
      </c>
      <c r="L1315" s="3" t="s">
        <v>98</v>
      </c>
      <c r="M1315" s="26"/>
    </row>
    <row r="1316" spans="1:13" x14ac:dyDescent="0.25">
      <c r="A1316" s="6">
        <v>1.48281242957808E+17</v>
      </c>
      <c r="B1316" s="31" t="s">
        <v>452</v>
      </c>
      <c r="C1316" s="32" t="str">
        <f t="shared" si="36"/>
        <v>Apr</v>
      </c>
      <c r="D1316" s="3" t="s">
        <v>16</v>
      </c>
      <c r="E1316" s="6">
        <v>233303</v>
      </c>
      <c r="F1316" s="6">
        <v>7117</v>
      </c>
      <c r="G1316" s="6">
        <v>3</v>
      </c>
      <c r="H1316" s="6">
        <v>156.31067959999999</v>
      </c>
      <c r="I1316" s="6">
        <v>4</v>
      </c>
      <c r="J1316" s="6">
        <v>161</v>
      </c>
      <c r="K1316" s="6">
        <v>38.834951459999999</v>
      </c>
      <c r="L1316" s="3" t="s">
        <v>14</v>
      </c>
      <c r="M1316" s="26"/>
    </row>
    <row r="1317" spans="1:13" x14ac:dyDescent="0.25">
      <c r="A1317" s="6">
        <v>1.4842020543768198E+17</v>
      </c>
      <c r="B1317" s="31" t="s">
        <v>452</v>
      </c>
      <c r="C1317" s="32" t="str">
        <f t="shared" si="36"/>
        <v>Apr</v>
      </c>
      <c r="D1317" s="3" t="s">
        <v>25</v>
      </c>
      <c r="E1317" s="6">
        <v>232102</v>
      </c>
      <c r="F1317" s="6">
        <v>7117</v>
      </c>
      <c r="G1317" s="6">
        <v>3</v>
      </c>
      <c r="H1317" s="6">
        <v>172.81553400000001</v>
      </c>
      <c r="I1317" s="6">
        <v>5</v>
      </c>
      <c r="J1317" s="6">
        <v>178</v>
      </c>
      <c r="K1317" s="6">
        <v>68.932038829999996</v>
      </c>
      <c r="L1317" s="3" t="s">
        <v>22</v>
      </c>
      <c r="M1317" s="26"/>
    </row>
    <row r="1318" spans="1:13" x14ac:dyDescent="0.25">
      <c r="A1318" s="6">
        <v>1.3889111452160301E+17</v>
      </c>
      <c r="B1318" s="31" t="s">
        <v>600</v>
      </c>
      <c r="C1318" s="32" t="str">
        <f t="shared" si="36"/>
        <v>Apr</v>
      </c>
      <c r="D1318" s="3" t="s">
        <v>33</v>
      </c>
      <c r="E1318" s="6">
        <v>502110</v>
      </c>
      <c r="F1318" s="6">
        <v>7117</v>
      </c>
      <c r="G1318" s="6">
        <v>3</v>
      </c>
      <c r="H1318" s="6">
        <v>159.22330099999999</v>
      </c>
      <c r="I1318" s="6">
        <v>4</v>
      </c>
      <c r="J1318" s="6">
        <v>164</v>
      </c>
      <c r="K1318" s="6">
        <v>37.86407767</v>
      </c>
      <c r="L1318" s="3" t="s">
        <v>23</v>
      </c>
      <c r="M1318" s="26"/>
    </row>
    <row r="1319" spans="1:13" x14ac:dyDescent="0.25">
      <c r="A1319" s="6">
        <v>1.46297849857984E+17</v>
      </c>
      <c r="B1319" s="31" t="s">
        <v>403</v>
      </c>
      <c r="C1319" s="32" t="str">
        <f t="shared" si="36"/>
        <v>Apr</v>
      </c>
      <c r="D1319" s="3" t="s">
        <v>16</v>
      </c>
      <c r="E1319" s="6">
        <v>273402</v>
      </c>
      <c r="F1319" s="6">
        <v>7117</v>
      </c>
      <c r="G1319" s="6">
        <v>3</v>
      </c>
      <c r="H1319" s="6">
        <v>158.2524272</v>
      </c>
      <c r="I1319" s="6">
        <v>4</v>
      </c>
      <c r="J1319" s="6">
        <v>163</v>
      </c>
      <c r="K1319" s="6">
        <v>40.776699030000003</v>
      </c>
      <c r="L1319" s="3" t="s">
        <v>22</v>
      </c>
      <c r="M1319" s="26"/>
    </row>
    <row r="1320" spans="1:13" x14ac:dyDescent="0.25">
      <c r="A1320" s="6">
        <v>1.4501485661076E+17</v>
      </c>
      <c r="B1320" s="31" t="s">
        <v>408</v>
      </c>
      <c r="C1320" s="32" t="str">
        <f t="shared" si="36"/>
        <v>Apr</v>
      </c>
      <c r="D1320" s="3" t="s">
        <v>16</v>
      </c>
      <c r="E1320" s="6">
        <v>761009</v>
      </c>
      <c r="F1320" s="6">
        <v>7117</v>
      </c>
      <c r="G1320" s="6">
        <v>3</v>
      </c>
      <c r="H1320" s="6">
        <v>151.45631069999999</v>
      </c>
      <c r="I1320" s="6">
        <v>4</v>
      </c>
      <c r="J1320" s="6">
        <v>156</v>
      </c>
      <c r="K1320" s="6">
        <v>33.980582519999999</v>
      </c>
      <c r="L1320" s="3" t="s">
        <v>10</v>
      </c>
      <c r="M1320" s="26"/>
    </row>
    <row r="1321" spans="1:13" x14ac:dyDescent="0.25">
      <c r="A1321" s="6">
        <v>1.43359425297142E+17</v>
      </c>
      <c r="B1321" s="31" t="s">
        <v>406</v>
      </c>
      <c r="C1321" s="32" t="str">
        <f t="shared" si="36"/>
        <v>Apr</v>
      </c>
      <c r="D1321" s="3" t="s">
        <v>16</v>
      </c>
      <c r="E1321" s="6">
        <v>500064</v>
      </c>
      <c r="F1321" s="6">
        <v>7117</v>
      </c>
      <c r="G1321" s="6">
        <v>3</v>
      </c>
      <c r="H1321" s="6">
        <v>156.31067959999999</v>
      </c>
      <c r="I1321" s="6">
        <v>4</v>
      </c>
      <c r="J1321" s="6">
        <v>161</v>
      </c>
      <c r="K1321" s="6">
        <v>38.834951459999999</v>
      </c>
      <c r="L1321" s="3" t="s">
        <v>23</v>
      </c>
      <c r="M1321" s="26"/>
    </row>
    <row r="1322" spans="1:13" x14ac:dyDescent="0.25">
      <c r="A1322" s="6">
        <v>1.4443740711026301E+17</v>
      </c>
      <c r="B1322" s="31" t="s">
        <v>473</v>
      </c>
      <c r="C1322" s="32" t="str">
        <f t="shared" si="36"/>
        <v>Apr</v>
      </c>
      <c r="D1322" s="3" t="s">
        <v>16</v>
      </c>
      <c r="E1322" s="6">
        <v>222303</v>
      </c>
      <c r="F1322" s="6">
        <v>7117</v>
      </c>
      <c r="G1322" s="6">
        <v>3</v>
      </c>
      <c r="H1322" s="6">
        <v>160.19417480000001</v>
      </c>
      <c r="I1322" s="6">
        <v>4</v>
      </c>
      <c r="J1322" s="6">
        <v>165</v>
      </c>
      <c r="K1322" s="6">
        <v>38.834951459999999</v>
      </c>
      <c r="L1322" s="3" t="s">
        <v>26</v>
      </c>
      <c r="M1322" s="26"/>
    </row>
    <row r="1323" spans="1:13" x14ac:dyDescent="0.25">
      <c r="A1323" s="6">
        <v>1.3894456706692E+17</v>
      </c>
      <c r="B1323" s="31" t="s">
        <v>600</v>
      </c>
      <c r="C1323" s="32" t="str">
        <f t="shared" si="36"/>
        <v>Apr</v>
      </c>
      <c r="D1323" s="3" t="s">
        <v>21</v>
      </c>
      <c r="E1323" s="6">
        <v>752111</v>
      </c>
      <c r="F1323" s="6">
        <v>7117</v>
      </c>
      <c r="G1323" s="6">
        <v>3</v>
      </c>
      <c r="H1323" s="6">
        <v>141.7475728</v>
      </c>
      <c r="I1323" s="6">
        <v>4</v>
      </c>
      <c r="J1323" s="6">
        <v>146</v>
      </c>
      <c r="K1323" s="6">
        <v>37.86407767</v>
      </c>
      <c r="L1323" s="3" t="s">
        <v>37</v>
      </c>
      <c r="M1323" s="26"/>
    </row>
    <row r="1324" spans="1:13" x14ac:dyDescent="0.25">
      <c r="A1324" s="6">
        <v>1.38888629723638E+17</v>
      </c>
      <c r="B1324" s="31" t="s">
        <v>600</v>
      </c>
      <c r="C1324" s="32" t="str">
        <f t="shared" si="36"/>
        <v>Apr</v>
      </c>
      <c r="D1324" s="3" t="s">
        <v>16</v>
      </c>
      <c r="E1324" s="6">
        <v>854202</v>
      </c>
      <c r="F1324" s="6">
        <v>7117</v>
      </c>
      <c r="G1324" s="6">
        <v>3</v>
      </c>
      <c r="H1324" s="6">
        <v>155.33980579999999</v>
      </c>
      <c r="I1324" s="6">
        <v>4</v>
      </c>
      <c r="J1324" s="6">
        <v>160</v>
      </c>
      <c r="K1324" s="6">
        <v>37.86407767</v>
      </c>
      <c r="L1324" s="3" t="s">
        <v>41</v>
      </c>
      <c r="M1324" s="26"/>
    </row>
    <row r="1325" spans="1:13" x14ac:dyDescent="0.25">
      <c r="A1325" s="6">
        <v>1.39674984619902E+17</v>
      </c>
      <c r="B1325" s="31" t="s">
        <v>485</v>
      </c>
      <c r="C1325" s="32" t="str">
        <f t="shared" si="36"/>
        <v>Apr</v>
      </c>
      <c r="D1325" s="3" t="s">
        <v>25</v>
      </c>
      <c r="E1325" s="6">
        <v>829144</v>
      </c>
      <c r="F1325" s="6">
        <v>7117</v>
      </c>
      <c r="G1325" s="6">
        <v>3</v>
      </c>
      <c r="H1325" s="6">
        <v>91.262135900000004</v>
      </c>
      <c r="I1325" s="6">
        <v>2</v>
      </c>
      <c r="J1325" s="6">
        <v>94</v>
      </c>
      <c r="K1325" s="6">
        <v>43.689320389999999</v>
      </c>
      <c r="L1325" s="3" t="s">
        <v>39</v>
      </c>
      <c r="M1325" s="26"/>
    </row>
    <row r="1326" spans="1:13" x14ac:dyDescent="0.25">
      <c r="A1326" s="6">
        <v>1.48091984379616E+17</v>
      </c>
      <c r="B1326" s="31" t="s">
        <v>501</v>
      </c>
      <c r="C1326" s="32" t="str">
        <f t="shared" si="36"/>
        <v>Apr</v>
      </c>
      <c r="D1326" s="3" t="s">
        <v>16</v>
      </c>
      <c r="E1326" s="6">
        <v>572101</v>
      </c>
      <c r="F1326" s="6">
        <v>7117</v>
      </c>
      <c r="G1326" s="6">
        <v>3</v>
      </c>
      <c r="H1326" s="6">
        <v>165.04854370000001</v>
      </c>
      <c r="I1326" s="6">
        <v>4</v>
      </c>
      <c r="J1326" s="6">
        <v>170</v>
      </c>
      <c r="K1326" s="6">
        <v>53.398058249999998</v>
      </c>
      <c r="L1326" s="3" t="s">
        <v>28</v>
      </c>
      <c r="M1326" s="26"/>
    </row>
    <row r="1327" spans="1:13" x14ac:dyDescent="0.25">
      <c r="A1327" s="6">
        <v>1.3889524915460899E+17</v>
      </c>
      <c r="B1327" s="31" t="s">
        <v>600</v>
      </c>
      <c r="C1327" s="32" t="str">
        <f t="shared" si="36"/>
        <v>Apr</v>
      </c>
      <c r="D1327" s="3" t="s">
        <v>25</v>
      </c>
      <c r="E1327" s="6">
        <v>229202</v>
      </c>
      <c r="F1327" s="6">
        <v>7117</v>
      </c>
      <c r="G1327" s="6">
        <v>3</v>
      </c>
      <c r="H1327" s="6">
        <v>145.631068</v>
      </c>
      <c r="I1327" s="6">
        <v>4</v>
      </c>
      <c r="J1327" s="6">
        <v>150</v>
      </c>
      <c r="K1327" s="6">
        <v>51.456310680000001</v>
      </c>
      <c r="L1327" s="3" t="s">
        <v>46</v>
      </c>
      <c r="M1327" s="26"/>
    </row>
    <row r="1328" spans="1:13" x14ac:dyDescent="0.25">
      <c r="A1328" s="6">
        <v>1.4217043618467699E+17</v>
      </c>
      <c r="B1328" s="31" t="s">
        <v>419</v>
      </c>
      <c r="C1328" s="32" t="str">
        <f t="shared" si="36"/>
        <v>Apr</v>
      </c>
      <c r="D1328" s="3" t="s">
        <v>52</v>
      </c>
      <c r="E1328" s="6">
        <v>581118</v>
      </c>
      <c r="F1328" s="6">
        <v>7117</v>
      </c>
      <c r="G1328" s="6">
        <v>3</v>
      </c>
      <c r="H1328" s="6">
        <v>132.03883500000001</v>
      </c>
      <c r="I1328" s="6">
        <v>3</v>
      </c>
      <c r="J1328" s="6">
        <v>136</v>
      </c>
      <c r="K1328" s="6">
        <v>37.86407767</v>
      </c>
      <c r="L1328" s="3" t="s">
        <v>14</v>
      </c>
      <c r="M1328" s="26"/>
    </row>
    <row r="1329" spans="1:13" x14ac:dyDescent="0.25">
      <c r="A1329" s="6">
        <v>1.38349329321136E+17</v>
      </c>
      <c r="B1329" s="31" t="s">
        <v>551</v>
      </c>
      <c r="C1329" s="32" t="str">
        <f t="shared" si="36"/>
        <v>Apr</v>
      </c>
      <c r="D1329" s="3" t="s">
        <v>25</v>
      </c>
      <c r="E1329" s="6">
        <v>413112</v>
      </c>
      <c r="F1329" s="6">
        <v>7117</v>
      </c>
      <c r="G1329" s="6">
        <v>3</v>
      </c>
      <c r="H1329" s="6">
        <v>147.57281549999999</v>
      </c>
      <c r="I1329" s="6">
        <v>4</v>
      </c>
      <c r="J1329" s="6">
        <v>152</v>
      </c>
      <c r="K1329" s="6">
        <v>53.398058249999998</v>
      </c>
      <c r="L1329" s="3" t="s">
        <v>53</v>
      </c>
      <c r="M1329" s="26"/>
    </row>
    <row r="1330" spans="1:13" x14ac:dyDescent="0.25">
      <c r="A1330" s="6">
        <v>1.3863311325800499E+17</v>
      </c>
      <c r="B1330" s="31" t="s">
        <v>551</v>
      </c>
      <c r="C1330" s="32" t="str">
        <f t="shared" si="36"/>
        <v>Apr</v>
      </c>
      <c r="D1330" s="3" t="s">
        <v>16</v>
      </c>
      <c r="E1330" s="6">
        <v>828130</v>
      </c>
      <c r="F1330" s="6">
        <v>7117</v>
      </c>
      <c r="G1330" s="6">
        <v>3</v>
      </c>
      <c r="H1330" s="6">
        <v>165.04854370000001</v>
      </c>
      <c r="I1330" s="6">
        <v>4</v>
      </c>
      <c r="J1330" s="6">
        <v>170</v>
      </c>
      <c r="K1330" s="6">
        <v>43.689320389999999</v>
      </c>
      <c r="L1330" s="3" t="s">
        <v>14</v>
      </c>
      <c r="M1330" s="26"/>
    </row>
    <row r="1331" spans="1:13" x14ac:dyDescent="0.25">
      <c r="A1331" s="6">
        <v>1.4617694934575002E+17</v>
      </c>
      <c r="B1331" s="31" t="s">
        <v>403</v>
      </c>
      <c r="C1331" s="32" t="str">
        <f t="shared" si="36"/>
        <v>Apr</v>
      </c>
      <c r="D1331" s="3" t="s">
        <v>16</v>
      </c>
      <c r="E1331" s="6">
        <v>488333</v>
      </c>
      <c r="F1331" s="6">
        <v>7117</v>
      </c>
      <c r="G1331" s="6">
        <v>3</v>
      </c>
      <c r="H1331" s="6">
        <v>136.8932039</v>
      </c>
      <c r="I1331" s="6">
        <v>4</v>
      </c>
      <c r="J1331" s="6">
        <v>141</v>
      </c>
      <c r="K1331" s="6">
        <v>33.980582519999999</v>
      </c>
      <c r="L1331" s="3" t="s">
        <v>46</v>
      </c>
      <c r="M1331" s="26"/>
    </row>
    <row r="1332" spans="1:13" x14ac:dyDescent="0.25">
      <c r="A1332" s="6">
        <v>1.4588710623486099E+17</v>
      </c>
      <c r="B1332" s="31" t="s">
        <v>422</v>
      </c>
      <c r="C1332" s="32" t="str">
        <f t="shared" si="36"/>
        <v>Apr</v>
      </c>
      <c r="D1332" s="3" t="s">
        <v>16</v>
      </c>
      <c r="E1332" s="6">
        <v>440022</v>
      </c>
      <c r="F1332" s="6">
        <v>7117</v>
      </c>
      <c r="G1332" s="6">
        <v>3</v>
      </c>
      <c r="H1332" s="6">
        <v>256.31067960000001</v>
      </c>
      <c r="I1332" s="6">
        <v>7</v>
      </c>
      <c r="J1332" s="6">
        <v>264</v>
      </c>
      <c r="K1332" s="6">
        <v>67.961165050000005</v>
      </c>
      <c r="L1332" s="3" t="s">
        <v>10</v>
      </c>
      <c r="M1332" s="26"/>
    </row>
    <row r="1333" spans="1:13" x14ac:dyDescent="0.25">
      <c r="A1333" s="6">
        <v>1.3850285298408E+17</v>
      </c>
      <c r="B1333" s="31" t="s">
        <v>551</v>
      </c>
      <c r="C1333" s="32" t="str">
        <f t="shared" si="36"/>
        <v>Apr</v>
      </c>
      <c r="D1333" s="3" t="s">
        <v>21</v>
      </c>
      <c r="E1333" s="6">
        <v>805107</v>
      </c>
      <c r="F1333" s="6">
        <v>7117</v>
      </c>
      <c r="G1333" s="6">
        <v>3</v>
      </c>
      <c r="H1333" s="6">
        <v>178.6407767</v>
      </c>
      <c r="I1333" s="6">
        <v>5</v>
      </c>
      <c r="J1333" s="6">
        <v>184</v>
      </c>
      <c r="K1333" s="6">
        <v>57.2815534</v>
      </c>
      <c r="L1333" s="3" t="s">
        <v>22</v>
      </c>
      <c r="M1333" s="26"/>
    </row>
    <row r="1334" spans="1:13" x14ac:dyDescent="0.25">
      <c r="A1334" s="6">
        <v>1.4587893216828E+17</v>
      </c>
      <c r="B1334" s="31" t="s">
        <v>422</v>
      </c>
      <c r="C1334" s="32" t="str">
        <f t="shared" si="36"/>
        <v>Apr</v>
      </c>
      <c r="D1334" s="3" t="s">
        <v>16</v>
      </c>
      <c r="E1334" s="6">
        <v>305801</v>
      </c>
      <c r="F1334" s="6">
        <v>7117</v>
      </c>
      <c r="G1334" s="6">
        <v>3</v>
      </c>
      <c r="H1334" s="6">
        <v>162.1359223</v>
      </c>
      <c r="I1334" s="6">
        <v>4</v>
      </c>
      <c r="J1334" s="6">
        <v>167</v>
      </c>
      <c r="K1334" s="6">
        <v>43.689320389999999</v>
      </c>
      <c r="L1334" s="3" t="s">
        <v>12</v>
      </c>
      <c r="M1334" s="26"/>
    </row>
    <row r="1335" spans="1:13" x14ac:dyDescent="0.25">
      <c r="A1335" s="6">
        <v>1.3851150567981501E+17</v>
      </c>
      <c r="B1335" s="31" t="s">
        <v>551</v>
      </c>
      <c r="C1335" s="32" t="str">
        <f t="shared" si="36"/>
        <v>Apr</v>
      </c>
      <c r="D1335" s="3" t="s">
        <v>16</v>
      </c>
      <c r="E1335" s="6">
        <v>700018</v>
      </c>
      <c r="F1335" s="6">
        <v>7117</v>
      </c>
      <c r="G1335" s="6">
        <v>3</v>
      </c>
      <c r="H1335" s="6">
        <v>132.03883500000001</v>
      </c>
      <c r="I1335" s="6">
        <v>3</v>
      </c>
      <c r="J1335" s="6">
        <v>136</v>
      </c>
      <c r="K1335" s="6">
        <v>52.42718447</v>
      </c>
      <c r="L1335" s="3" t="s">
        <v>22</v>
      </c>
      <c r="M1335" s="26"/>
    </row>
    <row r="1336" spans="1:13" x14ac:dyDescent="0.25">
      <c r="A1336" s="6">
        <v>1.4338424993235101E+17</v>
      </c>
      <c r="B1336" s="31" t="s">
        <v>406</v>
      </c>
      <c r="C1336" s="32" t="str">
        <f t="shared" si="36"/>
        <v>Apr</v>
      </c>
      <c r="D1336" s="3" t="s">
        <v>21</v>
      </c>
      <c r="E1336" s="6">
        <v>302029</v>
      </c>
      <c r="F1336" s="6">
        <v>7117</v>
      </c>
      <c r="G1336" s="6">
        <v>3</v>
      </c>
      <c r="H1336" s="6">
        <v>167.96116499999999</v>
      </c>
      <c r="I1336" s="6">
        <v>5</v>
      </c>
      <c r="J1336" s="6">
        <v>173</v>
      </c>
      <c r="K1336" s="6">
        <v>46.601941750000002</v>
      </c>
      <c r="L1336" s="3" t="s">
        <v>28</v>
      </c>
      <c r="M1336" s="26"/>
    </row>
    <row r="1337" spans="1:13" x14ac:dyDescent="0.25">
      <c r="A1337" s="6">
        <v>1.45103004184812E+17</v>
      </c>
      <c r="B1337" s="31" t="s">
        <v>408</v>
      </c>
      <c r="C1337" s="32" t="str">
        <f t="shared" si="36"/>
        <v>Apr</v>
      </c>
      <c r="D1337" s="3" t="s">
        <v>16</v>
      </c>
      <c r="E1337" s="6">
        <v>563127</v>
      </c>
      <c r="F1337" s="6">
        <v>7117</v>
      </c>
      <c r="G1337" s="6">
        <v>3</v>
      </c>
      <c r="H1337" s="6">
        <v>165.04854370000001</v>
      </c>
      <c r="I1337" s="6">
        <v>4</v>
      </c>
      <c r="J1337" s="6">
        <v>170</v>
      </c>
      <c r="K1337" s="6">
        <v>47.57281553</v>
      </c>
      <c r="L1337" s="3" t="s">
        <v>10</v>
      </c>
      <c r="M1337" s="26"/>
    </row>
    <row r="1338" spans="1:13" x14ac:dyDescent="0.25">
      <c r="A1338" s="6">
        <v>1.4757249514697501E+17</v>
      </c>
      <c r="B1338" s="31" t="s">
        <v>426</v>
      </c>
      <c r="C1338" s="32" t="str">
        <f t="shared" si="36"/>
        <v>Apr</v>
      </c>
      <c r="D1338" s="3" t="s">
        <v>16</v>
      </c>
      <c r="E1338" s="6">
        <v>444806</v>
      </c>
      <c r="F1338" s="6">
        <v>7117</v>
      </c>
      <c r="G1338" s="6">
        <v>3</v>
      </c>
      <c r="H1338" s="6">
        <v>182.52427180000001</v>
      </c>
      <c r="I1338" s="6">
        <v>5</v>
      </c>
      <c r="J1338" s="6">
        <v>188</v>
      </c>
      <c r="K1338" s="6">
        <v>61.165048540000001</v>
      </c>
      <c r="L1338" s="3" t="s">
        <v>41</v>
      </c>
      <c r="M1338" s="26"/>
    </row>
    <row r="1339" spans="1:13" x14ac:dyDescent="0.25">
      <c r="A1339" s="6">
        <v>1.4043876758746099E+17</v>
      </c>
      <c r="B1339" s="31" t="s">
        <v>450</v>
      </c>
      <c r="C1339" s="32" t="str">
        <f t="shared" si="36"/>
        <v>Apr</v>
      </c>
      <c r="D1339" s="3" t="s">
        <v>16</v>
      </c>
      <c r="E1339" s="6">
        <v>221304</v>
      </c>
      <c r="F1339" s="6">
        <v>7117</v>
      </c>
      <c r="G1339" s="6">
        <v>3</v>
      </c>
      <c r="H1339" s="6">
        <v>190.29126210000001</v>
      </c>
      <c r="I1339" s="6">
        <v>5</v>
      </c>
      <c r="J1339" s="6">
        <v>196</v>
      </c>
      <c r="K1339" s="6">
        <v>56.310679610000001</v>
      </c>
      <c r="L1339" s="3" t="s">
        <v>46</v>
      </c>
      <c r="M1339" s="26"/>
    </row>
    <row r="1340" spans="1:13" x14ac:dyDescent="0.25">
      <c r="A1340" s="6">
        <v>1.3932555120194499E+17</v>
      </c>
      <c r="B1340" s="31" t="s">
        <v>441</v>
      </c>
      <c r="C1340" s="32" t="str">
        <f t="shared" si="36"/>
        <v>Apr</v>
      </c>
      <c r="D1340" s="3" t="s">
        <v>25</v>
      </c>
      <c r="E1340" s="6">
        <v>804432</v>
      </c>
      <c r="F1340" s="6">
        <v>7117</v>
      </c>
      <c r="G1340" s="6">
        <v>3</v>
      </c>
      <c r="H1340" s="6">
        <v>151.45631069999999</v>
      </c>
      <c r="I1340" s="6">
        <v>4</v>
      </c>
      <c r="J1340" s="6">
        <v>156</v>
      </c>
      <c r="K1340" s="6">
        <v>33.980582519999999</v>
      </c>
      <c r="L1340" s="3" t="s">
        <v>49</v>
      </c>
      <c r="M1340" s="26"/>
    </row>
    <row r="1341" spans="1:13" x14ac:dyDescent="0.25">
      <c r="A1341" s="6">
        <v>1.4067030972317901E+17</v>
      </c>
      <c r="B1341" s="31" t="s">
        <v>447</v>
      </c>
      <c r="C1341" s="32" t="str">
        <f t="shared" si="36"/>
        <v>Apr</v>
      </c>
      <c r="D1341" s="3" t="s">
        <v>71</v>
      </c>
      <c r="E1341" s="6">
        <v>824211</v>
      </c>
      <c r="F1341" s="6">
        <v>7117</v>
      </c>
      <c r="G1341" s="6">
        <v>3</v>
      </c>
      <c r="H1341" s="6">
        <v>170.8737864</v>
      </c>
      <c r="I1341" s="6">
        <v>5</v>
      </c>
      <c r="J1341" s="6">
        <v>176</v>
      </c>
      <c r="K1341" s="6">
        <v>49.514563109999997</v>
      </c>
      <c r="L1341" s="3" t="s">
        <v>26</v>
      </c>
      <c r="M1341" s="26"/>
    </row>
    <row r="1342" spans="1:13" x14ac:dyDescent="0.25">
      <c r="A1342" s="6">
        <v>1.3959772841889699E+17</v>
      </c>
      <c r="B1342" s="31" t="s">
        <v>485</v>
      </c>
      <c r="C1342" s="32" t="str">
        <f t="shared" si="36"/>
        <v>Apr</v>
      </c>
      <c r="D1342" s="3" t="s">
        <v>21</v>
      </c>
      <c r="E1342" s="6">
        <v>474006</v>
      </c>
      <c r="F1342" s="6">
        <v>7117</v>
      </c>
      <c r="G1342" s="6">
        <v>3</v>
      </c>
      <c r="H1342" s="6">
        <v>139.80582519999999</v>
      </c>
      <c r="I1342" s="6">
        <v>4</v>
      </c>
      <c r="J1342" s="6">
        <v>144</v>
      </c>
      <c r="K1342" s="6">
        <v>52.42718447</v>
      </c>
      <c r="L1342" s="3" t="s">
        <v>19</v>
      </c>
      <c r="M1342" s="26"/>
    </row>
    <row r="1343" spans="1:13" x14ac:dyDescent="0.25">
      <c r="A1343" s="6">
        <v>1.41114652200948E+17</v>
      </c>
      <c r="B1343" s="31" t="s">
        <v>554</v>
      </c>
      <c r="C1343" s="32" t="str">
        <f t="shared" si="36"/>
        <v>Apr</v>
      </c>
      <c r="D1343" s="3" t="s">
        <v>25</v>
      </c>
      <c r="E1343" s="6">
        <v>524322</v>
      </c>
      <c r="F1343" s="6">
        <v>7117</v>
      </c>
      <c r="G1343" s="6">
        <v>3</v>
      </c>
      <c r="H1343" s="6">
        <v>228.15533980000001</v>
      </c>
      <c r="I1343" s="6">
        <v>6</v>
      </c>
      <c r="J1343" s="6">
        <v>235</v>
      </c>
      <c r="K1343" s="6">
        <v>63.106796119999998</v>
      </c>
      <c r="L1343" s="3" t="s">
        <v>22</v>
      </c>
      <c r="M1343" s="26"/>
    </row>
    <row r="1344" spans="1:13" x14ac:dyDescent="0.25">
      <c r="A1344" s="6">
        <v>1.4696911229885299E+17</v>
      </c>
      <c r="B1344" s="31" t="s">
        <v>627</v>
      </c>
      <c r="C1344" s="32" t="str">
        <f t="shared" si="36"/>
        <v>Apr</v>
      </c>
      <c r="D1344" s="3" t="s">
        <v>25</v>
      </c>
      <c r="E1344" s="6">
        <v>802218</v>
      </c>
      <c r="F1344" s="6">
        <v>7117</v>
      </c>
      <c r="G1344" s="6">
        <v>3</v>
      </c>
      <c r="H1344" s="6">
        <v>180.58252429999999</v>
      </c>
      <c r="I1344" s="6">
        <v>5</v>
      </c>
      <c r="J1344" s="6">
        <v>186</v>
      </c>
      <c r="K1344" s="6">
        <v>59.223300969999997</v>
      </c>
      <c r="L1344" s="3" t="s">
        <v>54</v>
      </c>
      <c r="M1344" s="26"/>
    </row>
    <row r="1345" spans="1:13" x14ac:dyDescent="0.25">
      <c r="A1345" s="6">
        <v>1.4117369822434701E+17</v>
      </c>
      <c r="B1345" s="31" t="s">
        <v>554</v>
      </c>
      <c r="C1345" s="32" t="str">
        <f t="shared" si="36"/>
        <v>Apr</v>
      </c>
      <c r="D1345" s="3" t="s">
        <v>9</v>
      </c>
      <c r="E1345" s="6">
        <v>766018</v>
      </c>
      <c r="F1345" s="6">
        <v>7117</v>
      </c>
      <c r="G1345" s="6">
        <v>3</v>
      </c>
      <c r="H1345" s="6">
        <v>150.4854369</v>
      </c>
      <c r="I1345" s="6">
        <v>4</v>
      </c>
      <c r="J1345" s="6">
        <v>155</v>
      </c>
      <c r="K1345" s="6">
        <v>33.009708740000001</v>
      </c>
      <c r="L1345" s="3" t="s">
        <v>10</v>
      </c>
      <c r="M1345" s="26"/>
    </row>
    <row r="1346" spans="1:13" x14ac:dyDescent="0.25">
      <c r="A1346" s="6">
        <v>1.4037061981113699E+17</v>
      </c>
      <c r="B1346" s="31" t="s">
        <v>450</v>
      </c>
      <c r="C1346" s="32" t="str">
        <f t="shared" si="36"/>
        <v>Apr</v>
      </c>
      <c r="D1346" s="3" t="s">
        <v>9</v>
      </c>
      <c r="E1346" s="6">
        <v>232110</v>
      </c>
      <c r="F1346" s="6">
        <v>7117</v>
      </c>
      <c r="G1346" s="6">
        <v>3</v>
      </c>
      <c r="H1346" s="6">
        <v>151.45631069999999</v>
      </c>
      <c r="I1346" s="6">
        <v>4</v>
      </c>
      <c r="J1346" s="6">
        <v>156</v>
      </c>
      <c r="K1346" s="6">
        <v>52.42718447</v>
      </c>
      <c r="L1346" s="3" t="s">
        <v>26</v>
      </c>
      <c r="M1346" s="26"/>
    </row>
    <row r="1347" spans="1:13" x14ac:dyDescent="0.25">
      <c r="A1347" s="6">
        <v>1.41225429294486E+17</v>
      </c>
      <c r="B1347" s="31" t="s">
        <v>554</v>
      </c>
      <c r="C1347" s="32" t="str">
        <f t="shared" ref="C1347:C1410" si="37">TEXT(B1347, "mmm")</f>
        <v>Apr</v>
      </c>
      <c r="D1347" s="3" t="s">
        <v>52</v>
      </c>
      <c r="E1347" s="6">
        <v>700145</v>
      </c>
      <c r="F1347" s="6">
        <v>7117</v>
      </c>
      <c r="G1347" s="6">
        <v>3</v>
      </c>
      <c r="H1347" s="6">
        <v>184.46601939999999</v>
      </c>
      <c r="I1347" s="6">
        <v>5</v>
      </c>
      <c r="J1347" s="6">
        <v>190</v>
      </c>
      <c r="K1347" s="6">
        <v>63.106796119999998</v>
      </c>
      <c r="L1347" s="3" t="s">
        <v>26</v>
      </c>
      <c r="M1347" s="26"/>
    </row>
    <row r="1348" spans="1:13" x14ac:dyDescent="0.25">
      <c r="A1348" s="6">
        <v>1.41179300624306E+17</v>
      </c>
      <c r="B1348" s="31" t="s">
        <v>554</v>
      </c>
      <c r="C1348" s="32" t="str">
        <f t="shared" si="37"/>
        <v>Apr</v>
      </c>
      <c r="D1348" s="3" t="s">
        <v>25</v>
      </c>
      <c r="E1348" s="6">
        <v>825412</v>
      </c>
      <c r="F1348" s="6">
        <v>7117</v>
      </c>
      <c r="G1348" s="6">
        <v>3</v>
      </c>
      <c r="H1348" s="6">
        <v>216.5048544</v>
      </c>
      <c r="I1348" s="6">
        <v>6</v>
      </c>
      <c r="J1348" s="6">
        <v>223</v>
      </c>
      <c r="K1348" s="6">
        <v>51.456310680000001</v>
      </c>
      <c r="L1348" s="3" t="s">
        <v>10</v>
      </c>
      <c r="M1348" s="26"/>
    </row>
    <row r="1349" spans="1:13" x14ac:dyDescent="0.25">
      <c r="A1349" s="6">
        <v>1.4617349631510202E+17</v>
      </c>
      <c r="B1349" s="31" t="s">
        <v>403</v>
      </c>
      <c r="C1349" s="32" t="str">
        <f t="shared" si="37"/>
        <v>Apr</v>
      </c>
      <c r="D1349" s="3" t="s">
        <v>16</v>
      </c>
      <c r="E1349" s="6">
        <v>847115</v>
      </c>
      <c r="F1349" s="6">
        <v>7117</v>
      </c>
      <c r="G1349" s="6">
        <v>3</v>
      </c>
      <c r="H1349" s="6">
        <v>166.9902913</v>
      </c>
      <c r="I1349" s="6">
        <v>5</v>
      </c>
      <c r="J1349" s="6">
        <v>172</v>
      </c>
      <c r="K1349" s="6">
        <v>49.514563109999997</v>
      </c>
      <c r="L1349" s="3" t="s">
        <v>41</v>
      </c>
      <c r="M1349" s="26"/>
    </row>
    <row r="1350" spans="1:13" x14ac:dyDescent="0.25">
      <c r="A1350" s="6">
        <v>1.40283154209018E+17</v>
      </c>
      <c r="B1350" s="31" t="s">
        <v>450</v>
      </c>
      <c r="C1350" s="32" t="str">
        <f t="shared" si="37"/>
        <v>Apr</v>
      </c>
      <c r="D1350" s="3" t="s">
        <v>9</v>
      </c>
      <c r="E1350" s="6">
        <v>560026</v>
      </c>
      <c r="F1350" s="6">
        <v>7117</v>
      </c>
      <c r="G1350" s="6">
        <v>3</v>
      </c>
      <c r="H1350" s="6">
        <v>186.40776700000001</v>
      </c>
      <c r="I1350" s="6">
        <v>5</v>
      </c>
      <c r="J1350" s="6">
        <v>192</v>
      </c>
      <c r="K1350" s="6">
        <v>70.873786409999994</v>
      </c>
      <c r="L1350" s="3" t="s">
        <v>35</v>
      </c>
      <c r="M1350" s="26"/>
    </row>
    <row r="1351" spans="1:13" x14ac:dyDescent="0.25">
      <c r="A1351" s="6">
        <v>1.46315021492324E+17</v>
      </c>
      <c r="B1351" s="31" t="s">
        <v>403</v>
      </c>
      <c r="C1351" s="32" t="str">
        <f t="shared" si="37"/>
        <v>Apr</v>
      </c>
      <c r="D1351" s="3" t="s">
        <v>16</v>
      </c>
      <c r="E1351" s="6">
        <v>641654</v>
      </c>
      <c r="F1351" s="6">
        <v>7117</v>
      </c>
      <c r="G1351" s="6">
        <v>3</v>
      </c>
      <c r="H1351" s="6">
        <v>161.16504850000001</v>
      </c>
      <c r="I1351" s="6">
        <v>4</v>
      </c>
      <c r="J1351" s="6">
        <v>166</v>
      </c>
      <c r="K1351" s="6">
        <v>39.805825239999997</v>
      </c>
      <c r="L1351" s="3" t="s">
        <v>19</v>
      </c>
      <c r="M1351" s="26"/>
    </row>
    <row r="1352" spans="1:13" x14ac:dyDescent="0.25">
      <c r="A1352" s="6">
        <v>1.4335412829484499E+17</v>
      </c>
      <c r="B1352" s="31" t="s">
        <v>406</v>
      </c>
      <c r="C1352" s="32" t="str">
        <f t="shared" si="37"/>
        <v>Apr</v>
      </c>
      <c r="D1352" s="3" t="s">
        <v>16</v>
      </c>
      <c r="E1352" s="6">
        <v>282007</v>
      </c>
      <c r="F1352" s="6">
        <v>7117</v>
      </c>
      <c r="G1352" s="6">
        <v>3</v>
      </c>
      <c r="H1352" s="6">
        <v>203.8834951</v>
      </c>
      <c r="I1352" s="6">
        <v>6</v>
      </c>
      <c r="J1352" s="6">
        <v>210</v>
      </c>
      <c r="K1352" s="6">
        <v>38.834951459999999</v>
      </c>
      <c r="L1352" s="3" t="s">
        <v>53</v>
      </c>
      <c r="M1352" s="26"/>
    </row>
    <row r="1353" spans="1:13" x14ac:dyDescent="0.25">
      <c r="A1353" s="6">
        <v>1.3921796589909901E+17</v>
      </c>
      <c r="B1353" s="31" t="s">
        <v>441</v>
      </c>
      <c r="C1353" s="32" t="str">
        <f t="shared" si="37"/>
        <v>Apr</v>
      </c>
      <c r="D1353" s="3" t="s">
        <v>9</v>
      </c>
      <c r="E1353" s="6">
        <v>285122</v>
      </c>
      <c r="F1353" s="6">
        <v>7117</v>
      </c>
      <c r="G1353" s="6">
        <v>3</v>
      </c>
      <c r="H1353" s="6">
        <v>165.04854370000001</v>
      </c>
      <c r="I1353" s="6">
        <v>4</v>
      </c>
      <c r="J1353" s="6">
        <v>170</v>
      </c>
      <c r="K1353" s="6">
        <v>47.57281553</v>
      </c>
      <c r="L1353" s="3" t="s">
        <v>46</v>
      </c>
      <c r="M1353" s="26"/>
    </row>
    <row r="1354" spans="1:13" x14ac:dyDescent="0.25">
      <c r="A1354" s="6">
        <v>1.4219685530422099E+17</v>
      </c>
      <c r="B1354" s="31" t="s">
        <v>419</v>
      </c>
      <c r="C1354" s="32" t="str">
        <f t="shared" si="37"/>
        <v>Apr</v>
      </c>
      <c r="D1354" s="3" t="s">
        <v>16</v>
      </c>
      <c r="E1354" s="6">
        <v>522257</v>
      </c>
      <c r="F1354" s="6">
        <v>7117</v>
      </c>
      <c r="G1354" s="6">
        <v>3</v>
      </c>
      <c r="H1354" s="6">
        <v>166.9902913</v>
      </c>
      <c r="I1354" s="6">
        <v>5</v>
      </c>
      <c r="J1354" s="6">
        <v>172</v>
      </c>
      <c r="K1354" s="6">
        <v>45.631067960000003</v>
      </c>
      <c r="L1354" s="3" t="s">
        <v>26</v>
      </c>
      <c r="M1354" s="26"/>
    </row>
    <row r="1355" spans="1:13" x14ac:dyDescent="0.25">
      <c r="A1355" s="6">
        <v>1.4291304907863501E+17</v>
      </c>
      <c r="B1355" s="31" t="s">
        <v>411</v>
      </c>
      <c r="C1355" s="32" t="str">
        <f t="shared" si="37"/>
        <v>Apr</v>
      </c>
      <c r="D1355" s="3" t="s">
        <v>25</v>
      </c>
      <c r="E1355" s="6">
        <v>413112</v>
      </c>
      <c r="F1355" s="6">
        <v>7117</v>
      </c>
      <c r="G1355" s="6">
        <v>3</v>
      </c>
      <c r="H1355" s="6">
        <v>163.1067961</v>
      </c>
      <c r="I1355" s="6">
        <v>4</v>
      </c>
      <c r="J1355" s="6">
        <v>168</v>
      </c>
      <c r="K1355" s="6">
        <v>45.631067960000003</v>
      </c>
      <c r="L1355" s="3" t="s">
        <v>28</v>
      </c>
      <c r="M1355" s="26"/>
    </row>
    <row r="1356" spans="1:13" x14ac:dyDescent="0.25">
      <c r="A1356" s="6">
        <v>1.4333269561118099E+17</v>
      </c>
      <c r="B1356" s="31" t="s">
        <v>406</v>
      </c>
      <c r="C1356" s="32" t="str">
        <f t="shared" si="37"/>
        <v>Apr</v>
      </c>
      <c r="D1356" s="3" t="s">
        <v>16</v>
      </c>
      <c r="E1356" s="6">
        <v>841428</v>
      </c>
      <c r="F1356" s="6">
        <v>7117</v>
      </c>
      <c r="G1356" s="6">
        <v>3</v>
      </c>
      <c r="H1356" s="6">
        <v>152.42718450000001</v>
      </c>
      <c r="I1356" s="6">
        <v>4</v>
      </c>
      <c r="J1356" s="6">
        <v>157</v>
      </c>
      <c r="K1356" s="6">
        <v>34.951456309999998</v>
      </c>
      <c r="L1356" s="3" t="s">
        <v>46</v>
      </c>
      <c r="M1356" s="26"/>
    </row>
    <row r="1357" spans="1:13" x14ac:dyDescent="0.25">
      <c r="A1357" s="6">
        <v>1.4720030703718E+17</v>
      </c>
      <c r="B1357" s="31" t="s">
        <v>415</v>
      </c>
      <c r="C1357" s="32" t="str">
        <f t="shared" si="37"/>
        <v>Apr</v>
      </c>
      <c r="D1357" s="3" t="s">
        <v>16</v>
      </c>
      <c r="E1357" s="6">
        <v>273304</v>
      </c>
      <c r="F1357" s="6">
        <v>7117</v>
      </c>
      <c r="G1357" s="6">
        <v>3</v>
      </c>
      <c r="H1357" s="6">
        <v>162.1359223</v>
      </c>
      <c r="I1357" s="6">
        <v>4</v>
      </c>
      <c r="J1357" s="6">
        <v>167</v>
      </c>
      <c r="K1357" s="6">
        <v>44.660194169999997</v>
      </c>
      <c r="L1357" s="3" t="s">
        <v>28</v>
      </c>
      <c r="M1357" s="26"/>
    </row>
    <row r="1358" spans="1:13" x14ac:dyDescent="0.25">
      <c r="A1358" s="6">
        <v>1.4336080620982099E+17</v>
      </c>
      <c r="B1358" s="31" t="s">
        <v>406</v>
      </c>
      <c r="C1358" s="32" t="str">
        <f t="shared" si="37"/>
        <v>Apr</v>
      </c>
      <c r="D1358" s="3" t="s">
        <v>16</v>
      </c>
      <c r="E1358" s="6">
        <v>805111</v>
      </c>
      <c r="F1358" s="6">
        <v>7117</v>
      </c>
      <c r="G1358" s="6">
        <v>3</v>
      </c>
      <c r="H1358" s="6">
        <v>151.45631069999999</v>
      </c>
      <c r="I1358" s="6">
        <v>4</v>
      </c>
      <c r="J1358" s="6">
        <v>156</v>
      </c>
      <c r="K1358" s="6">
        <v>33.980582519999999</v>
      </c>
      <c r="L1358" s="3" t="s">
        <v>10</v>
      </c>
      <c r="M1358" s="26"/>
    </row>
    <row r="1359" spans="1:13" x14ac:dyDescent="0.25">
      <c r="A1359" s="6">
        <v>1.3893598836241901E+17</v>
      </c>
      <c r="B1359" s="31" t="s">
        <v>600</v>
      </c>
      <c r="C1359" s="32" t="str">
        <f t="shared" si="37"/>
        <v>Apr</v>
      </c>
      <c r="D1359" s="3" t="s">
        <v>21</v>
      </c>
      <c r="E1359" s="6">
        <v>562138</v>
      </c>
      <c r="F1359" s="6">
        <v>7117</v>
      </c>
      <c r="G1359" s="6">
        <v>3</v>
      </c>
      <c r="H1359" s="6">
        <v>141.7475728</v>
      </c>
      <c r="I1359" s="6">
        <v>4</v>
      </c>
      <c r="J1359" s="6">
        <v>146</v>
      </c>
      <c r="K1359" s="6">
        <v>47.57281553</v>
      </c>
      <c r="L1359" s="3" t="s">
        <v>14</v>
      </c>
      <c r="M1359" s="26"/>
    </row>
    <row r="1360" spans="1:13" x14ac:dyDescent="0.25">
      <c r="A1360" s="6">
        <v>1.5243232709453901E+17</v>
      </c>
      <c r="B1360" s="31" t="s">
        <v>644</v>
      </c>
      <c r="C1360" s="32" t="str">
        <f t="shared" si="37"/>
        <v>May</v>
      </c>
      <c r="D1360" s="3" t="s">
        <v>9</v>
      </c>
      <c r="E1360" s="6">
        <v>843334</v>
      </c>
      <c r="F1360" s="6">
        <v>7117</v>
      </c>
      <c r="G1360" s="6">
        <v>3</v>
      </c>
      <c r="H1360" s="6">
        <v>172.81553400000001</v>
      </c>
      <c r="I1360" s="6">
        <v>5</v>
      </c>
      <c r="J1360" s="6">
        <v>178</v>
      </c>
      <c r="K1360" s="6">
        <v>51.456310680000001</v>
      </c>
      <c r="L1360" s="3" t="s">
        <v>26</v>
      </c>
      <c r="M1360" s="26"/>
    </row>
    <row r="1361" spans="1:13" x14ac:dyDescent="0.25">
      <c r="A1361" s="6">
        <v>1.5962863472486499E+17</v>
      </c>
      <c r="B1361" s="31" t="s">
        <v>646</v>
      </c>
      <c r="C1361" s="32" t="str">
        <f t="shared" si="37"/>
        <v>May</v>
      </c>
      <c r="D1361" s="3" t="s">
        <v>71</v>
      </c>
      <c r="E1361" s="6">
        <v>222136</v>
      </c>
      <c r="F1361" s="6">
        <v>7117</v>
      </c>
      <c r="G1361" s="6">
        <v>3</v>
      </c>
      <c r="H1361" s="6">
        <v>172.81553400000001</v>
      </c>
      <c r="I1361" s="6">
        <v>5</v>
      </c>
      <c r="J1361" s="6">
        <v>178</v>
      </c>
      <c r="K1361" s="6">
        <v>55.339805830000003</v>
      </c>
      <c r="L1361" s="3" t="s">
        <v>37</v>
      </c>
      <c r="M1361" s="26"/>
    </row>
    <row r="1362" spans="1:13" x14ac:dyDescent="0.25">
      <c r="A1362" s="6">
        <v>1.5667729239384499E+17</v>
      </c>
      <c r="B1362" s="31" t="s">
        <v>648</v>
      </c>
      <c r="C1362" s="32" t="str">
        <f t="shared" si="37"/>
        <v>May</v>
      </c>
      <c r="D1362" s="3" t="s">
        <v>71</v>
      </c>
      <c r="E1362" s="6">
        <v>581402</v>
      </c>
      <c r="F1362" s="6">
        <v>7117</v>
      </c>
      <c r="G1362" s="6">
        <v>3</v>
      </c>
      <c r="H1362" s="6">
        <v>137.8640777</v>
      </c>
      <c r="I1362" s="6">
        <v>4</v>
      </c>
      <c r="J1362" s="6">
        <v>142</v>
      </c>
      <c r="K1362" s="6">
        <v>40.776699030000003</v>
      </c>
      <c r="L1362" s="3" t="s">
        <v>19</v>
      </c>
      <c r="M1362" s="26"/>
    </row>
    <row r="1363" spans="1:13" x14ac:dyDescent="0.25">
      <c r="A1363" s="6">
        <v>1.5198341138497699E+17</v>
      </c>
      <c r="B1363" s="31" t="s">
        <v>650</v>
      </c>
      <c r="C1363" s="32" t="str">
        <f t="shared" si="37"/>
        <v>May</v>
      </c>
      <c r="D1363" s="3" t="s">
        <v>21</v>
      </c>
      <c r="E1363" s="6">
        <v>400607</v>
      </c>
      <c r="F1363" s="6">
        <v>7117</v>
      </c>
      <c r="G1363" s="6">
        <v>3</v>
      </c>
      <c r="H1363" s="6">
        <v>169.90291260000001</v>
      </c>
      <c r="I1363" s="6">
        <v>5</v>
      </c>
      <c r="J1363" s="6">
        <v>175</v>
      </c>
      <c r="K1363" s="6">
        <v>48.543689319999999</v>
      </c>
      <c r="L1363" s="3" t="s">
        <v>26</v>
      </c>
      <c r="M1363" s="26"/>
    </row>
    <row r="1364" spans="1:13" x14ac:dyDescent="0.25">
      <c r="A1364" s="6">
        <v>1.5883375499028301E+17</v>
      </c>
      <c r="B1364" s="31" t="s">
        <v>652</v>
      </c>
      <c r="C1364" s="32" t="str">
        <f t="shared" si="37"/>
        <v>May</v>
      </c>
      <c r="D1364" s="3" t="s">
        <v>16</v>
      </c>
      <c r="E1364" s="6">
        <v>522402</v>
      </c>
      <c r="F1364" s="6">
        <v>330410</v>
      </c>
      <c r="G1364" s="6">
        <v>18</v>
      </c>
      <c r="H1364" s="6">
        <v>185.59322030000001</v>
      </c>
      <c r="I1364" s="6">
        <v>33</v>
      </c>
      <c r="J1364" s="6">
        <v>219</v>
      </c>
      <c r="K1364" s="6">
        <v>45.762711860000003</v>
      </c>
      <c r="L1364" s="3" t="s">
        <v>10</v>
      </c>
      <c r="M1364" s="26"/>
    </row>
    <row r="1365" spans="1:13" x14ac:dyDescent="0.25">
      <c r="A1365" s="6">
        <v>1.4993126218947398E+17</v>
      </c>
      <c r="B1365" s="31" t="s">
        <v>654</v>
      </c>
      <c r="C1365" s="32" t="str">
        <f t="shared" si="37"/>
        <v>May</v>
      </c>
      <c r="D1365" s="3" t="s">
        <v>16</v>
      </c>
      <c r="E1365" s="6">
        <v>516454</v>
      </c>
      <c r="F1365" s="6">
        <v>7117</v>
      </c>
      <c r="G1365" s="6">
        <v>3</v>
      </c>
      <c r="H1365" s="6">
        <v>164.07766989999999</v>
      </c>
      <c r="I1365" s="6">
        <v>4</v>
      </c>
      <c r="J1365" s="6">
        <v>169</v>
      </c>
      <c r="K1365" s="6">
        <v>42.7184466</v>
      </c>
      <c r="L1365" s="3" t="s">
        <v>10</v>
      </c>
      <c r="M1365" s="26"/>
    </row>
    <row r="1366" spans="1:13" x14ac:dyDescent="0.25">
      <c r="A1366" s="6">
        <v>1.5049656603282899E+17</v>
      </c>
      <c r="B1366" s="31" t="s">
        <v>656</v>
      </c>
      <c r="C1366" s="32" t="str">
        <f t="shared" si="37"/>
        <v>May</v>
      </c>
      <c r="D1366" s="3" t="s">
        <v>16</v>
      </c>
      <c r="E1366" s="6">
        <v>533105</v>
      </c>
      <c r="F1366" s="6">
        <v>7117</v>
      </c>
      <c r="G1366" s="6">
        <v>3</v>
      </c>
      <c r="H1366" s="6">
        <v>160.19417480000001</v>
      </c>
      <c r="I1366" s="6">
        <v>4</v>
      </c>
      <c r="J1366" s="6">
        <v>165</v>
      </c>
      <c r="K1366" s="6">
        <v>63.106796119999998</v>
      </c>
      <c r="L1366" s="3" t="s">
        <v>22</v>
      </c>
      <c r="M1366" s="26"/>
    </row>
    <row r="1367" spans="1:13" x14ac:dyDescent="0.25">
      <c r="A1367" s="6">
        <v>1.4953276356424899E+17</v>
      </c>
      <c r="B1367" s="31" t="s">
        <v>658</v>
      </c>
      <c r="C1367" s="32" t="str">
        <f t="shared" si="37"/>
        <v>May</v>
      </c>
      <c r="D1367" s="3" t="s">
        <v>9</v>
      </c>
      <c r="E1367" s="6">
        <v>496111</v>
      </c>
      <c r="F1367" s="6">
        <v>7117</v>
      </c>
      <c r="G1367" s="6">
        <v>3</v>
      </c>
      <c r="H1367" s="6">
        <v>198.05825239999999</v>
      </c>
      <c r="I1367" s="6">
        <v>5</v>
      </c>
      <c r="J1367" s="6">
        <v>204</v>
      </c>
      <c r="K1367" s="6">
        <v>76.69902913</v>
      </c>
      <c r="L1367" s="3" t="s">
        <v>26</v>
      </c>
      <c r="M1367" s="26"/>
    </row>
    <row r="1368" spans="1:13" x14ac:dyDescent="0.25">
      <c r="A1368" s="6">
        <v>1.5009616750113901E+17</v>
      </c>
      <c r="B1368" s="31" t="s">
        <v>660</v>
      </c>
      <c r="C1368" s="32" t="str">
        <f t="shared" si="37"/>
        <v>May</v>
      </c>
      <c r="D1368" s="3" t="s">
        <v>16</v>
      </c>
      <c r="E1368" s="6">
        <v>845459</v>
      </c>
      <c r="F1368" s="6">
        <v>7117</v>
      </c>
      <c r="G1368" s="6">
        <v>3</v>
      </c>
      <c r="H1368" s="6">
        <v>179.6116505</v>
      </c>
      <c r="I1368" s="6">
        <v>5</v>
      </c>
      <c r="J1368" s="6">
        <v>185</v>
      </c>
      <c r="K1368" s="6">
        <v>38.834951459999999</v>
      </c>
      <c r="L1368" s="3" t="s">
        <v>10</v>
      </c>
      <c r="M1368" s="26"/>
    </row>
    <row r="1369" spans="1:13" x14ac:dyDescent="0.25">
      <c r="A1369" s="6">
        <v>1.5636211159172198E+17</v>
      </c>
      <c r="B1369" s="31" t="s">
        <v>662</v>
      </c>
      <c r="C1369" s="32" t="str">
        <f t="shared" si="37"/>
        <v>May</v>
      </c>
      <c r="D1369" s="3" t="s">
        <v>16</v>
      </c>
      <c r="E1369" s="6">
        <v>852214</v>
      </c>
      <c r="F1369" s="6">
        <v>7117</v>
      </c>
      <c r="G1369" s="6">
        <v>3</v>
      </c>
      <c r="H1369" s="6">
        <v>112.6213592</v>
      </c>
      <c r="I1369" s="6">
        <v>3</v>
      </c>
      <c r="J1369" s="6">
        <v>116</v>
      </c>
      <c r="K1369" s="6">
        <v>33.009708740000001</v>
      </c>
      <c r="L1369" s="3" t="s">
        <v>10</v>
      </c>
      <c r="M1369" s="26"/>
    </row>
    <row r="1370" spans="1:13" x14ac:dyDescent="0.25">
      <c r="A1370" s="6">
        <v>1.4958110672752E+17</v>
      </c>
      <c r="B1370" s="31" t="s">
        <v>658</v>
      </c>
      <c r="C1370" s="32" t="str">
        <f t="shared" si="37"/>
        <v>May</v>
      </c>
      <c r="D1370" s="3" t="s">
        <v>9</v>
      </c>
      <c r="E1370" s="6">
        <v>600039</v>
      </c>
      <c r="F1370" s="6">
        <v>7117</v>
      </c>
      <c r="G1370" s="6">
        <v>3</v>
      </c>
      <c r="H1370" s="6">
        <v>177.66990290000001</v>
      </c>
      <c r="I1370" s="6">
        <v>5</v>
      </c>
      <c r="J1370" s="6">
        <v>183</v>
      </c>
      <c r="K1370" s="6">
        <v>56.310679610000001</v>
      </c>
      <c r="L1370" s="3" t="s">
        <v>22</v>
      </c>
      <c r="M1370" s="26"/>
    </row>
    <row r="1371" spans="1:13" x14ac:dyDescent="0.25">
      <c r="A1371" s="6">
        <v>1.5484587918502E+17</v>
      </c>
      <c r="B1371" s="31" t="s">
        <v>665</v>
      </c>
      <c r="C1371" s="32" t="str">
        <f t="shared" si="37"/>
        <v>May</v>
      </c>
      <c r="D1371" s="3" t="s">
        <v>25</v>
      </c>
      <c r="E1371" s="6">
        <v>841428</v>
      </c>
      <c r="F1371" s="6">
        <v>7117</v>
      </c>
      <c r="G1371" s="6">
        <v>3</v>
      </c>
      <c r="H1371" s="6">
        <v>152.42718450000001</v>
      </c>
      <c r="I1371" s="6">
        <v>4</v>
      </c>
      <c r="J1371" s="6">
        <v>157</v>
      </c>
      <c r="K1371" s="6">
        <v>33.980582519999999</v>
      </c>
      <c r="L1371" s="3" t="s">
        <v>39</v>
      </c>
      <c r="M1371" s="26"/>
    </row>
    <row r="1372" spans="1:13" x14ac:dyDescent="0.25">
      <c r="A1372" s="6">
        <v>1.5056603176517798E+17</v>
      </c>
      <c r="B1372" s="31" t="s">
        <v>656</v>
      </c>
      <c r="C1372" s="32" t="str">
        <f t="shared" si="37"/>
        <v>May</v>
      </c>
      <c r="D1372" s="3" t="s">
        <v>16</v>
      </c>
      <c r="E1372" s="6">
        <v>502307</v>
      </c>
      <c r="F1372" s="6">
        <v>7117</v>
      </c>
      <c r="G1372" s="6">
        <v>3</v>
      </c>
      <c r="H1372" s="6">
        <v>157.28155340000001</v>
      </c>
      <c r="I1372" s="6">
        <v>4</v>
      </c>
      <c r="J1372" s="6">
        <v>162</v>
      </c>
      <c r="K1372" s="6">
        <v>43.689320389999999</v>
      </c>
      <c r="L1372" s="3" t="s">
        <v>41</v>
      </c>
      <c r="M1372" s="26"/>
    </row>
    <row r="1373" spans="1:13" x14ac:dyDescent="0.25">
      <c r="A1373" s="6">
        <v>1.55619161760932E+17</v>
      </c>
      <c r="B1373" s="31" t="s">
        <v>668</v>
      </c>
      <c r="C1373" s="32" t="str">
        <f t="shared" si="37"/>
        <v>May</v>
      </c>
      <c r="D1373" s="3" t="s">
        <v>9</v>
      </c>
      <c r="E1373" s="6">
        <v>700150</v>
      </c>
      <c r="F1373" s="6">
        <v>7117</v>
      </c>
      <c r="G1373" s="6">
        <v>3</v>
      </c>
      <c r="H1373" s="6">
        <v>160.19417480000001</v>
      </c>
      <c r="I1373" s="6">
        <v>4</v>
      </c>
      <c r="J1373" s="6">
        <v>165</v>
      </c>
      <c r="K1373" s="6">
        <v>38.834951459999999</v>
      </c>
      <c r="L1373" s="3" t="s">
        <v>22</v>
      </c>
      <c r="M1373" s="26"/>
    </row>
    <row r="1374" spans="1:13" x14ac:dyDescent="0.25">
      <c r="A1374" s="6">
        <v>1.5421109540861501E+17</v>
      </c>
      <c r="B1374" s="31" t="s">
        <v>670</v>
      </c>
      <c r="C1374" s="32" t="str">
        <f t="shared" si="37"/>
        <v>May</v>
      </c>
      <c r="D1374" s="3" t="s">
        <v>16</v>
      </c>
      <c r="E1374" s="6">
        <v>229127</v>
      </c>
      <c r="F1374" s="6">
        <v>7117</v>
      </c>
      <c r="G1374" s="6">
        <v>3</v>
      </c>
      <c r="H1374" s="6">
        <v>148.54368930000001</v>
      </c>
      <c r="I1374" s="6">
        <v>4</v>
      </c>
      <c r="J1374" s="6">
        <v>153</v>
      </c>
      <c r="K1374" s="6">
        <v>40.776699030000003</v>
      </c>
      <c r="L1374" s="3" t="s">
        <v>23</v>
      </c>
      <c r="M1374" s="26"/>
    </row>
    <row r="1375" spans="1:13" x14ac:dyDescent="0.25">
      <c r="A1375" s="6">
        <v>1.5787492246980701E+17</v>
      </c>
      <c r="B1375" s="31" t="s">
        <v>672</v>
      </c>
      <c r="C1375" s="32" t="str">
        <f t="shared" si="37"/>
        <v>May</v>
      </c>
      <c r="D1375" s="3" t="s">
        <v>16</v>
      </c>
      <c r="E1375" s="6">
        <v>276201</v>
      </c>
      <c r="F1375" s="6">
        <v>7117</v>
      </c>
      <c r="G1375" s="6">
        <v>3</v>
      </c>
      <c r="H1375" s="6">
        <v>157.28155340000001</v>
      </c>
      <c r="I1375" s="6">
        <v>4</v>
      </c>
      <c r="J1375" s="6">
        <v>162</v>
      </c>
      <c r="K1375" s="6">
        <v>39.805825239999997</v>
      </c>
      <c r="L1375" s="3" t="s">
        <v>19</v>
      </c>
      <c r="M1375" s="26"/>
    </row>
    <row r="1376" spans="1:13" x14ac:dyDescent="0.25">
      <c r="A1376" s="6">
        <v>1.58829840651332E+17</v>
      </c>
      <c r="B1376" s="31" t="s">
        <v>652</v>
      </c>
      <c r="C1376" s="32" t="str">
        <f t="shared" si="37"/>
        <v>May</v>
      </c>
      <c r="D1376" s="3" t="s">
        <v>9</v>
      </c>
      <c r="E1376" s="6">
        <v>721305</v>
      </c>
      <c r="F1376" s="6">
        <v>7117</v>
      </c>
      <c r="G1376" s="6">
        <v>3</v>
      </c>
      <c r="H1376" s="6">
        <v>194.17475730000001</v>
      </c>
      <c r="I1376" s="6">
        <v>5</v>
      </c>
      <c r="J1376" s="6">
        <v>200</v>
      </c>
      <c r="K1376" s="6">
        <v>53.398058249999998</v>
      </c>
      <c r="L1376" s="3" t="s">
        <v>54</v>
      </c>
      <c r="M1376" s="26"/>
    </row>
    <row r="1377" spans="1:13" x14ac:dyDescent="0.25">
      <c r="A1377" s="6">
        <v>1.5881350846776301E+17</v>
      </c>
      <c r="B1377" s="31" t="s">
        <v>652</v>
      </c>
      <c r="C1377" s="32" t="str">
        <f t="shared" si="37"/>
        <v>May</v>
      </c>
      <c r="D1377" s="3" t="s">
        <v>9</v>
      </c>
      <c r="E1377" s="6">
        <v>560076</v>
      </c>
      <c r="F1377" s="6">
        <v>7117</v>
      </c>
      <c r="G1377" s="6">
        <v>3</v>
      </c>
      <c r="H1377" s="6">
        <v>172.81553400000001</v>
      </c>
      <c r="I1377" s="6">
        <v>5</v>
      </c>
      <c r="J1377" s="6">
        <v>178</v>
      </c>
      <c r="K1377" s="6">
        <v>55.339805830000003</v>
      </c>
      <c r="L1377" s="3" t="s">
        <v>27</v>
      </c>
      <c r="M1377" s="26"/>
    </row>
    <row r="1378" spans="1:13" x14ac:dyDescent="0.25">
      <c r="A1378" s="6">
        <v>1.58274156985668E+17</v>
      </c>
      <c r="B1378" s="31" t="s">
        <v>676</v>
      </c>
      <c r="C1378" s="32" t="str">
        <f t="shared" si="37"/>
        <v>May</v>
      </c>
      <c r="D1378" s="3" t="s">
        <v>16</v>
      </c>
      <c r="E1378" s="6">
        <v>400011</v>
      </c>
      <c r="F1378" s="6">
        <v>7117</v>
      </c>
      <c r="G1378" s="6">
        <v>3</v>
      </c>
      <c r="H1378" s="6">
        <v>171.84466019999999</v>
      </c>
      <c r="I1378" s="6">
        <v>5</v>
      </c>
      <c r="J1378" s="6">
        <v>177</v>
      </c>
      <c r="K1378" s="6">
        <v>50.485436890000003</v>
      </c>
      <c r="L1378" s="3" t="s">
        <v>46</v>
      </c>
      <c r="M1378" s="26"/>
    </row>
    <row r="1379" spans="1:13" x14ac:dyDescent="0.25">
      <c r="A1379" s="6">
        <v>1.5889521659671901E+17</v>
      </c>
      <c r="B1379" s="31" t="s">
        <v>652</v>
      </c>
      <c r="C1379" s="32" t="str">
        <f t="shared" si="37"/>
        <v>May</v>
      </c>
      <c r="D1379" s="3" t="s">
        <v>21</v>
      </c>
      <c r="E1379" s="6">
        <v>842002</v>
      </c>
      <c r="F1379" s="6">
        <v>7117</v>
      </c>
      <c r="G1379" s="6">
        <v>3</v>
      </c>
      <c r="H1379" s="6">
        <v>166.0194175</v>
      </c>
      <c r="I1379" s="6">
        <v>4</v>
      </c>
      <c r="J1379" s="6">
        <v>171</v>
      </c>
      <c r="K1379" s="6">
        <v>47.57281553</v>
      </c>
      <c r="L1379" s="3" t="s">
        <v>22</v>
      </c>
      <c r="M1379" s="26"/>
    </row>
    <row r="1380" spans="1:13" x14ac:dyDescent="0.25">
      <c r="A1380" s="6">
        <v>1.56558135283232E+17</v>
      </c>
      <c r="B1380" s="31" t="s">
        <v>648</v>
      </c>
      <c r="C1380" s="32" t="str">
        <f t="shared" si="37"/>
        <v>May</v>
      </c>
      <c r="D1380" s="3" t="s">
        <v>25</v>
      </c>
      <c r="E1380" s="6">
        <v>413211</v>
      </c>
      <c r="F1380" s="6">
        <v>7117</v>
      </c>
      <c r="G1380" s="6">
        <v>3</v>
      </c>
      <c r="H1380" s="6">
        <v>174.7572816</v>
      </c>
      <c r="I1380" s="6">
        <v>5</v>
      </c>
      <c r="J1380" s="6">
        <v>180</v>
      </c>
      <c r="K1380" s="6">
        <v>53.398058249999998</v>
      </c>
      <c r="L1380" s="3" t="s">
        <v>54</v>
      </c>
      <c r="M1380" s="26"/>
    </row>
    <row r="1381" spans="1:13" x14ac:dyDescent="0.25">
      <c r="A1381" s="6">
        <v>1.5514623344126099E+17</v>
      </c>
      <c r="B1381" s="31" t="s">
        <v>680</v>
      </c>
      <c r="C1381" s="32" t="str">
        <f t="shared" si="37"/>
        <v>May</v>
      </c>
      <c r="D1381" s="3" t="s">
        <v>21</v>
      </c>
      <c r="E1381" s="6">
        <v>136026</v>
      </c>
      <c r="F1381" s="6">
        <v>7117</v>
      </c>
      <c r="G1381" s="6">
        <v>3</v>
      </c>
      <c r="H1381" s="6">
        <v>159.22330099999999</v>
      </c>
      <c r="I1381" s="6">
        <v>4</v>
      </c>
      <c r="J1381" s="6">
        <v>164</v>
      </c>
      <c r="K1381" s="6">
        <v>47.57281553</v>
      </c>
      <c r="L1381" s="3" t="s">
        <v>10</v>
      </c>
      <c r="M1381" s="26"/>
    </row>
    <row r="1382" spans="1:13" x14ac:dyDescent="0.25">
      <c r="A1382" s="6">
        <v>1.4952951365937101E+17</v>
      </c>
      <c r="B1382" s="31" t="s">
        <v>658</v>
      </c>
      <c r="C1382" s="32" t="str">
        <f t="shared" si="37"/>
        <v>May</v>
      </c>
      <c r="D1382" s="3" t="s">
        <v>16</v>
      </c>
      <c r="E1382" s="6">
        <v>210126</v>
      </c>
      <c r="F1382" s="6">
        <v>7117</v>
      </c>
      <c r="G1382" s="6">
        <v>3</v>
      </c>
      <c r="H1382" s="6">
        <v>158.2524272</v>
      </c>
      <c r="I1382" s="6">
        <v>4</v>
      </c>
      <c r="J1382" s="6">
        <v>163</v>
      </c>
      <c r="K1382" s="6">
        <v>40.776699030000003</v>
      </c>
      <c r="L1382" s="3" t="s">
        <v>22</v>
      </c>
      <c r="M1382" s="26"/>
    </row>
    <row r="1383" spans="1:13" x14ac:dyDescent="0.25">
      <c r="A1383" s="6">
        <v>1.5204650359891699E+17</v>
      </c>
      <c r="B1383" s="31" t="s">
        <v>650</v>
      </c>
      <c r="C1383" s="32" t="str">
        <f t="shared" si="37"/>
        <v>May</v>
      </c>
      <c r="D1383" s="3" t="s">
        <v>25</v>
      </c>
      <c r="E1383" s="6">
        <v>535593</v>
      </c>
      <c r="F1383" s="6">
        <v>7117</v>
      </c>
      <c r="G1383" s="6">
        <v>3</v>
      </c>
      <c r="H1383" s="6">
        <v>180.58252429999999</v>
      </c>
      <c r="I1383" s="6">
        <v>5</v>
      </c>
      <c r="J1383" s="6">
        <v>186</v>
      </c>
      <c r="K1383" s="6">
        <v>39.805825239999997</v>
      </c>
      <c r="L1383" s="3" t="s">
        <v>27</v>
      </c>
      <c r="M1383" s="26"/>
    </row>
    <row r="1384" spans="1:13" x14ac:dyDescent="0.25">
      <c r="A1384" s="6">
        <v>1.56725706036948E+17</v>
      </c>
      <c r="B1384" s="31" t="s">
        <v>648</v>
      </c>
      <c r="C1384" s="32" t="str">
        <f t="shared" si="37"/>
        <v>May</v>
      </c>
      <c r="D1384" s="3" t="s">
        <v>25</v>
      </c>
      <c r="E1384" s="6">
        <v>203396</v>
      </c>
      <c r="F1384" s="6">
        <v>7117</v>
      </c>
      <c r="G1384" s="6">
        <v>3</v>
      </c>
      <c r="H1384" s="6">
        <v>212.6213592</v>
      </c>
      <c r="I1384" s="6">
        <v>6</v>
      </c>
      <c r="J1384" s="6">
        <v>219</v>
      </c>
      <c r="K1384" s="6">
        <v>47.57281553</v>
      </c>
      <c r="L1384" s="3" t="s">
        <v>10</v>
      </c>
      <c r="M1384" s="26"/>
    </row>
    <row r="1385" spans="1:13" x14ac:dyDescent="0.25">
      <c r="A1385" s="6">
        <v>1.5423859171010099E+17</v>
      </c>
      <c r="B1385" s="31" t="s">
        <v>670</v>
      </c>
      <c r="C1385" s="32" t="str">
        <f t="shared" si="37"/>
        <v>May</v>
      </c>
      <c r="D1385" s="3" t="s">
        <v>25</v>
      </c>
      <c r="E1385" s="6">
        <v>855108</v>
      </c>
      <c r="F1385" s="6">
        <v>7117</v>
      </c>
      <c r="G1385" s="6">
        <v>3</v>
      </c>
      <c r="H1385" s="6">
        <v>277.66990290000001</v>
      </c>
      <c r="I1385" s="6">
        <v>8</v>
      </c>
      <c r="J1385" s="6">
        <v>286</v>
      </c>
      <c r="K1385" s="6">
        <v>54.368932039999997</v>
      </c>
      <c r="L1385" s="3" t="s">
        <v>22</v>
      </c>
      <c r="M1385" s="26"/>
    </row>
    <row r="1386" spans="1:13" x14ac:dyDescent="0.25">
      <c r="A1386" s="6">
        <v>1.59672189728688E+17</v>
      </c>
      <c r="B1386" s="31" t="s">
        <v>646</v>
      </c>
      <c r="C1386" s="32" t="str">
        <f t="shared" si="37"/>
        <v>May</v>
      </c>
      <c r="D1386" s="3" t="s">
        <v>21</v>
      </c>
      <c r="E1386" s="6">
        <v>271801</v>
      </c>
      <c r="F1386" s="6">
        <v>7117</v>
      </c>
      <c r="G1386" s="6">
        <v>3</v>
      </c>
      <c r="H1386" s="6">
        <v>137.8640777</v>
      </c>
      <c r="I1386" s="6">
        <v>4</v>
      </c>
      <c r="J1386" s="6">
        <v>142</v>
      </c>
      <c r="K1386" s="6">
        <v>33.980582519999999</v>
      </c>
      <c r="L1386" s="3" t="s">
        <v>19</v>
      </c>
      <c r="M1386" s="26"/>
    </row>
    <row r="1387" spans="1:13" x14ac:dyDescent="0.25">
      <c r="A1387" s="6">
        <v>1.5815894106174499E+17</v>
      </c>
      <c r="B1387" s="31" t="s">
        <v>676</v>
      </c>
      <c r="C1387" s="32" t="str">
        <f t="shared" si="37"/>
        <v>May</v>
      </c>
      <c r="D1387" s="3" t="s">
        <v>9</v>
      </c>
      <c r="E1387" s="6">
        <v>122508</v>
      </c>
      <c r="F1387" s="6">
        <v>7117</v>
      </c>
      <c r="G1387" s="6">
        <v>3</v>
      </c>
      <c r="H1387" s="6">
        <v>285.43689319999999</v>
      </c>
      <c r="I1387" s="6">
        <v>8</v>
      </c>
      <c r="J1387" s="6">
        <v>294</v>
      </c>
      <c r="K1387" s="6">
        <v>97.087378639999997</v>
      </c>
      <c r="L1387" s="3" t="s">
        <v>46</v>
      </c>
      <c r="M1387" s="26"/>
    </row>
    <row r="1388" spans="1:13" x14ac:dyDescent="0.25">
      <c r="A1388" s="6">
        <v>1.5990418468146598E+17</v>
      </c>
      <c r="B1388" s="31" t="s">
        <v>688</v>
      </c>
      <c r="C1388" s="32" t="str">
        <f t="shared" si="37"/>
        <v>May</v>
      </c>
      <c r="D1388" s="3" t="s">
        <v>25</v>
      </c>
      <c r="E1388" s="6">
        <v>444806</v>
      </c>
      <c r="F1388" s="6">
        <v>7117</v>
      </c>
      <c r="G1388" s="6">
        <v>3</v>
      </c>
      <c r="H1388" s="6">
        <v>163.1067961</v>
      </c>
      <c r="I1388" s="6">
        <v>4</v>
      </c>
      <c r="J1388" s="6">
        <v>168</v>
      </c>
      <c r="K1388" s="6">
        <v>45.631067960000003</v>
      </c>
      <c r="L1388" s="3" t="s">
        <v>10</v>
      </c>
      <c r="M1388" s="26"/>
    </row>
    <row r="1389" spans="1:13" x14ac:dyDescent="0.25">
      <c r="A1389" s="6">
        <v>1.5704038869470499E+17</v>
      </c>
      <c r="B1389" s="31" t="s">
        <v>690</v>
      </c>
      <c r="C1389" s="32" t="str">
        <f t="shared" si="37"/>
        <v>May</v>
      </c>
      <c r="D1389" s="3" t="s">
        <v>9</v>
      </c>
      <c r="E1389" s="6">
        <v>361315</v>
      </c>
      <c r="F1389" s="6">
        <v>7117</v>
      </c>
      <c r="G1389" s="6">
        <v>3</v>
      </c>
      <c r="H1389" s="6">
        <v>267.96116499999999</v>
      </c>
      <c r="I1389" s="6">
        <v>8</v>
      </c>
      <c r="J1389" s="6">
        <v>276</v>
      </c>
      <c r="K1389" s="6">
        <v>54.368932039999997</v>
      </c>
      <c r="L1389" s="3" t="s">
        <v>22</v>
      </c>
      <c r="M1389" s="26"/>
    </row>
    <row r="1390" spans="1:13" x14ac:dyDescent="0.25">
      <c r="A1390" s="6">
        <v>1.5889659138471299E+17</v>
      </c>
      <c r="B1390" s="31" t="s">
        <v>652</v>
      </c>
      <c r="C1390" s="32" t="str">
        <f t="shared" si="37"/>
        <v>May</v>
      </c>
      <c r="D1390" s="3" t="s">
        <v>16</v>
      </c>
      <c r="E1390" s="6">
        <v>324001</v>
      </c>
      <c r="F1390" s="6">
        <v>7117</v>
      </c>
      <c r="G1390" s="6">
        <v>3</v>
      </c>
      <c r="H1390" s="6">
        <v>153.3980583</v>
      </c>
      <c r="I1390" s="6">
        <v>4</v>
      </c>
      <c r="J1390" s="6">
        <v>158</v>
      </c>
      <c r="K1390" s="6">
        <v>49.514563109999997</v>
      </c>
      <c r="L1390" s="3" t="s">
        <v>22</v>
      </c>
      <c r="M1390" s="26"/>
    </row>
    <row r="1391" spans="1:13" x14ac:dyDescent="0.25">
      <c r="A1391" s="6">
        <v>1.5416295772597101E+17</v>
      </c>
      <c r="B1391" s="31" t="s">
        <v>670</v>
      </c>
      <c r="C1391" s="32" t="str">
        <f t="shared" si="37"/>
        <v>May</v>
      </c>
      <c r="D1391" s="3" t="s">
        <v>16</v>
      </c>
      <c r="E1391" s="6">
        <v>516127</v>
      </c>
      <c r="F1391" s="6">
        <v>7117</v>
      </c>
      <c r="G1391" s="6">
        <v>3</v>
      </c>
      <c r="H1391" s="6">
        <v>166.9902913</v>
      </c>
      <c r="I1391" s="6">
        <v>5</v>
      </c>
      <c r="J1391" s="6">
        <v>172</v>
      </c>
      <c r="K1391" s="6">
        <v>45.631067960000003</v>
      </c>
      <c r="L1391" s="3" t="s">
        <v>10</v>
      </c>
      <c r="M1391" s="26"/>
    </row>
    <row r="1392" spans="1:13" x14ac:dyDescent="0.25">
      <c r="A1392" s="6">
        <v>1.5381084663917501E+17</v>
      </c>
      <c r="B1392" s="31" t="s">
        <v>694</v>
      </c>
      <c r="C1392" s="32" t="str">
        <f t="shared" si="37"/>
        <v>May</v>
      </c>
      <c r="D1392" s="3" t="s">
        <v>25</v>
      </c>
      <c r="E1392" s="6">
        <v>532001</v>
      </c>
      <c r="F1392" s="6">
        <v>7117</v>
      </c>
      <c r="G1392" s="6">
        <v>3</v>
      </c>
      <c r="H1392" s="6">
        <v>169.90291260000001</v>
      </c>
      <c r="I1392" s="6">
        <v>5</v>
      </c>
      <c r="J1392" s="6">
        <v>175</v>
      </c>
      <c r="K1392" s="6">
        <v>48.543689319999999</v>
      </c>
      <c r="L1392" s="3" t="s">
        <v>39</v>
      </c>
      <c r="M1392" s="26"/>
    </row>
    <row r="1393" spans="1:13" x14ac:dyDescent="0.25">
      <c r="A1393" s="6">
        <v>1.55743563505304E+17</v>
      </c>
      <c r="B1393" s="31" t="s">
        <v>668</v>
      </c>
      <c r="C1393" s="32" t="str">
        <f t="shared" si="37"/>
        <v>May</v>
      </c>
      <c r="D1393" s="3" t="s">
        <v>16</v>
      </c>
      <c r="E1393" s="6">
        <v>209729</v>
      </c>
      <c r="F1393" s="6">
        <v>7117</v>
      </c>
      <c r="G1393" s="6">
        <v>3</v>
      </c>
      <c r="H1393" s="6">
        <v>164.07766989999999</v>
      </c>
      <c r="I1393" s="6">
        <v>4</v>
      </c>
      <c r="J1393" s="6">
        <v>169</v>
      </c>
      <c r="K1393" s="6">
        <v>46.601941750000002</v>
      </c>
      <c r="L1393" s="3" t="s">
        <v>10</v>
      </c>
      <c r="M1393" s="26"/>
    </row>
    <row r="1394" spans="1:13" x14ac:dyDescent="0.25">
      <c r="A1394" s="6">
        <v>1.5968751121920998E+17</v>
      </c>
      <c r="B1394" s="31" t="s">
        <v>646</v>
      </c>
      <c r="C1394" s="32" t="str">
        <f t="shared" si="37"/>
        <v>May</v>
      </c>
      <c r="D1394" s="3" t="s">
        <v>16</v>
      </c>
      <c r="E1394" s="6">
        <v>400103</v>
      </c>
      <c r="F1394" s="6">
        <v>7117</v>
      </c>
      <c r="G1394" s="6">
        <v>3</v>
      </c>
      <c r="H1394" s="6">
        <v>157.28155340000001</v>
      </c>
      <c r="I1394" s="6">
        <v>4</v>
      </c>
      <c r="J1394" s="6">
        <v>162</v>
      </c>
      <c r="K1394" s="6">
        <v>38.834951459999999</v>
      </c>
      <c r="L1394" s="3" t="s">
        <v>39</v>
      </c>
      <c r="M1394" s="26"/>
    </row>
    <row r="1395" spans="1:13" x14ac:dyDescent="0.25">
      <c r="A1395" s="6">
        <v>1.5025382416132099E+17</v>
      </c>
      <c r="B1395" s="31" t="s">
        <v>660</v>
      </c>
      <c r="C1395" s="32" t="str">
        <f t="shared" si="37"/>
        <v>May</v>
      </c>
      <c r="D1395" s="3" t="s">
        <v>21</v>
      </c>
      <c r="E1395" s="6">
        <v>852210</v>
      </c>
      <c r="F1395" s="6">
        <v>7117</v>
      </c>
      <c r="G1395" s="6">
        <v>3</v>
      </c>
      <c r="H1395" s="6">
        <v>146.6019417</v>
      </c>
      <c r="I1395" s="6">
        <v>4</v>
      </c>
      <c r="J1395" s="6">
        <v>151</v>
      </c>
      <c r="K1395" s="6">
        <v>42.7184466</v>
      </c>
      <c r="L1395" s="3" t="s">
        <v>10</v>
      </c>
      <c r="M1395" s="26"/>
    </row>
    <row r="1396" spans="1:13" x14ac:dyDescent="0.25">
      <c r="A1396" s="6">
        <v>1.5015502342190202E+17</v>
      </c>
      <c r="B1396" s="31" t="s">
        <v>660</v>
      </c>
      <c r="C1396" s="32" t="str">
        <f t="shared" si="37"/>
        <v>May</v>
      </c>
      <c r="D1396" s="3" t="s">
        <v>16</v>
      </c>
      <c r="E1396" s="6">
        <v>284002</v>
      </c>
      <c r="F1396" s="6">
        <v>7117</v>
      </c>
      <c r="G1396" s="6">
        <v>3</v>
      </c>
      <c r="H1396" s="6">
        <v>177.66990290000001</v>
      </c>
      <c r="I1396" s="6">
        <v>5</v>
      </c>
      <c r="J1396" s="6">
        <v>183</v>
      </c>
      <c r="K1396" s="6">
        <v>56.310679610000001</v>
      </c>
      <c r="L1396" s="3" t="s">
        <v>54</v>
      </c>
      <c r="M1396" s="26"/>
    </row>
    <row r="1397" spans="1:13" x14ac:dyDescent="0.25">
      <c r="A1397" s="6">
        <v>1.5410921576080998E+17</v>
      </c>
      <c r="B1397" s="31" t="s">
        <v>670</v>
      </c>
      <c r="C1397" s="32" t="str">
        <f t="shared" si="37"/>
        <v>May</v>
      </c>
      <c r="D1397" s="3" t="s">
        <v>16</v>
      </c>
      <c r="E1397" s="6">
        <v>261001</v>
      </c>
      <c r="F1397" s="6">
        <v>7117</v>
      </c>
      <c r="G1397" s="6">
        <v>3</v>
      </c>
      <c r="H1397" s="6">
        <v>146.6019417</v>
      </c>
      <c r="I1397" s="6">
        <v>4</v>
      </c>
      <c r="J1397" s="6">
        <v>151</v>
      </c>
      <c r="K1397" s="6">
        <v>42.7184466</v>
      </c>
      <c r="L1397" s="3" t="s">
        <v>10</v>
      </c>
      <c r="M1397" s="26"/>
    </row>
    <row r="1398" spans="1:13" x14ac:dyDescent="0.25">
      <c r="A1398" s="6">
        <v>1.5128341001414499E+17</v>
      </c>
      <c r="B1398" s="31" t="s">
        <v>701</v>
      </c>
      <c r="C1398" s="32" t="str">
        <f t="shared" si="37"/>
        <v>May</v>
      </c>
      <c r="D1398" s="3" t="s">
        <v>52</v>
      </c>
      <c r="E1398" s="6">
        <v>228001</v>
      </c>
      <c r="F1398" s="6">
        <v>7117</v>
      </c>
      <c r="G1398" s="6">
        <v>3</v>
      </c>
      <c r="H1398" s="6">
        <v>155.33980579999999</v>
      </c>
      <c r="I1398" s="6">
        <v>4</v>
      </c>
      <c r="J1398" s="6">
        <v>160</v>
      </c>
      <c r="K1398" s="6">
        <v>51.456310680000001</v>
      </c>
      <c r="L1398" s="3" t="s">
        <v>39</v>
      </c>
      <c r="M1398" s="26"/>
    </row>
    <row r="1399" spans="1:13" x14ac:dyDescent="0.25">
      <c r="A1399" s="6">
        <v>1.60259110221196E+17</v>
      </c>
      <c r="B1399" s="31" t="s">
        <v>703</v>
      </c>
      <c r="C1399" s="32" t="str">
        <f t="shared" si="37"/>
        <v>May</v>
      </c>
      <c r="D1399" s="3" t="s">
        <v>33</v>
      </c>
      <c r="E1399" s="6">
        <v>560066</v>
      </c>
      <c r="F1399" s="6">
        <v>7117</v>
      </c>
      <c r="G1399" s="6">
        <v>3</v>
      </c>
      <c r="H1399" s="6">
        <v>152.42718450000001</v>
      </c>
      <c r="I1399" s="6">
        <v>4</v>
      </c>
      <c r="J1399" s="6">
        <v>157</v>
      </c>
      <c r="K1399" s="6">
        <v>55.339805830000003</v>
      </c>
      <c r="L1399" s="3" t="s">
        <v>14</v>
      </c>
      <c r="M1399" s="26"/>
    </row>
    <row r="1400" spans="1:13" x14ac:dyDescent="0.25">
      <c r="A1400" s="6">
        <v>1.5049686433609299E+17</v>
      </c>
      <c r="B1400" s="31" t="s">
        <v>656</v>
      </c>
      <c r="C1400" s="32" t="str">
        <f t="shared" si="37"/>
        <v>May</v>
      </c>
      <c r="D1400" s="3" t="s">
        <v>16</v>
      </c>
      <c r="E1400" s="6">
        <v>276403</v>
      </c>
      <c r="F1400" s="6">
        <v>7117</v>
      </c>
      <c r="G1400" s="6">
        <v>3</v>
      </c>
      <c r="H1400" s="6">
        <v>166.9902913</v>
      </c>
      <c r="I1400" s="6">
        <v>5</v>
      </c>
      <c r="J1400" s="6">
        <v>172</v>
      </c>
      <c r="K1400" s="6">
        <v>53.398058249999998</v>
      </c>
      <c r="L1400" s="3" t="s">
        <v>17</v>
      </c>
      <c r="M1400" s="26"/>
    </row>
    <row r="1401" spans="1:13" x14ac:dyDescent="0.25">
      <c r="A1401" s="6">
        <v>1.4976556335782701E+17</v>
      </c>
      <c r="B1401" s="31" t="s">
        <v>654</v>
      </c>
      <c r="C1401" s="32" t="str">
        <f t="shared" si="37"/>
        <v>May</v>
      </c>
      <c r="D1401" s="3" t="s">
        <v>9</v>
      </c>
      <c r="E1401" s="6">
        <v>845426</v>
      </c>
      <c r="F1401" s="6">
        <v>7117</v>
      </c>
      <c r="G1401" s="6">
        <v>3</v>
      </c>
      <c r="H1401" s="6">
        <v>169.90291260000001</v>
      </c>
      <c r="I1401" s="6">
        <v>5</v>
      </c>
      <c r="J1401" s="6">
        <v>175</v>
      </c>
      <c r="K1401" s="6">
        <v>48.543689319999999</v>
      </c>
      <c r="L1401" s="3" t="s">
        <v>22</v>
      </c>
      <c r="M1401" s="26"/>
    </row>
    <row r="1402" spans="1:13" x14ac:dyDescent="0.25">
      <c r="A1402" s="6">
        <v>1.4941757739961699E+17</v>
      </c>
      <c r="B1402" s="31" t="s">
        <v>658</v>
      </c>
      <c r="C1402" s="32" t="str">
        <f t="shared" si="37"/>
        <v>May</v>
      </c>
      <c r="D1402" s="3" t="s">
        <v>9</v>
      </c>
      <c r="E1402" s="6">
        <v>560058</v>
      </c>
      <c r="F1402" s="6">
        <v>7117</v>
      </c>
      <c r="G1402" s="6">
        <v>3</v>
      </c>
      <c r="H1402" s="6">
        <v>174.7572816</v>
      </c>
      <c r="I1402" s="6">
        <v>5</v>
      </c>
      <c r="J1402" s="6">
        <v>180</v>
      </c>
      <c r="K1402" s="6">
        <v>53.398058249999998</v>
      </c>
      <c r="L1402" s="3" t="s">
        <v>23</v>
      </c>
      <c r="M1402" s="26"/>
    </row>
    <row r="1403" spans="1:13" x14ac:dyDescent="0.25">
      <c r="A1403" s="6">
        <v>1.4945764935555699E+17</v>
      </c>
      <c r="B1403" s="31" t="s">
        <v>658</v>
      </c>
      <c r="C1403" s="32" t="str">
        <f t="shared" si="37"/>
        <v>May</v>
      </c>
      <c r="D1403" s="3" t="s">
        <v>21</v>
      </c>
      <c r="E1403" s="6">
        <v>144004</v>
      </c>
      <c r="F1403" s="6">
        <v>7117</v>
      </c>
      <c r="G1403" s="6">
        <v>3</v>
      </c>
      <c r="H1403" s="6">
        <v>157.28155340000001</v>
      </c>
      <c r="I1403" s="6">
        <v>4</v>
      </c>
      <c r="J1403" s="6">
        <v>162</v>
      </c>
      <c r="K1403" s="6">
        <v>53.398058249999998</v>
      </c>
      <c r="L1403" s="3" t="s">
        <v>14</v>
      </c>
      <c r="M1403" s="26"/>
    </row>
    <row r="1404" spans="1:13" x14ac:dyDescent="0.25">
      <c r="A1404" s="6">
        <v>1.4992803414825798E+17</v>
      </c>
      <c r="B1404" s="31" t="s">
        <v>654</v>
      </c>
      <c r="C1404" s="32" t="str">
        <f t="shared" si="37"/>
        <v>May</v>
      </c>
      <c r="D1404" s="3" t="s">
        <v>16</v>
      </c>
      <c r="E1404" s="6">
        <v>284202</v>
      </c>
      <c r="F1404" s="6">
        <v>7117</v>
      </c>
      <c r="G1404" s="6">
        <v>3</v>
      </c>
      <c r="H1404" s="6">
        <v>164.07766989999999</v>
      </c>
      <c r="I1404" s="6">
        <v>4</v>
      </c>
      <c r="J1404" s="6">
        <v>169</v>
      </c>
      <c r="K1404" s="6">
        <v>46.601941750000002</v>
      </c>
      <c r="L1404" s="3" t="s">
        <v>28</v>
      </c>
      <c r="M1404" s="26"/>
    </row>
    <row r="1405" spans="1:13" x14ac:dyDescent="0.25">
      <c r="A1405" s="6">
        <v>1.50177559548168E+17</v>
      </c>
      <c r="B1405" s="31" t="s">
        <v>660</v>
      </c>
      <c r="C1405" s="32" t="str">
        <f t="shared" si="37"/>
        <v>May</v>
      </c>
      <c r="D1405" s="3" t="s">
        <v>16</v>
      </c>
      <c r="E1405" s="6">
        <v>222137</v>
      </c>
      <c r="F1405" s="6">
        <v>7117</v>
      </c>
      <c r="G1405" s="6">
        <v>3</v>
      </c>
      <c r="H1405" s="6">
        <v>164.07766989999999</v>
      </c>
      <c r="I1405" s="6">
        <v>4</v>
      </c>
      <c r="J1405" s="6">
        <v>169</v>
      </c>
      <c r="K1405" s="6">
        <v>42.7184466</v>
      </c>
      <c r="L1405" s="3" t="s">
        <v>41</v>
      </c>
      <c r="M1405" s="26"/>
    </row>
    <row r="1406" spans="1:13" x14ac:dyDescent="0.25">
      <c r="A1406" s="6">
        <v>1.55386219117748E+17</v>
      </c>
      <c r="B1406" s="31" t="s">
        <v>668</v>
      </c>
      <c r="C1406" s="32" t="str">
        <f t="shared" si="37"/>
        <v>May</v>
      </c>
      <c r="D1406" s="3" t="s">
        <v>16</v>
      </c>
      <c r="E1406" s="6">
        <v>143001</v>
      </c>
      <c r="F1406" s="6">
        <v>7117</v>
      </c>
      <c r="G1406" s="6">
        <v>3</v>
      </c>
      <c r="H1406" s="6">
        <v>208.7378641</v>
      </c>
      <c r="I1406" s="6">
        <v>6</v>
      </c>
      <c r="J1406" s="6">
        <v>215</v>
      </c>
      <c r="K1406" s="6">
        <v>53.398058249999998</v>
      </c>
      <c r="L1406" s="3" t="s">
        <v>22</v>
      </c>
      <c r="M1406" s="26"/>
    </row>
    <row r="1407" spans="1:13" x14ac:dyDescent="0.25">
      <c r="A1407" s="6">
        <v>1.5346098003726301E+17</v>
      </c>
      <c r="B1407" s="31" t="s">
        <v>712</v>
      </c>
      <c r="C1407" s="32" t="str">
        <f t="shared" si="37"/>
        <v>May</v>
      </c>
      <c r="D1407" s="3" t="s">
        <v>16</v>
      </c>
      <c r="E1407" s="6">
        <v>455336</v>
      </c>
      <c r="F1407" s="6">
        <v>7117</v>
      </c>
      <c r="G1407" s="6">
        <v>3</v>
      </c>
      <c r="H1407" s="6">
        <v>167.96116499999999</v>
      </c>
      <c r="I1407" s="6">
        <v>5</v>
      </c>
      <c r="J1407" s="6">
        <v>173</v>
      </c>
      <c r="K1407" s="6">
        <v>46.601941750000002</v>
      </c>
      <c r="L1407" s="3" t="s">
        <v>10</v>
      </c>
      <c r="M1407" s="26"/>
    </row>
    <row r="1408" spans="1:13" x14ac:dyDescent="0.25">
      <c r="A1408" s="6">
        <v>1.5408685445818E+17</v>
      </c>
      <c r="B1408" s="31" t="s">
        <v>670</v>
      </c>
      <c r="C1408" s="32" t="str">
        <f t="shared" si="37"/>
        <v>May</v>
      </c>
      <c r="D1408" s="3" t="s">
        <v>16</v>
      </c>
      <c r="E1408" s="6">
        <v>276404</v>
      </c>
      <c r="F1408" s="6">
        <v>7117</v>
      </c>
      <c r="G1408" s="6">
        <v>3</v>
      </c>
      <c r="H1408" s="6">
        <v>193.20388349999999</v>
      </c>
      <c r="I1408" s="6">
        <v>5</v>
      </c>
      <c r="J1408" s="6">
        <v>199</v>
      </c>
      <c r="K1408" s="6">
        <v>71.844660189999999</v>
      </c>
      <c r="L1408" s="3" t="s">
        <v>165</v>
      </c>
      <c r="M1408" s="26"/>
    </row>
    <row r="1409" spans="1:13" x14ac:dyDescent="0.25">
      <c r="A1409" s="6">
        <v>1.4985523591764499E+17</v>
      </c>
      <c r="B1409" s="31" t="s">
        <v>654</v>
      </c>
      <c r="C1409" s="32" t="str">
        <f t="shared" si="37"/>
        <v>May</v>
      </c>
      <c r="D1409" s="3" t="s">
        <v>16</v>
      </c>
      <c r="E1409" s="6">
        <v>485666</v>
      </c>
      <c r="F1409" s="6">
        <v>7117</v>
      </c>
      <c r="G1409" s="6">
        <v>3</v>
      </c>
      <c r="H1409" s="6">
        <v>153.3980583</v>
      </c>
      <c r="I1409" s="6">
        <v>4</v>
      </c>
      <c r="J1409" s="6">
        <v>158</v>
      </c>
      <c r="K1409" s="6">
        <v>49.514563109999997</v>
      </c>
      <c r="L1409" s="3" t="s">
        <v>19</v>
      </c>
      <c r="M1409" s="26"/>
    </row>
    <row r="1410" spans="1:13" x14ac:dyDescent="0.25">
      <c r="A1410" s="6">
        <v>1.5887628293802E+17</v>
      </c>
      <c r="B1410" s="31" t="s">
        <v>652</v>
      </c>
      <c r="C1410" s="32" t="str">
        <f t="shared" si="37"/>
        <v>May</v>
      </c>
      <c r="D1410" s="3" t="s">
        <v>9</v>
      </c>
      <c r="E1410" s="6">
        <v>221005</v>
      </c>
      <c r="F1410" s="6">
        <v>7117</v>
      </c>
      <c r="G1410" s="6">
        <v>3</v>
      </c>
      <c r="H1410" s="6">
        <v>156.31067959999999</v>
      </c>
      <c r="I1410" s="6">
        <v>4</v>
      </c>
      <c r="J1410" s="6">
        <v>161</v>
      </c>
      <c r="K1410" s="6">
        <v>38.834951459999999</v>
      </c>
      <c r="L1410" s="3" t="s">
        <v>26</v>
      </c>
      <c r="M1410" s="26"/>
    </row>
    <row r="1411" spans="1:13" x14ac:dyDescent="0.25">
      <c r="A1411" s="6">
        <v>1.5280533285789501E+17</v>
      </c>
      <c r="B1411" s="31" t="s">
        <v>717</v>
      </c>
      <c r="C1411" s="32" t="str">
        <f t="shared" ref="C1411:C1474" si="38">TEXT(B1411, "mmm")</f>
        <v>May</v>
      </c>
      <c r="D1411" s="3" t="s">
        <v>52</v>
      </c>
      <c r="E1411" s="6">
        <v>743126</v>
      </c>
      <c r="F1411" s="6">
        <v>7117</v>
      </c>
      <c r="G1411" s="6">
        <v>3</v>
      </c>
      <c r="H1411" s="6">
        <v>174.7572816</v>
      </c>
      <c r="I1411" s="6">
        <v>5</v>
      </c>
      <c r="J1411" s="6">
        <v>180</v>
      </c>
      <c r="K1411" s="6">
        <v>53.398058249999998</v>
      </c>
      <c r="L1411" s="3" t="s">
        <v>10</v>
      </c>
      <c r="M1411" s="26"/>
    </row>
    <row r="1412" spans="1:13" x14ac:dyDescent="0.25">
      <c r="A1412" s="6">
        <v>1.5027448732867501E+17</v>
      </c>
      <c r="B1412" s="31" t="s">
        <v>660</v>
      </c>
      <c r="C1412" s="32" t="str">
        <f t="shared" si="38"/>
        <v>May</v>
      </c>
      <c r="D1412" s="3" t="s">
        <v>16</v>
      </c>
      <c r="E1412" s="6">
        <v>246149</v>
      </c>
      <c r="F1412" s="6">
        <v>7117</v>
      </c>
      <c r="G1412" s="6">
        <v>3</v>
      </c>
      <c r="H1412" s="6">
        <v>168.93203879999999</v>
      </c>
      <c r="I1412" s="6">
        <v>5</v>
      </c>
      <c r="J1412" s="6">
        <v>174</v>
      </c>
      <c r="K1412" s="6">
        <v>47.57281553</v>
      </c>
      <c r="L1412" s="3" t="s">
        <v>27</v>
      </c>
      <c r="M1412" s="26"/>
    </row>
    <row r="1413" spans="1:13" x14ac:dyDescent="0.25">
      <c r="A1413" s="6">
        <v>1.5640151471276301E+17</v>
      </c>
      <c r="B1413" s="31" t="s">
        <v>662</v>
      </c>
      <c r="C1413" s="32" t="str">
        <f t="shared" si="38"/>
        <v>May</v>
      </c>
      <c r="D1413" s="3" t="s">
        <v>9</v>
      </c>
      <c r="E1413" s="6">
        <v>743234</v>
      </c>
      <c r="F1413" s="6">
        <v>7117</v>
      </c>
      <c r="G1413" s="6">
        <v>3</v>
      </c>
      <c r="H1413" s="6">
        <v>150.4854369</v>
      </c>
      <c r="I1413" s="6">
        <v>4</v>
      </c>
      <c r="J1413" s="6">
        <v>155</v>
      </c>
      <c r="K1413" s="6">
        <v>53.398058249999998</v>
      </c>
      <c r="L1413" s="3" t="s">
        <v>39</v>
      </c>
      <c r="M1413" s="26"/>
    </row>
    <row r="1414" spans="1:13" x14ac:dyDescent="0.25">
      <c r="A1414" s="6">
        <v>1.5972546220035501E+17</v>
      </c>
      <c r="B1414" s="31" t="s">
        <v>646</v>
      </c>
      <c r="C1414" s="32" t="str">
        <f t="shared" si="38"/>
        <v>May</v>
      </c>
      <c r="D1414" s="3" t="s">
        <v>9</v>
      </c>
      <c r="E1414" s="6">
        <v>276207</v>
      </c>
      <c r="F1414" s="6">
        <v>7117</v>
      </c>
      <c r="G1414" s="6">
        <v>3</v>
      </c>
      <c r="H1414" s="6">
        <v>166.9902913</v>
      </c>
      <c r="I1414" s="6">
        <v>5</v>
      </c>
      <c r="J1414" s="6">
        <v>172</v>
      </c>
      <c r="K1414" s="6">
        <v>49.514563109999997</v>
      </c>
      <c r="L1414" s="3" t="s">
        <v>26</v>
      </c>
      <c r="M1414" s="26"/>
    </row>
    <row r="1415" spans="1:13" x14ac:dyDescent="0.25">
      <c r="A1415" s="6">
        <v>1.5089393047591802E+17</v>
      </c>
      <c r="B1415" s="31" t="s">
        <v>722</v>
      </c>
      <c r="C1415" s="32" t="str">
        <f t="shared" si="38"/>
        <v>May</v>
      </c>
      <c r="D1415" s="3" t="s">
        <v>16</v>
      </c>
      <c r="E1415" s="6">
        <v>743312</v>
      </c>
      <c r="F1415" s="6">
        <v>7117</v>
      </c>
      <c r="G1415" s="6">
        <v>18</v>
      </c>
      <c r="H1415" s="6">
        <v>121.18644070000001</v>
      </c>
      <c r="I1415" s="6">
        <v>21</v>
      </c>
      <c r="J1415" s="6">
        <v>143</v>
      </c>
      <c r="K1415" s="6">
        <v>43.220338980000001</v>
      </c>
      <c r="L1415" s="3" t="s">
        <v>967</v>
      </c>
      <c r="M1415" s="26"/>
    </row>
    <row r="1416" spans="1:13" x14ac:dyDescent="0.25">
      <c r="A1416" s="6">
        <v>1.5813991713692602E+17</v>
      </c>
      <c r="B1416" s="31" t="s">
        <v>676</v>
      </c>
      <c r="C1416" s="32" t="str">
        <f t="shared" si="38"/>
        <v>May</v>
      </c>
      <c r="D1416" s="3" t="s">
        <v>52</v>
      </c>
      <c r="E1416" s="6">
        <v>121005</v>
      </c>
      <c r="F1416" s="6">
        <v>7117</v>
      </c>
      <c r="G1416" s="6">
        <v>3</v>
      </c>
      <c r="H1416" s="6">
        <v>160.19417480000001</v>
      </c>
      <c r="I1416" s="6">
        <v>4</v>
      </c>
      <c r="J1416" s="6">
        <v>165</v>
      </c>
      <c r="K1416" s="6">
        <v>38.834951459999999</v>
      </c>
      <c r="L1416" s="3" t="s">
        <v>53</v>
      </c>
      <c r="M1416" s="26"/>
    </row>
    <row r="1417" spans="1:13" x14ac:dyDescent="0.25">
      <c r="A1417" s="6">
        <v>1.54281512073148E+17</v>
      </c>
      <c r="B1417" s="31" t="s">
        <v>670</v>
      </c>
      <c r="C1417" s="32" t="str">
        <f t="shared" si="38"/>
        <v>May</v>
      </c>
      <c r="D1417" s="3" t="s">
        <v>21</v>
      </c>
      <c r="E1417" s="6">
        <v>801503</v>
      </c>
      <c r="F1417" s="6">
        <v>7117</v>
      </c>
      <c r="G1417" s="6">
        <v>3</v>
      </c>
      <c r="H1417" s="6">
        <v>163.1067961</v>
      </c>
      <c r="I1417" s="6">
        <v>4</v>
      </c>
      <c r="J1417" s="6">
        <v>168</v>
      </c>
      <c r="K1417" s="6">
        <v>45.631067960000003</v>
      </c>
      <c r="L1417" s="3" t="s">
        <v>10</v>
      </c>
      <c r="M1417" s="26"/>
    </row>
    <row r="1418" spans="1:13" x14ac:dyDescent="0.25">
      <c r="A1418" s="6">
        <v>1.50166142661068E+17</v>
      </c>
      <c r="B1418" s="31" t="s">
        <v>660</v>
      </c>
      <c r="C1418" s="32" t="str">
        <f t="shared" si="38"/>
        <v>May</v>
      </c>
      <c r="D1418" s="3" t="s">
        <v>9</v>
      </c>
      <c r="E1418" s="6">
        <v>392001</v>
      </c>
      <c r="F1418" s="6">
        <v>330410</v>
      </c>
      <c r="G1418" s="6">
        <v>18</v>
      </c>
      <c r="H1418" s="6">
        <v>202.5423729</v>
      </c>
      <c r="I1418" s="6">
        <v>36</v>
      </c>
      <c r="J1418" s="6">
        <v>239</v>
      </c>
      <c r="K1418" s="6">
        <v>45.762711860000003</v>
      </c>
      <c r="L1418" s="3" t="s">
        <v>17</v>
      </c>
      <c r="M1418" s="26"/>
    </row>
    <row r="1419" spans="1:13" x14ac:dyDescent="0.25">
      <c r="A1419" s="6">
        <v>1.5349515601478499E+17</v>
      </c>
      <c r="B1419" s="31" t="s">
        <v>712</v>
      </c>
      <c r="C1419" s="32" t="str">
        <f t="shared" si="38"/>
        <v>May</v>
      </c>
      <c r="D1419" s="3" t="s">
        <v>9</v>
      </c>
      <c r="E1419" s="6">
        <v>123001</v>
      </c>
      <c r="F1419" s="6">
        <v>7117</v>
      </c>
      <c r="G1419" s="6">
        <v>18</v>
      </c>
      <c r="H1419" s="6">
        <v>127.1186441</v>
      </c>
      <c r="I1419" s="6">
        <v>22</v>
      </c>
      <c r="J1419" s="6">
        <v>150</v>
      </c>
      <c r="K1419" s="6">
        <v>36.440677970000003</v>
      </c>
      <c r="L1419" s="3" t="s">
        <v>104</v>
      </c>
      <c r="M1419" s="26"/>
    </row>
    <row r="1420" spans="1:13" x14ac:dyDescent="0.25">
      <c r="A1420" s="6">
        <v>1.50224394068136E+17</v>
      </c>
      <c r="B1420" s="31" t="s">
        <v>660</v>
      </c>
      <c r="C1420" s="32" t="str">
        <f t="shared" si="38"/>
        <v>May</v>
      </c>
      <c r="D1420" s="3" t="s">
        <v>16</v>
      </c>
      <c r="E1420" s="6">
        <v>180010</v>
      </c>
      <c r="F1420" s="6">
        <v>7117</v>
      </c>
      <c r="G1420" s="6">
        <v>3</v>
      </c>
      <c r="H1420" s="6">
        <v>174.7572816</v>
      </c>
      <c r="I1420" s="6">
        <v>5</v>
      </c>
      <c r="J1420" s="6">
        <v>180</v>
      </c>
      <c r="K1420" s="6">
        <v>53.398058249999998</v>
      </c>
      <c r="L1420" s="3" t="s">
        <v>19</v>
      </c>
      <c r="M1420" s="26"/>
    </row>
    <row r="1421" spans="1:13" x14ac:dyDescent="0.25">
      <c r="A1421" s="6">
        <v>1.5043468109913299E+17</v>
      </c>
      <c r="B1421" s="31" t="s">
        <v>656</v>
      </c>
      <c r="C1421" s="32" t="str">
        <f t="shared" si="38"/>
        <v>May</v>
      </c>
      <c r="D1421" s="3" t="s">
        <v>25</v>
      </c>
      <c r="E1421" s="6">
        <v>560027</v>
      </c>
      <c r="F1421" s="6">
        <v>7117</v>
      </c>
      <c r="G1421" s="6">
        <v>3</v>
      </c>
      <c r="H1421" s="6">
        <v>168.93203879999999</v>
      </c>
      <c r="I1421" s="6">
        <v>5</v>
      </c>
      <c r="J1421" s="6">
        <v>174</v>
      </c>
      <c r="K1421" s="6">
        <v>37.86407767</v>
      </c>
      <c r="L1421" s="3" t="s">
        <v>104</v>
      </c>
      <c r="M1421" s="26"/>
    </row>
    <row r="1422" spans="1:13" x14ac:dyDescent="0.25">
      <c r="A1422" s="6">
        <v>1.5662256182271501E+17</v>
      </c>
      <c r="B1422" s="31" t="s">
        <v>648</v>
      </c>
      <c r="C1422" s="32" t="str">
        <f t="shared" si="38"/>
        <v>May</v>
      </c>
      <c r="D1422" s="3" t="s">
        <v>21</v>
      </c>
      <c r="E1422" s="6">
        <v>228001</v>
      </c>
      <c r="F1422" s="6">
        <v>7117</v>
      </c>
      <c r="G1422" s="6">
        <v>3</v>
      </c>
      <c r="H1422" s="6">
        <v>235.92233010000001</v>
      </c>
      <c r="I1422" s="6">
        <v>7</v>
      </c>
      <c r="J1422" s="6">
        <v>243</v>
      </c>
      <c r="K1422" s="6">
        <v>39.805825239999997</v>
      </c>
      <c r="L1422" s="3" t="s">
        <v>26</v>
      </c>
      <c r="M1422" s="26"/>
    </row>
    <row r="1423" spans="1:13" x14ac:dyDescent="0.25">
      <c r="A1423" s="6">
        <v>1.4954599439555398E+17</v>
      </c>
      <c r="B1423" s="31" t="s">
        <v>658</v>
      </c>
      <c r="C1423" s="32" t="str">
        <f t="shared" si="38"/>
        <v>May</v>
      </c>
      <c r="D1423" s="3" t="s">
        <v>9</v>
      </c>
      <c r="E1423" s="6">
        <v>423203</v>
      </c>
      <c r="F1423" s="6">
        <v>7117</v>
      </c>
      <c r="G1423" s="6">
        <v>3</v>
      </c>
      <c r="H1423" s="6">
        <v>174.7572816</v>
      </c>
      <c r="I1423" s="6">
        <v>5</v>
      </c>
      <c r="J1423" s="6">
        <v>180</v>
      </c>
      <c r="K1423" s="6">
        <v>53.398058249999998</v>
      </c>
      <c r="L1423" s="3" t="s">
        <v>53</v>
      </c>
      <c r="M1423" s="26"/>
    </row>
    <row r="1424" spans="1:13" x14ac:dyDescent="0.25">
      <c r="A1424" s="6">
        <v>1.5243733011527802E+17</v>
      </c>
      <c r="B1424" s="31" t="s">
        <v>644</v>
      </c>
      <c r="C1424" s="32" t="str">
        <f t="shared" si="38"/>
        <v>May</v>
      </c>
      <c r="D1424" s="3" t="s">
        <v>25</v>
      </c>
      <c r="E1424" s="6">
        <v>416122</v>
      </c>
      <c r="F1424" s="6">
        <v>7117</v>
      </c>
      <c r="G1424" s="6">
        <v>3</v>
      </c>
      <c r="H1424" s="6">
        <v>172.81553400000001</v>
      </c>
      <c r="I1424" s="6">
        <v>5</v>
      </c>
      <c r="J1424" s="6">
        <v>178</v>
      </c>
      <c r="K1424" s="6">
        <v>51.456310680000001</v>
      </c>
      <c r="L1424" s="3" t="s">
        <v>26</v>
      </c>
      <c r="M1424" s="26"/>
    </row>
    <row r="1425" spans="1:13" x14ac:dyDescent="0.25">
      <c r="A1425" s="6">
        <v>1.50223841218168E+17</v>
      </c>
      <c r="B1425" s="31" t="s">
        <v>660</v>
      </c>
      <c r="C1425" s="32" t="str">
        <f t="shared" si="38"/>
        <v>May</v>
      </c>
      <c r="D1425" s="3" t="s">
        <v>16</v>
      </c>
      <c r="E1425" s="6">
        <v>788101</v>
      </c>
      <c r="F1425" s="6">
        <v>7117</v>
      </c>
      <c r="G1425" s="6">
        <v>3</v>
      </c>
      <c r="H1425" s="6">
        <v>165.04854370000001</v>
      </c>
      <c r="I1425" s="6">
        <v>4</v>
      </c>
      <c r="J1425" s="6">
        <v>170</v>
      </c>
      <c r="K1425" s="6">
        <v>43.689320389999999</v>
      </c>
      <c r="L1425" s="3" t="s">
        <v>27</v>
      </c>
      <c r="M1425" s="26"/>
    </row>
    <row r="1426" spans="1:13" x14ac:dyDescent="0.25">
      <c r="A1426" s="6">
        <v>1.5261042173028499E+17</v>
      </c>
      <c r="B1426" s="31" t="s">
        <v>717</v>
      </c>
      <c r="C1426" s="32" t="str">
        <f t="shared" si="38"/>
        <v>May</v>
      </c>
      <c r="D1426" s="3" t="s">
        <v>16</v>
      </c>
      <c r="E1426" s="6">
        <v>600077</v>
      </c>
      <c r="F1426" s="6">
        <v>7117</v>
      </c>
      <c r="G1426" s="6">
        <v>3</v>
      </c>
      <c r="H1426" s="6">
        <v>370.87378639999997</v>
      </c>
      <c r="I1426" s="6">
        <v>11</v>
      </c>
      <c r="J1426" s="6">
        <v>382</v>
      </c>
      <c r="K1426" s="6">
        <v>79.611650490000002</v>
      </c>
      <c r="L1426" s="3" t="s">
        <v>10</v>
      </c>
      <c r="M1426" s="26"/>
    </row>
    <row r="1427" spans="1:13" x14ac:dyDescent="0.25">
      <c r="A1427" s="6">
        <v>1.54447218915916E+17</v>
      </c>
      <c r="B1427" s="31" t="s">
        <v>735</v>
      </c>
      <c r="C1427" s="32" t="str">
        <f t="shared" si="38"/>
        <v>May</v>
      </c>
      <c r="D1427" s="3" t="s">
        <v>16</v>
      </c>
      <c r="E1427" s="6">
        <v>176092</v>
      </c>
      <c r="F1427" s="6">
        <v>7117</v>
      </c>
      <c r="G1427" s="6">
        <v>3</v>
      </c>
      <c r="H1427" s="6">
        <v>157.28155340000001</v>
      </c>
      <c r="I1427" s="6">
        <v>4</v>
      </c>
      <c r="J1427" s="6">
        <v>162</v>
      </c>
      <c r="K1427" s="6">
        <v>53.398058249999998</v>
      </c>
      <c r="L1427" s="3" t="s">
        <v>39</v>
      </c>
      <c r="M1427" s="26"/>
    </row>
    <row r="1428" spans="1:13" x14ac:dyDescent="0.25">
      <c r="A1428" s="6">
        <v>1.5265444304372198E+17</v>
      </c>
      <c r="B1428" s="31" t="s">
        <v>717</v>
      </c>
      <c r="C1428" s="32" t="str">
        <f t="shared" si="38"/>
        <v>May</v>
      </c>
      <c r="D1428" s="3" t="s">
        <v>25</v>
      </c>
      <c r="E1428" s="6">
        <v>562138</v>
      </c>
      <c r="F1428" s="6">
        <v>7117</v>
      </c>
      <c r="G1428" s="6">
        <v>3</v>
      </c>
      <c r="H1428" s="6">
        <v>143.68932040000001</v>
      </c>
      <c r="I1428" s="6">
        <v>4</v>
      </c>
      <c r="J1428" s="6">
        <v>148</v>
      </c>
      <c r="K1428" s="6">
        <v>39.805825239999997</v>
      </c>
      <c r="L1428" s="3" t="s">
        <v>39</v>
      </c>
      <c r="M1428" s="26"/>
    </row>
    <row r="1429" spans="1:13" x14ac:dyDescent="0.25">
      <c r="A1429" s="6">
        <v>1.5713109127787501E+17</v>
      </c>
      <c r="B1429" s="31" t="s">
        <v>690</v>
      </c>
      <c r="C1429" s="32" t="str">
        <f t="shared" si="38"/>
        <v>May</v>
      </c>
      <c r="D1429" s="3" t="s">
        <v>25</v>
      </c>
      <c r="E1429" s="6">
        <v>284202</v>
      </c>
      <c r="F1429" s="6">
        <v>7117</v>
      </c>
      <c r="G1429" s="6">
        <v>3</v>
      </c>
      <c r="H1429" s="6">
        <v>165.04854370000001</v>
      </c>
      <c r="I1429" s="6">
        <v>4</v>
      </c>
      <c r="J1429" s="6">
        <v>170</v>
      </c>
      <c r="K1429" s="6">
        <v>61.165048540000001</v>
      </c>
      <c r="L1429" s="3" t="s">
        <v>27</v>
      </c>
      <c r="M1429" s="26"/>
    </row>
    <row r="1430" spans="1:13" x14ac:dyDescent="0.25">
      <c r="A1430" s="6">
        <v>1.5426812788970099E+17</v>
      </c>
      <c r="B1430" s="31" t="s">
        <v>670</v>
      </c>
      <c r="C1430" s="32" t="str">
        <f t="shared" si="38"/>
        <v>May</v>
      </c>
      <c r="D1430" s="3" t="s">
        <v>25</v>
      </c>
      <c r="E1430" s="6">
        <v>412306</v>
      </c>
      <c r="F1430" s="6">
        <v>7117</v>
      </c>
      <c r="G1430" s="6">
        <v>3</v>
      </c>
      <c r="H1430" s="6">
        <v>224.2718447</v>
      </c>
      <c r="I1430" s="6">
        <v>6</v>
      </c>
      <c r="J1430" s="6">
        <v>231</v>
      </c>
      <c r="K1430" s="6">
        <v>59.223300969999997</v>
      </c>
      <c r="L1430" s="3" t="s">
        <v>19</v>
      </c>
      <c r="M1430" s="26"/>
    </row>
    <row r="1431" spans="1:13" x14ac:dyDescent="0.25">
      <c r="A1431" s="6">
        <v>1.5600850604507699E+17</v>
      </c>
      <c r="B1431" s="31" t="s">
        <v>740</v>
      </c>
      <c r="C1431" s="32" t="str">
        <f t="shared" si="38"/>
        <v>May</v>
      </c>
      <c r="D1431" s="3" t="s">
        <v>25</v>
      </c>
      <c r="E1431" s="6">
        <v>516127</v>
      </c>
      <c r="F1431" s="6">
        <v>7117</v>
      </c>
      <c r="G1431" s="6">
        <v>3</v>
      </c>
      <c r="H1431" s="6">
        <v>214.56310680000001</v>
      </c>
      <c r="I1431" s="6">
        <v>6</v>
      </c>
      <c r="J1431" s="6">
        <v>221</v>
      </c>
      <c r="K1431" s="6">
        <v>60.194174760000003</v>
      </c>
      <c r="L1431" s="3" t="s">
        <v>41</v>
      </c>
      <c r="M1431" s="26"/>
    </row>
    <row r="1432" spans="1:13" x14ac:dyDescent="0.25">
      <c r="A1432" s="6">
        <v>1.5384496348077299E+17</v>
      </c>
      <c r="B1432" s="31" t="s">
        <v>694</v>
      </c>
      <c r="C1432" s="32" t="str">
        <f t="shared" si="38"/>
        <v>May</v>
      </c>
      <c r="D1432" s="3" t="s">
        <v>25</v>
      </c>
      <c r="E1432" s="6">
        <v>441210</v>
      </c>
      <c r="F1432" s="6">
        <v>330410</v>
      </c>
      <c r="G1432" s="6">
        <v>18</v>
      </c>
      <c r="H1432" s="6">
        <v>202.5423729</v>
      </c>
      <c r="I1432" s="6">
        <v>36</v>
      </c>
      <c r="J1432" s="6">
        <v>239</v>
      </c>
      <c r="K1432" s="6">
        <v>45.762711860000003</v>
      </c>
      <c r="L1432" s="3" t="s">
        <v>10</v>
      </c>
      <c r="M1432" s="26"/>
    </row>
    <row r="1433" spans="1:13" x14ac:dyDescent="0.25">
      <c r="A1433" s="6">
        <v>1.5826591418425798E+17</v>
      </c>
      <c r="B1433" s="31" t="s">
        <v>676</v>
      </c>
      <c r="C1433" s="32" t="str">
        <f t="shared" si="38"/>
        <v>May</v>
      </c>
      <c r="D1433" s="3" t="s">
        <v>52</v>
      </c>
      <c r="E1433" s="6">
        <v>206001</v>
      </c>
      <c r="F1433" s="6">
        <v>7117</v>
      </c>
      <c r="G1433" s="6">
        <v>3</v>
      </c>
      <c r="H1433" s="6">
        <v>129.1262136</v>
      </c>
      <c r="I1433" s="6">
        <v>3</v>
      </c>
      <c r="J1433" s="6">
        <v>133</v>
      </c>
      <c r="K1433" s="6">
        <v>34.951456309999998</v>
      </c>
      <c r="L1433" s="3" t="s">
        <v>46</v>
      </c>
      <c r="M1433" s="26"/>
    </row>
    <row r="1434" spans="1:13" x14ac:dyDescent="0.25">
      <c r="A1434" s="6">
        <v>1.5085395444761402E+17</v>
      </c>
      <c r="B1434" s="31" t="s">
        <v>722</v>
      </c>
      <c r="C1434" s="32" t="str">
        <f t="shared" si="38"/>
        <v>May</v>
      </c>
      <c r="D1434" s="3" t="s">
        <v>16</v>
      </c>
      <c r="E1434" s="6">
        <v>131102</v>
      </c>
      <c r="F1434" s="6">
        <v>7117</v>
      </c>
      <c r="G1434" s="6">
        <v>3</v>
      </c>
      <c r="H1434" s="6">
        <v>174.7572816</v>
      </c>
      <c r="I1434" s="6">
        <v>5</v>
      </c>
      <c r="J1434" s="6">
        <v>180</v>
      </c>
      <c r="K1434" s="6">
        <v>53.398058249999998</v>
      </c>
      <c r="L1434" s="3" t="s">
        <v>12</v>
      </c>
      <c r="M1434" s="26"/>
    </row>
    <row r="1435" spans="1:13" x14ac:dyDescent="0.25">
      <c r="A1435" s="6">
        <v>1.54990558510036E+17</v>
      </c>
      <c r="B1435" s="31" t="s">
        <v>665</v>
      </c>
      <c r="C1435" s="32" t="str">
        <f t="shared" si="38"/>
        <v>May</v>
      </c>
      <c r="D1435" s="3" t="s">
        <v>16</v>
      </c>
      <c r="E1435" s="6">
        <v>835207</v>
      </c>
      <c r="F1435" s="6">
        <v>7117</v>
      </c>
      <c r="G1435" s="6">
        <v>3</v>
      </c>
      <c r="H1435" s="6">
        <v>174.7572816</v>
      </c>
      <c r="I1435" s="6">
        <v>5</v>
      </c>
      <c r="J1435" s="6">
        <v>180</v>
      </c>
      <c r="K1435" s="6">
        <v>53.398058249999998</v>
      </c>
      <c r="L1435" s="3" t="s">
        <v>39</v>
      </c>
      <c r="M1435" s="26"/>
    </row>
    <row r="1436" spans="1:13" x14ac:dyDescent="0.25">
      <c r="A1436" s="6">
        <v>1.5662830548218899E+17</v>
      </c>
      <c r="B1436" s="31" t="s">
        <v>648</v>
      </c>
      <c r="C1436" s="32" t="str">
        <f t="shared" si="38"/>
        <v>May</v>
      </c>
      <c r="D1436" s="3" t="s">
        <v>16</v>
      </c>
      <c r="E1436" s="6">
        <v>361325</v>
      </c>
      <c r="F1436" s="6">
        <v>7117</v>
      </c>
      <c r="G1436" s="6">
        <v>3</v>
      </c>
      <c r="H1436" s="6">
        <v>133.0097087</v>
      </c>
      <c r="I1436" s="6">
        <v>3</v>
      </c>
      <c r="J1436" s="6">
        <v>137</v>
      </c>
      <c r="K1436" s="6">
        <v>53.398058249999998</v>
      </c>
      <c r="L1436" s="3" t="s">
        <v>63</v>
      </c>
      <c r="M1436" s="26"/>
    </row>
    <row r="1437" spans="1:13" x14ac:dyDescent="0.25">
      <c r="A1437" s="6">
        <v>1.5525444704230301E+17</v>
      </c>
      <c r="B1437" s="31" t="s">
        <v>680</v>
      </c>
      <c r="C1437" s="32" t="str">
        <f t="shared" si="38"/>
        <v>May</v>
      </c>
      <c r="D1437" s="3" t="s">
        <v>25</v>
      </c>
      <c r="E1437" s="6">
        <v>462041</v>
      </c>
      <c r="F1437" s="6">
        <v>7117</v>
      </c>
      <c r="G1437" s="6">
        <v>3</v>
      </c>
      <c r="H1437" s="6">
        <v>142.71844659999999</v>
      </c>
      <c r="I1437" s="6">
        <v>4</v>
      </c>
      <c r="J1437" s="6">
        <v>147</v>
      </c>
      <c r="K1437" s="6">
        <v>38.834951459999999</v>
      </c>
      <c r="L1437" s="3" t="s">
        <v>22</v>
      </c>
      <c r="M1437" s="26"/>
    </row>
    <row r="1438" spans="1:13" x14ac:dyDescent="0.25">
      <c r="A1438" s="6">
        <v>1.5461412791708301E+17</v>
      </c>
      <c r="B1438" s="31" t="s">
        <v>735</v>
      </c>
      <c r="C1438" s="32" t="str">
        <f t="shared" si="38"/>
        <v>May</v>
      </c>
      <c r="D1438" s="3" t="s">
        <v>25</v>
      </c>
      <c r="E1438" s="6">
        <v>614303</v>
      </c>
      <c r="F1438" s="6">
        <v>7117</v>
      </c>
      <c r="G1438" s="6">
        <v>3</v>
      </c>
      <c r="H1438" s="6">
        <v>224.2718447</v>
      </c>
      <c r="I1438" s="6">
        <v>6</v>
      </c>
      <c r="J1438" s="6">
        <v>231</v>
      </c>
      <c r="K1438" s="6">
        <v>59.223300969999997</v>
      </c>
      <c r="L1438" s="3" t="s">
        <v>19</v>
      </c>
      <c r="M1438" s="26"/>
    </row>
    <row r="1439" spans="1:13" x14ac:dyDescent="0.25">
      <c r="A1439" s="6">
        <v>1.5856824777869402E+17</v>
      </c>
      <c r="B1439" s="31" t="s">
        <v>749</v>
      </c>
      <c r="C1439" s="32" t="str">
        <f t="shared" si="38"/>
        <v>May</v>
      </c>
      <c r="D1439" s="3" t="s">
        <v>16</v>
      </c>
      <c r="E1439" s="6">
        <v>841424</v>
      </c>
      <c r="F1439" s="6">
        <v>7117</v>
      </c>
      <c r="G1439" s="6">
        <v>3</v>
      </c>
      <c r="H1439" s="6">
        <v>166.0194175</v>
      </c>
      <c r="I1439" s="6">
        <v>4</v>
      </c>
      <c r="J1439" s="6">
        <v>171</v>
      </c>
      <c r="K1439" s="6">
        <v>71.844660189999999</v>
      </c>
      <c r="L1439" s="3" t="s">
        <v>966</v>
      </c>
      <c r="M1439" s="26"/>
    </row>
    <row r="1440" spans="1:13" x14ac:dyDescent="0.25">
      <c r="A1440" s="6">
        <v>1.5169692772981299E+17</v>
      </c>
      <c r="B1440" s="31" t="s">
        <v>751</v>
      </c>
      <c r="C1440" s="32" t="str">
        <f t="shared" si="38"/>
        <v>May</v>
      </c>
      <c r="D1440" s="3" t="s">
        <v>16</v>
      </c>
      <c r="E1440" s="6">
        <v>752094</v>
      </c>
      <c r="F1440" s="6">
        <v>7117</v>
      </c>
      <c r="G1440" s="6">
        <v>3</v>
      </c>
      <c r="H1440" s="6">
        <v>166.0194175</v>
      </c>
      <c r="I1440" s="6">
        <v>4</v>
      </c>
      <c r="J1440" s="6">
        <v>171</v>
      </c>
      <c r="K1440" s="6">
        <v>44.660194169999997</v>
      </c>
      <c r="L1440" s="3" t="s">
        <v>10</v>
      </c>
      <c r="M1440" s="26"/>
    </row>
    <row r="1441" spans="1:13" x14ac:dyDescent="0.25">
      <c r="A1441" s="6">
        <v>1.4951633852842099E+17</v>
      </c>
      <c r="B1441" s="31" t="s">
        <v>658</v>
      </c>
      <c r="C1441" s="32" t="str">
        <f t="shared" si="38"/>
        <v>May</v>
      </c>
      <c r="D1441" s="3" t="s">
        <v>25</v>
      </c>
      <c r="E1441" s="6">
        <v>440001</v>
      </c>
      <c r="F1441" s="6">
        <v>7117</v>
      </c>
      <c r="G1441" s="6">
        <v>3</v>
      </c>
      <c r="H1441" s="6">
        <v>212.6213592</v>
      </c>
      <c r="I1441" s="6">
        <v>6</v>
      </c>
      <c r="J1441" s="6">
        <v>219</v>
      </c>
      <c r="K1441" s="6">
        <v>47.57281553</v>
      </c>
      <c r="L1441" s="3" t="s">
        <v>27</v>
      </c>
      <c r="M1441" s="26"/>
    </row>
    <row r="1442" spans="1:13" x14ac:dyDescent="0.25">
      <c r="A1442" s="6">
        <v>1.5528177604503699E+17</v>
      </c>
      <c r="B1442" s="31" t="s">
        <v>680</v>
      </c>
      <c r="C1442" s="32" t="str">
        <f t="shared" si="38"/>
        <v>May</v>
      </c>
      <c r="D1442" s="3" t="s">
        <v>33</v>
      </c>
      <c r="E1442" s="6">
        <v>533468</v>
      </c>
      <c r="F1442" s="6">
        <v>7117</v>
      </c>
      <c r="G1442" s="6">
        <v>3</v>
      </c>
      <c r="H1442" s="6">
        <v>157.28155340000001</v>
      </c>
      <c r="I1442" s="6">
        <v>4</v>
      </c>
      <c r="J1442" s="6">
        <v>162</v>
      </c>
      <c r="K1442" s="6">
        <v>53.398058249999998</v>
      </c>
      <c r="L1442" s="3" t="s">
        <v>12</v>
      </c>
      <c r="M1442" s="26"/>
    </row>
    <row r="1443" spans="1:13" x14ac:dyDescent="0.25">
      <c r="A1443" s="6">
        <v>1.5701248554995501E+17</v>
      </c>
      <c r="B1443" s="31" t="s">
        <v>690</v>
      </c>
      <c r="C1443" s="32" t="str">
        <f t="shared" si="38"/>
        <v>May</v>
      </c>
      <c r="D1443" s="3" t="s">
        <v>16</v>
      </c>
      <c r="E1443" s="6">
        <v>522101</v>
      </c>
      <c r="F1443" s="6">
        <v>7117</v>
      </c>
      <c r="G1443" s="6">
        <v>3</v>
      </c>
      <c r="H1443" s="6">
        <v>140.77669900000001</v>
      </c>
      <c r="I1443" s="6">
        <v>4</v>
      </c>
      <c r="J1443" s="6">
        <v>145</v>
      </c>
      <c r="K1443" s="6">
        <v>53.398058249999998</v>
      </c>
      <c r="L1443" s="3" t="s">
        <v>54</v>
      </c>
      <c r="M1443" s="26"/>
    </row>
    <row r="1444" spans="1:13" x14ac:dyDescent="0.25">
      <c r="A1444" s="6">
        <v>1.55626893927232E+17</v>
      </c>
      <c r="B1444" s="31" t="s">
        <v>668</v>
      </c>
      <c r="C1444" s="32" t="str">
        <f t="shared" si="38"/>
        <v>May</v>
      </c>
      <c r="D1444" s="3" t="s">
        <v>71</v>
      </c>
      <c r="E1444" s="6">
        <v>535593</v>
      </c>
      <c r="F1444" s="6">
        <v>7117</v>
      </c>
      <c r="G1444" s="6">
        <v>3</v>
      </c>
      <c r="H1444" s="6">
        <v>186.40776700000001</v>
      </c>
      <c r="I1444" s="6">
        <v>5</v>
      </c>
      <c r="J1444" s="6">
        <v>192</v>
      </c>
      <c r="K1444" s="6">
        <v>45.631067960000003</v>
      </c>
      <c r="L1444" s="3" t="s">
        <v>10</v>
      </c>
      <c r="M1444" s="26"/>
    </row>
    <row r="1445" spans="1:13" x14ac:dyDescent="0.25">
      <c r="A1445" s="6">
        <v>1.54787439259492E+17</v>
      </c>
      <c r="B1445" s="31" t="s">
        <v>665</v>
      </c>
      <c r="C1445" s="32" t="str">
        <f t="shared" si="38"/>
        <v>May</v>
      </c>
      <c r="D1445" s="3" t="s">
        <v>16</v>
      </c>
      <c r="E1445" s="6">
        <v>201201</v>
      </c>
      <c r="F1445" s="6">
        <v>7117</v>
      </c>
      <c r="G1445" s="6">
        <v>3</v>
      </c>
      <c r="H1445" s="6">
        <v>213.59223299999999</v>
      </c>
      <c r="I1445" s="6">
        <v>6</v>
      </c>
      <c r="J1445" s="6">
        <v>220</v>
      </c>
      <c r="K1445" s="6">
        <v>72.815533979999998</v>
      </c>
      <c r="L1445" s="3" t="s">
        <v>35</v>
      </c>
      <c r="M1445" s="26"/>
    </row>
    <row r="1446" spans="1:13" x14ac:dyDescent="0.25">
      <c r="A1446" s="6">
        <v>1.5959040332931501E+17</v>
      </c>
      <c r="B1446" s="31" t="s">
        <v>646</v>
      </c>
      <c r="C1446" s="32" t="str">
        <f t="shared" si="38"/>
        <v>May</v>
      </c>
      <c r="D1446" s="3" t="s">
        <v>16</v>
      </c>
      <c r="E1446" s="6">
        <v>151001</v>
      </c>
      <c r="F1446" s="6">
        <v>7117</v>
      </c>
      <c r="G1446" s="6">
        <v>3</v>
      </c>
      <c r="H1446" s="6">
        <v>174.7572816</v>
      </c>
      <c r="I1446" s="6">
        <v>5</v>
      </c>
      <c r="J1446" s="6">
        <v>180</v>
      </c>
      <c r="K1446" s="6">
        <v>53.398058249999998</v>
      </c>
      <c r="L1446" s="3" t="s">
        <v>54</v>
      </c>
      <c r="M1446" s="26"/>
    </row>
    <row r="1447" spans="1:13" x14ac:dyDescent="0.25">
      <c r="A1447" s="6">
        <v>1.58816138199904E+17</v>
      </c>
      <c r="B1447" s="31" t="s">
        <v>652</v>
      </c>
      <c r="C1447" s="32" t="str">
        <f t="shared" si="38"/>
        <v>May</v>
      </c>
      <c r="D1447" s="3" t="s">
        <v>21</v>
      </c>
      <c r="E1447" s="6">
        <v>852214</v>
      </c>
      <c r="F1447" s="6">
        <v>7117</v>
      </c>
      <c r="G1447" s="6">
        <v>3</v>
      </c>
      <c r="H1447" s="6">
        <v>193.20388349999999</v>
      </c>
      <c r="I1447" s="6">
        <v>5</v>
      </c>
      <c r="J1447" s="6">
        <v>199</v>
      </c>
      <c r="K1447" s="6">
        <v>71.844660189999999</v>
      </c>
      <c r="L1447" s="3" t="s">
        <v>35</v>
      </c>
      <c r="M1447" s="26"/>
    </row>
    <row r="1448" spans="1:13" x14ac:dyDescent="0.25">
      <c r="A1448" s="6">
        <v>1.5889618746484899E+17</v>
      </c>
      <c r="B1448" s="31" t="s">
        <v>652</v>
      </c>
      <c r="C1448" s="32" t="str">
        <f t="shared" si="38"/>
        <v>May</v>
      </c>
      <c r="D1448" s="3" t="s">
        <v>16</v>
      </c>
      <c r="E1448" s="6">
        <v>126115</v>
      </c>
      <c r="F1448" s="6">
        <v>7117</v>
      </c>
      <c r="G1448" s="6">
        <v>3</v>
      </c>
      <c r="H1448" s="6">
        <v>163.1067961</v>
      </c>
      <c r="I1448" s="6">
        <v>4</v>
      </c>
      <c r="J1448" s="6">
        <v>168</v>
      </c>
      <c r="K1448" s="6">
        <v>45.631067960000003</v>
      </c>
      <c r="L1448" s="3" t="s">
        <v>10</v>
      </c>
      <c r="M1448" s="26"/>
    </row>
    <row r="1449" spans="1:13" x14ac:dyDescent="0.25">
      <c r="A1449" s="6">
        <v>1.5168981187412198E+17</v>
      </c>
      <c r="B1449" s="31" t="s">
        <v>751</v>
      </c>
      <c r="C1449" s="32" t="str">
        <f t="shared" si="38"/>
        <v>May</v>
      </c>
      <c r="D1449" s="3" t="s">
        <v>25</v>
      </c>
      <c r="E1449" s="6">
        <v>841426</v>
      </c>
      <c r="F1449" s="6">
        <v>7117</v>
      </c>
      <c r="G1449" s="6">
        <v>3</v>
      </c>
      <c r="H1449" s="6">
        <v>166.0194175</v>
      </c>
      <c r="I1449" s="6">
        <v>4</v>
      </c>
      <c r="J1449" s="6">
        <v>171</v>
      </c>
      <c r="K1449" s="6">
        <v>44.660194169999997</v>
      </c>
      <c r="L1449" s="3" t="s">
        <v>10</v>
      </c>
      <c r="M1449" s="26"/>
    </row>
    <row r="1450" spans="1:13" x14ac:dyDescent="0.25">
      <c r="A1450" s="6">
        <v>1.5161746380813501E+17</v>
      </c>
      <c r="B1450" s="31" t="s">
        <v>751</v>
      </c>
      <c r="C1450" s="32" t="str">
        <f t="shared" si="38"/>
        <v>May</v>
      </c>
      <c r="D1450" s="3" t="s">
        <v>21</v>
      </c>
      <c r="E1450" s="6">
        <v>184143</v>
      </c>
      <c r="F1450" s="6">
        <v>7117</v>
      </c>
      <c r="G1450" s="6">
        <v>3</v>
      </c>
      <c r="H1450" s="6">
        <v>182.52427180000001</v>
      </c>
      <c r="I1450" s="6">
        <v>5</v>
      </c>
      <c r="J1450" s="6">
        <v>188</v>
      </c>
      <c r="K1450" s="6">
        <v>61.165048540000001</v>
      </c>
      <c r="L1450" s="3" t="s">
        <v>165</v>
      </c>
      <c r="M1450" s="26"/>
    </row>
    <row r="1451" spans="1:13" x14ac:dyDescent="0.25">
      <c r="A1451" s="6">
        <v>1.5195667792308E+17</v>
      </c>
      <c r="B1451" s="31" t="s">
        <v>650</v>
      </c>
      <c r="C1451" s="32" t="str">
        <f t="shared" si="38"/>
        <v>May</v>
      </c>
      <c r="D1451" s="3" t="s">
        <v>33</v>
      </c>
      <c r="E1451" s="6">
        <v>532430</v>
      </c>
      <c r="F1451" s="6">
        <v>7117</v>
      </c>
      <c r="G1451" s="6">
        <v>3</v>
      </c>
      <c r="H1451" s="6">
        <v>160.19417480000001</v>
      </c>
      <c r="I1451" s="6">
        <v>4</v>
      </c>
      <c r="J1451" s="6">
        <v>165</v>
      </c>
      <c r="K1451" s="6">
        <v>38.834951459999999</v>
      </c>
      <c r="L1451" s="3" t="s">
        <v>10</v>
      </c>
      <c r="M1451" s="26"/>
    </row>
    <row r="1452" spans="1:13" x14ac:dyDescent="0.25">
      <c r="A1452" s="6">
        <v>1.51296558288964E+17</v>
      </c>
      <c r="B1452" s="31" t="s">
        <v>701</v>
      </c>
      <c r="C1452" s="32" t="str">
        <f t="shared" si="38"/>
        <v>May</v>
      </c>
      <c r="D1452" s="3" t="s">
        <v>25</v>
      </c>
      <c r="E1452" s="6">
        <v>829119</v>
      </c>
      <c r="F1452" s="6">
        <v>7117</v>
      </c>
      <c r="G1452" s="6">
        <v>3</v>
      </c>
      <c r="H1452" s="6">
        <v>169.90291260000001</v>
      </c>
      <c r="I1452" s="6">
        <v>5</v>
      </c>
      <c r="J1452" s="6">
        <v>175</v>
      </c>
      <c r="K1452" s="6">
        <v>48.543689319999999</v>
      </c>
      <c r="L1452" s="3" t="s">
        <v>14</v>
      </c>
      <c r="M1452" s="26"/>
    </row>
    <row r="1453" spans="1:13" x14ac:dyDescent="0.25">
      <c r="A1453" s="6">
        <v>1.53315159459308E+17</v>
      </c>
      <c r="B1453" s="31" t="s">
        <v>712</v>
      </c>
      <c r="C1453" s="32" t="str">
        <f t="shared" si="38"/>
        <v>May</v>
      </c>
      <c r="D1453" s="3" t="s">
        <v>16</v>
      </c>
      <c r="E1453" s="6">
        <v>143001</v>
      </c>
      <c r="F1453" s="6">
        <v>7117</v>
      </c>
      <c r="G1453" s="6">
        <v>3</v>
      </c>
      <c r="H1453" s="6">
        <v>154.368932</v>
      </c>
      <c r="I1453" s="6">
        <v>4</v>
      </c>
      <c r="J1453" s="6">
        <v>159</v>
      </c>
      <c r="K1453" s="6">
        <v>46.601941750000002</v>
      </c>
      <c r="L1453" s="3" t="s">
        <v>10</v>
      </c>
      <c r="M1453" s="26"/>
    </row>
    <row r="1454" spans="1:13" x14ac:dyDescent="0.25">
      <c r="A1454" s="6">
        <v>1.6026701056187802E+17</v>
      </c>
      <c r="B1454" s="31" t="s">
        <v>703</v>
      </c>
      <c r="C1454" s="32" t="str">
        <f t="shared" si="38"/>
        <v>May</v>
      </c>
      <c r="D1454" s="3" t="s">
        <v>9</v>
      </c>
      <c r="E1454" s="6">
        <v>803201</v>
      </c>
      <c r="F1454" s="6">
        <v>7117</v>
      </c>
      <c r="G1454" s="6">
        <v>3</v>
      </c>
      <c r="H1454" s="6">
        <v>193.20388349999999</v>
      </c>
      <c r="I1454" s="6">
        <v>5</v>
      </c>
      <c r="J1454" s="6">
        <v>199</v>
      </c>
      <c r="K1454" s="6">
        <v>71.844660189999999</v>
      </c>
      <c r="L1454" s="3" t="s">
        <v>165</v>
      </c>
      <c r="M1454" s="26"/>
    </row>
    <row r="1455" spans="1:13" x14ac:dyDescent="0.25">
      <c r="A1455" s="6">
        <v>1.6804806059632301E+17</v>
      </c>
      <c r="B1455" s="31" t="s">
        <v>767</v>
      </c>
      <c r="C1455" s="32" t="str">
        <f t="shared" si="38"/>
        <v>Jun</v>
      </c>
      <c r="D1455" s="3" t="s">
        <v>25</v>
      </c>
      <c r="E1455" s="6">
        <v>533435</v>
      </c>
      <c r="F1455" s="6">
        <v>7117</v>
      </c>
      <c r="G1455" s="6">
        <v>3</v>
      </c>
      <c r="H1455" s="6">
        <v>170.8737864</v>
      </c>
      <c r="I1455" s="6">
        <v>5</v>
      </c>
      <c r="J1455" s="6">
        <v>176</v>
      </c>
      <c r="K1455" s="6">
        <v>52.42718447</v>
      </c>
      <c r="L1455" s="3" t="s">
        <v>54</v>
      </c>
      <c r="M1455" s="26"/>
    </row>
    <row r="1456" spans="1:13" x14ac:dyDescent="0.25">
      <c r="A1456" s="6">
        <v>1.6678223752051501E+17</v>
      </c>
      <c r="B1456" s="31" t="s">
        <v>769</v>
      </c>
      <c r="C1456" s="32" t="str">
        <f t="shared" si="38"/>
        <v>Jun</v>
      </c>
      <c r="D1456" s="3" t="s">
        <v>16</v>
      </c>
      <c r="E1456" s="6">
        <v>132103</v>
      </c>
      <c r="F1456" s="6">
        <v>7117</v>
      </c>
      <c r="G1456" s="6">
        <v>3</v>
      </c>
      <c r="H1456" s="6">
        <v>205.82524269999999</v>
      </c>
      <c r="I1456" s="6">
        <v>6</v>
      </c>
      <c r="J1456" s="6">
        <v>212</v>
      </c>
      <c r="K1456" s="6">
        <v>69.902912619999995</v>
      </c>
      <c r="L1456" s="3" t="s">
        <v>969</v>
      </c>
      <c r="M1456" s="26"/>
    </row>
    <row r="1457" spans="1:13" x14ac:dyDescent="0.25">
      <c r="A1457" s="6">
        <v>1.65371657409104E+17</v>
      </c>
      <c r="B1457" s="31" t="s">
        <v>771</v>
      </c>
      <c r="C1457" s="32" t="str">
        <f t="shared" si="38"/>
        <v>Jun</v>
      </c>
      <c r="D1457" s="3" t="s">
        <v>71</v>
      </c>
      <c r="E1457" s="6">
        <v>711106</v>
      </c>
      <c r="F1457" s="6">
        <v>7117</v>
      </c>
      <c r="G1457" s="6">
        <v>3</v>
      </c>
      <c r="H1457" s="6">
        <v>168.93203879999999</v>
      </c>
      <c r="I1457" s="6">
        <v>5</v>
      </c>
      <c r="J1457" s="6">
        <v>174</v>
      </c>
      <c r="K1457" s="6">
        <v>47.57281553</v>
      </c>
      <c r="L1457" s="3" t="s">
        <v>22</v>
      </c>
      <c r="M1457" s="26"/>
    </row>
    <row r="1458" spans="1:13" x14ac:dyDescent="0.25">
      <c r="A1458" s="6">
        <v>1.6406559450841402E+17</v>
      </c>
      <c r="B1458" s="31" t="s">
        <v>773</v>
      </c>
      <c r="C1458" s="32" t="str">
        <f t="shared" si="38"/>
        <v>Jun</v>
      </c>
      <c r="D1458" s="3" t="s">
        <v>16</v>
      </c>
      <c r="E1458" s="6">
        <v>560067</v>
      </c>
      <c r="F1458" s="6">
        <v>7117</v>
      </c>
      <c r="G1458" s="6">
        <v>3</v>
      </c>
      <c r="H1458" s="6">
        <v>154.368932</v>
      </c>
      <c r="I1458" s="6">
        <v>4</v>
      </c>
      <c r="J1458" s="6">
        <v>159</v>
      </c>
      <c r="K1458" s="6">
        <v>36.893203880000002</v>
      </c>
      <c r="L1458" s="3" t="s">
        <v>19</v>
      </c>
      <c r="M1458" s="26"/>
    </row>
    <row r="1459" spans="1:13" x14ac:dyDescent="0.25">
      <c r="A1459" s="6">
        <v>1.7084851242326499E+17</v>
      </c>
      <c r="B1459" s="31" t="s">
        <v>775</v>
      </c>
      <c r="C1459" s="32" t="str">
        <f t="shared" si="38"/>
        <v>Jun</v>
      </c>
      <c r="D1459" s="3" t="s">
        <v>9</v>
      </c>
      <c r="E1459" s="6">
        <v>390001</v>
      </c>
      <c r="F1459" s="6">
        <v>7117</v>
      </c>
      <c r="G1459" s="6">
        <v>3</v>
      </c>
      <c r="H1459" s="6">
        <v>165.04854370000001</v>
      </c>
      <c r="I1459" s="6">
        <v>4</v>
      </c>
      <c r="J1459" s="6">
        <v>170</v>
      </c>
      <c r="K1459" s="6">
        <v>47.57281553</v>
      </c>
      <c r="L1459" s="3" t="s">
        <v>49</v>
      </c>
      <c r="M1459" s="26"/>
    </row>
    <row r="1460" spans="1:13" x14ac:dyDescent="0.25">
      <c r="A1460" s="6">
        <v>1.6227463860804301E+17</v>
      </c>
      <c r="B1460" s="31" t="s">
        <v>777</v>
      </c>
      <c r="C1460" s="32" t="str">
        <f t="shared" si="38"/>
        <v>Jun</v>
      </c>
      <c r="D1460" s="3" t="s">
        <v>25</v>
      </c>
      <c r="E1460" s="6">
        <v>413112</v>
      </c>
      <c r="F1460" s="6">
        <v>7117</v>
      </c>
      <c r="G1460" s="6">
        <v>3</v>
      </c>
      <c r="H1460" s="6">
        <v>157.28155340000001</v>
      </c>
      <c r="I1460" s="6">
        <v>4</v>
      </c>
      <c r="J1460" s="6">
        <v>162</v>
      </c>
      <c r="K1460" s="6">
        <v>39.805825239999997</v>
      </c>
      <c r="L1460" s="3" t="s">
        <v>10</v>
      </c>
      <c r="M1460" s="26"/>
    </row>
    <row r="1461" spans="1:13" x14ac:dyDescent="0.25">
      <c r="A1461" s="6">
        <v>1.6325696122267501E+17</v>
      </c>
      <c r="B1461" s="31" t="s">
        <v>779</v>
      </c>
      <c r="C1461" s="32" t="str">
        <f t="shared" si="38"/>
        <v>Jun</v>
      </c>
      <c r="D1461" s="3" t="s">
        <v>16</v>
      </c>
      <c r="E1461" s="6">
        <v>413112</v>
      </c>
      <c r="F1461" s="6">
        <v>7117</v>
      </c>
      <c r="G1461" s="6">
        <v>3</v>
      </c>
      <c r="H1461" s="6">
        <v>133.9805825</v>
      </c>
      <c r="I1461" s="6">
        <v>4</v>
      </c>
      <c r="J1461" s="6">
        <v>138</v>
      </c>
      <c r="K1461" s="6">
        <v>39.805825239999997</v>
      </c>
      <c r="L1461" s="3" t="s">
        <v>54</v>
      </c>
      <c r="M1461" s="26"/>
    </row>
    <row r="1462" spans="1:13" x14ac:dyDescent="0.25">
      <c r="A1462" s="6">
        <v>1.6324685870639002E+17</v>
      </c>
      <c r="B1462" s="31" t="s">
        <v>779</v>
      </c>
      <c r="C1462" s="32" t="str">
        <f t="shared" si="38"/>
        <v>Jun</v>
      </c>
      <c r="D1462" s="3" t="s">
        <v>25</v>
      </c>
      <c r="E1462" s="6">
        <v>813106</v>
      </c>
      <c r="F1462" s="6">
        <v>7117</v>
      </c>
      <c r="G1462" s="6">
        <v>3</v>
      </c>
      <c r="H1462" s="6">
        <v>165.04854370000001</v>
      </c>
      <c r="I1462" s="6">
        <v>4</v>
      </c>
      <c r="J1462" s="6">
        <v>170</v>
      </c>
      <c r="K1462" s="6">
        <v>35.922330100000003</v>
      </c>
      <c r="L1462" s="3" t="s">
        <v>22</v>
      </c>
      <c r="M1462" s="26"/>
    </row>
    <row r="1463" spans="1:13" x14ac:dyDescent="0.25">
      <c r="A1463" s="6">
        <v>1.6950676994349798E+17</v>
      </c>
      <c r="B1463" s="31" t="s">
        <v>782</v>
      </c>
      <c r="C1463" s="32" t="str">
        <f t="shared" si="38"/>
        <v>Jun</v>
      </c>
      <c r="D1463" s="3" t="s">
        <v>16</v>
      </c>
      <c r="E1463" s="6">
        <v>500008</v>
      </c>
      <c r="F1463" s="6">
        <v>7117</v>
      </c>
      <c r="G1463" s="6">
        <v>3</v>
      </c>
      <c r="H1463" s="6">
        <v>149.5145631</v>
      </c>
      <c r="I1463" s="6">
        <v>4</v>
      </c>
      <c r="J1463" s="6">
        <v>154</v>
      </c>
      <c r="K1463" s="6">
        <v>32.038834950000002</v>
      </c>
      <c r="L1463" s="3" t="s">
        <v>10</v>
      </c>
      <c r="M1463" s="26"/>
    </row>
    <row r="1464" spans="1:13" x14ac:dyDescent="0.25">
      <c r="A1464" s="6">
        <v>1.6830871290415101E+17</v>
      </c>
      <c r="B1464" s="31" t="s">
        <v>784</v>
      </c>
      <c r="C1464" s="32" t="str">
        <f t="shared" si="38"/>
        <v>Jun</v>
      </c>
      <c r="D1464" s="3" t="s">
        <v>16</v>
      </c>
      <c r="E1464" s="6">
        <v>670611</v>
      </c>
      <c r="F1464" s="6">
        <v>7117</v>
      </c>
      <c r="G1464" s="6">
        <v>3</v>
      </c>
      <c r="H1464" s="6">
        <v>159.22330099999999</v>
      </c>
      <c r="I1464" s="6">
        <v>4</v>
      </c>
      <c r="J1464" s="6">
        <v>164</v>
      </c>
      <c r="K1464" s="6">
        <v>37.86407767</v>
      </c>
      <c r="L1464" s="3" t="s">
        <v>22</v>
      </c>
      <c r="M1464" s="26"/>
    </row>
    <row r="1465" spans="1:13" x14ac:dyDescent="0.25">
      <c r="A1465" s="6">
        <v>1.6477945415621402E+17</v>
      </c>
      <c r="B1465" s="31" t="s">
        <v>786</v>
      </c>
      <c r="C1465" s="32" t="str">
        <f t="shared" si="38"/>
        <v>Jun</v>
      </c>
      <c r="D1465" s="3" t="s">
        <v>16</v>
      </c>
      <c r="E1465" s="6">
        <v>152021</v>
      </c>
      <c r="F1465" s="6">
        <v>7117</v>
      </c>
      <c r="G1465" s="6">
        <v>3</v>
      </c>
      <c r="H1465" s="6">
        <v>161.16504850000001</v>
      </c>
      <c r="I1465" s="6">
        <v>4</v>
      </c>
      <c r="J1465" s="6">
        <v>166</v>
      </c>
      <c r="K1465" s="6">
        <v>43.689320389999999</v>
      </c>
      <c r="L1465" s="3" t="s">
        <v>26</v>
      </c>
      <c r="M1465" s="26"/>
    </row>
    <row r="1466" spans="1:13" x14ac:dyDescent="0.25">
      <c r="A1466" s="6">
        <v>1.6319328288386202E+17</v>
      </c>
      <c r="B1466" s="31" t="s">
        <v>779</v>
      </c>
      <c r="C1466" s="32" t="str">
        <f t="shared" si="38"/>
        <v>Jun</v>
      </c>
      <c r="D1466" s="3" t="s">
        <v>16</v>
      </c>
      <c r="E1466" s="6">
        <v>813106</v>
      </c>
      <c r="F1466" s="6">
        <v>7117</v>
      </c>
      <c r="G1466" s="6">
        <v>3</v>
      </c>
      <c r="H1466" s="6">
        <v>133.9805825</v>
      </c>
      <c r="I1466" s="6">
        <v>4</v>
      </c>
      <c r="J1466" s="6">
        <v>138</v>
      </c>
      <c r="K1466" s="6">
        <v>39.805825239999997</v>
      </c>
      <c r="L1466" s="3" t="s">
        <v>41</v>
      </c>
      <c r="M1466" s="26"/>
    </row>
    <row r="1467" spans="1:13" x14ac:dyDescent="0.25">
      <c r="A1467" s="6">
        <v>1.64690090122252E+17</v>
      </c>
      <c r="B1467" s="31" t="s">
        <v>786</v>
      </c>
      <c r="C1467" s="32" t="str">
        <f t="shared" si="38"/>
        <v>Jun</v>
      </c>
      <c r="D1467" s="3" t="s">
        <v>21</v>
      </c>
      <c r="E1467" s="6">
        <v>284002</v>
      </c>
      <c r="F1467" s="6">
        <v>7117</v>
      </c>
      <c r="G1467" s="6">
        <v>3</v>
      </c>
      <c r="H1467" s="6">
        <v>149.5145631</v>
      </c>
      <c r="I1467" s="6">
        <v>4</v>
      </c>
      <c r="J1467" s="6">
        <v>154</v>
      </c>
      <c r="K1467" s="6">
        <v>32.038834950000002</v>
      </c>
      <c r="L1467" s="3" t="s">
        <v>12</v>
      </c>
      <c r="M1467" s="26"/>
    </row>
    <row r="1468" spans="1:13" x14ac:dyDescent="0.25">
      <c r="A1468" s="6">
        <v>1.6079993775018202E+17</v>
      </c>
      <c r="B1468" s="31" t="s">
        <v>790</v>
      </c>
      <c r="C1468" s="32" t="str">
        <f t="shared" si="38"/>
        <v>Jun</v>
      </c>
      <c r="D1468" s="3" t="s">
        <v>16</v>
      </c>
      <c r="E1468" s="6">
        <v>509210</v>
      </c>
      <c r="F1468" s="6">
        <v>7117</v>
      </c>
      <c r="G1468" s="6">
        <v>3</v>
      </c>
      <c r="H1468" s="6">
        <v>171.84466019999999</v>
      </c>
      <c r="I1468" s="6">
        <v>5</v>
      </c>
      <c r="J1468" s="6">
        <v>177</v>
      </c>
      <c r="K1468" s="6">
        <v>54.368932039999997</v>
      </c>
      <c r="L1468" s="3" t="s">
        <v>54</v>
      </c>
      <c r="M1468" s="26"/>
    </row>
    <row r="1469" spans="1:13" x14ac:dyDescent="0.25">
      <c r="A1469" s="6">
        <v>1.6785988908649699E+17</v>
      </c>
      <c r="B1469" s="31" t="s">
        <v>767</v>
      </c>
      <c r="C1469" s="32" t="str">
        <f t="shared" si="38"/>
        <v>Jun</v>
      </c>
      <c r="D1469" s="3" t="s">
        <v>25</v>
      </c>
      <c r="E1469" s="6">
        <v>751024</v>
      </c>
      <c r="F1469" s="6">
        <v>7117</v>
      </c>
      <c r="G1469" s="6">
        <v>3</v>
      </c>
      <c r="H1469" s="6">
        <v>191.2621359</v>
      </c>
      <c r="I1469" s="6">
        <v>5</v>
      </c>
      <c r="J1469" s="6">
        <v>197</v>
      </c>
      <c r="K1469" s="6">
        <v>69.902912619999995</v>
      </c>
      <c r="L1469" s="3" t="s">
        <v>165</v>
      </c>
      <c r="M1469" s="26"/>
    </row>
    <row r="1470" spans="1:13" x14ac:dyDescent="0.25">
      <c r="A1470" s="6">
        <v>1.6298851786218202E+17</v>
      </c>
      <c r="B1470" s="31" t="s">
        <v>793</v>
      </c>
      <c r="C1470" s="32" t="str">
        <f t="shared" si="38"/>
        <v>Jun</v>
      </c>
      <c r="D1470" s="3" t="s">
        <v>33</v>
      </c>
      <c r="E1470" s="6">
        <v>845451</v>
      </c>
      <c r="F1470" s="6">
        <v>7117</v>
      </c>
      <c r="G1470" s="6">
        <v>3</v>
      </c>
      <c r="H1470" s="6">
        <v>460.19417479999998</v>
      </c>
      <c r="I1470" s="6">
        <v>13</v>
      </c>
      <c r="J1470" s="6">
        <v>474</v>
      </c>
      <c r="K1470" s="6">
        <v>107.76699029</v>
      </c>
      <c r="L1470" s="3" t="s">
        <v>22</v>
      </c>
      <c r="M1470" s="26"/>
    </row>
    <row r="1471" spans="1:13" x14ac:dyDescent="0.25">
      <c r="A1471" s="6">
        <v>1.6568336740964899E+17</v>
      </c>
      <c r="B1471" s="31" t="s">
        <v>795</v>
      </c>
      <c r="C1471" s="32" t="str">
        <f t="shared" si="38"/>
        <v>Jun</v>
      </c>
      <c r="D1471" s="3" t="s">
        <v>21</v>
      </c>
      <c r="E1471" s="6">
        <v>600055</v>
      </c>
      <c r="F1471" s="6">
        <v>7117</v>
      </c>
      <c r="G1471" s="6">
        <v>3</v>
      </c>
      <c r="H1471" s="6">
        <v>172.81553400000001</v>
      </c>
      <c r="I1471" s="6">
        <v>5</v>
      </c>
      <c r="J1471" s="6">
        <v>178</v>
      </c>
      <c r="K1471" s="6">
        <v>55.339805830000003</v>
      </c>
      <c r="L1471" s="3" t="s">
        <v>19</v>
      </c>
      <c r="M1471" s="26"/>
    </row>
    <row r="1472" spans="1:13" x14ac:dyDescent="0.25">
      <c r="A1472" s="6">
        <v>1.6362967978485699E+17</v>
      </c>
      <c r="B1472" s="31" t="s">
        <v>797</v>
      </c>
      <c r="C1472" s="32" t="str">
        <f t="shared" si="38"/>
        <v>Jun</v>
      </c>
      <c r="D1472" s="3" t="s">
        <v>21</v>
      </c>
      <c r="E1472" s="6">
        <v>825336</v>
      </c>
      <c r="F1472" s="6">
        <v>7117</v>
      </c>
      <c r="G1472" s="6">
        <v>3</v>
      </c>
      <c r="H1472" s="6">
        <v>175.7281553</v>
      </c>
      <c r="I1472" s="6">
        <v>5</v>
      </c>
      <c r="J1472" s="6">
        <v>181</v>
      </c>
      <c r="K1472" s="6">
        <v>58.252427179999998</v>
      </c>
      <c r="L1472" s="3" t="s">
        <v>19</v>
      </c>
      <c r="M1472" s="26"/>
    </row>
    <row r="1473" spans="1:13" x14ac:dyDescent="0.25">
      <c r="A1473" s="6">
        <v>1.6691763926751699E+17</v>
      </c>
      <c r="B1473" s="31" t="s">
        <v>769</v>
      </c>
      <c r="C1473" s="32" t="str">
        <f t="shared" si="38"/>
        <v>Jun</v>
      </c>
      <c r="D1473" s="3" t="s">
        <v>25</v>
      </c>
      <c r="E1473" s="6">
        <v>813106</v>
      </c>
      <c r="F1473" s="6">
        <v>7117</v>
      </c>
      <c r="G1473" s="6">
        <v>3</v>
      </c>
      <c r="H1473" s="6">
        <v>224.2718447</v>
      </c>
      <c r="I1473" s="6">
        <v>6</v>
      </c>
      <c r="J1473" s="6">
        <v>231</v>
      </c>
      <c r="K1473" s="6">
        <v>69.902912619999995</v>
      </c>
      <c r="L1473" s="3" t="s">
        <v>35</v>
      </c>
      <c r="M1473" s="26"/>
    </row>
    <row r="1474" spans="1:13" x14ac:dyDescent="0.25">
      <c r="A1474" s="6">
        <v>1.6584799157022301E+17</v>
      </c>
      <c r="B1474" s="31" t="s">
        <v>795</v>
      </c>
      <c r="C1474" s="32" t="str">
        <f t="shared" si="38"/>
        <v>Jun</v>
      </c>
      <c r="D1474" s="3" t="s">
        <v>9</v>
      </c>
      <c r="E1474" s="6">
        <v>301020</v>
      </c>
      <c r="F1474" s="6">
        <v>7117</v>
      </c>
      <c r="G1474" s="6">
        <v>3</v>
      </c>
      <c r="H1474" s="6">
        <v>162.1359223</v>
      </c>
      <c r="I1474" s="6">
        <v>4</v>
      </c>
      <c r="J1474" s="6">
        <v>167</v>
      </c>
      <c r="K1474" s="6">
        <v>44.660194169999997</v>
      </c>
      <c r="L1474" s="3" t="s">
        <v>10</v>
      </c>
      <c r="M1474" s="26"/>
    </row>
    <row r="1475" spans="1:13" x14ac:dyDescent="0.25">
      <c r="A1475" s="6">
        <v>1.6579336592611901E+17</v>
      </c>
      <c r="B1475" s="31" t="s">
        <v>795</v>
      </c>
      <c r="C1475" s="32" t="str">
        <f t="shared" ref="C1475:C1538" si="39">TEXT(B1475, "mmm")</f>
        <v>Jun</v>
      </c>
      <c r="D1475" s="3" t="s">
        <v>16</v>
      </c>
      <c r="E1475" s="6">
        <v>534112</v>
      </c>
      <c r="F1475" s="6">
        <v>7117</v>
      </c>
      <c r="G1475" s="6">
        <v>3</v>
      </c>
      <c r="H1475" s="6">
        <v>131.06796120000001</v>
      </c>
      <c r="I1475" s="6">
        <v>3</v>
      </c>
      <c r="J1475" s="6">
        <v>135</v>
      </c>
      <c r="K1475" s="6">
        <v>36.893203880000002</v>
      </c>
      <c r="L1475" s="3" t="s">
        <v>19</v>
      </c>
      <c r="M1475" s="26"/>
    </row>
    <row r="1476" spans="1:13" x14ac:dyDescent="0.25">
      <c r="A1476" s="6">
        <v>1.67521509829804E+17</v>
      </c>
      <c r="B1476" s="31" t="s">
        <v>802</v>
      </c>
      <c r="C1476" s="32" t="str">
        <f t="shared" si="39"/>
        <v>Jun</v>
      </c>
      <c r="D1476" s="3" t="s">
        <v>16</v>
      </c>
      <c r="E1476" s="6">
        <v>110059</v>
      </c>
      <c r="F1476" s="6">
        <v>7117</v>
      </c>
      <c r="G1476" s="6">
        <v>3</v>
      </c>
      <c r="H1476" s="6">
        <v>155.33980579999999</v>
      </c>
      <c r="I1476" s="6">
        <v>4</v>
      </c>
      <c r="J1476" s="6">
        <v>160</v>
      </c>
      <c r="K1476" s="6">
        <v>37.86407767</v>
      </c>
      <c r="L1476" s="3" t="s">
        <v>54</v>
      </c>
      <c r="M1476" s="26"/>
    </row>
    <row r="1477" spans="1:13" x14ac:dyDescent="0.25">
      <c r="A1477" s="6">
        <v>1.6547086458116701E+17</v>
      </c>
      <c r="B1477" s="31" t="s">
        <v>771</v>
      </c>
      <c r="C1477" s="32" t="str">
        <f t="shared" si="39"/>
        <v>Jun</v>
      </c>
      <c r="D1477" s="3" t="s">
        <v>16</v>
      </c>
      <c r="E1477" s="6">
        <v>828112</v>
      </c>
      <c r="F1477" s="6">
        <v>7117</v>
      </c>
      <c r="G1477" s="6">
        <v>3</v>
      </c>
      <c r="H1477" s="6">
        <v>151.45631069999999</v>
      </c>
      <c r="I1477" s="6">
        <v>4</v>
      </c>
      <c r="J1477" s="6">
        <v>156</v>
      </c>
      <c r="K1477" s="6">
        <v>47.57281553</v>
      </c>
      <c r="L1477" s="3" t="s">
        <v>22</v>
      </c>
      <c r="M1477" s="26"/>
    </row>
    <row r="1478" spans="1:13" x14ac:dyDescent="0.25">
      <c r="A1478" s="6">
        <v>1.6284301529824198E+17</v>
      </c>
      <c r="B1478" s="31" t="s">
        <v>793</v>
      </c>
      <c r="C1478" s="32" t="str">
        <f t="shared" si="39"/>
        <v>Jun</v>
      </c>
      <c r="D1478" s="3" t="s">
        <v>16</v>
      </c>
      <c r="E1478" s="6">
        <v>500030</v>
      </c>
      <c r="F1478" s="6">
        <v>7117</v>
      </c>
      <c r="G1478" s="6">
        <v>3</v>
      </c>
      <c r="H1478" s="6">
        <v>169.90291260000001</v>
      </c>
      <c r="I1478" s="6">
        <v>5</v>
      </c>
      <c r="J1478" s="6">
        <v>175</v>
      </c>
      <c r="K1478" s="6">
        <v>48.543689319999999</v>
      </c>
      <c r="L1478" s="3" t="s">
        <v>46</v>
      </c>
      <c r="M1478" s="26"/>
    </row>
    <row r="1479" spans="1:13" x14ac:dyDescent="0.25">
      <c r="A1479" s="6">
        <v>1.6056727299453699E+17</v>
      </c>
      <c r="B1479" s="31" t="s">
        <v>790</v>
      </c>
      <c r="C1479" s="32" t="str">
        <f t="shared" si="39"/>
        <v>Jun</v>
      </c>
      <c r="D1479" s="3" t="s">
        <v>25</v>
      </c>
      <c r="E1479" s="6">
        <v>486331</v>
      </c>
      <c r="F1479" s="6">
        <v>7117</v>
      </c>
      <c r="G1479" s="6">
        <v>3</v>
      </c>
      <c r="H1479" s="6">
        <v>162.1359223</v>
      </c>
      <c r="I1479" s="6">
        <v>4</v>
      </c>
      <c r="J1479" s="6">
        <v>167</v>
      </c>
      <c r="K1479" s="6">
        <v>48.543689319999999</v>
      </c>
      <c r="L1479" s="3" t="s">
        <v>10</v>
      </c>
      <c r="M1479" s="26"/>
    </row>
    <row r="1480" spans="1:13" x14ac:dyDescent="0.25">
      <c r="A1480" s="6">
        <v>1.6787277222258301E+17</v>
      </c>
      <c r="B1480" s="31" t="s">
        <v>767</v>
      </c>
      <c r="C1480" s="32" t="str">
        <f t="shared" si="39"/>
        <v>Jun</v>
      </c>
      <c r="D1480" s="3" t="s">
        <v>16</v>
      </c>
      <c r="E1480" s="6">
        <v>841226</v>
      </c>
      <c r="F1480" s="6">
        <v>7117</v>
      </c>
      <c r="G1480" s="6">
        <v>3</v>
      </c>
      <c r="H1480" s="6">
        <v>164.07766989999999</v>
      </c>
      <c r="I1480" s="6">
        <v>4</v>
      </c>
      <c r="J1480" s="6">
        <v>169</v>
      </c>
      <c r="K1480" s="6">
        <v>46.601941750000002</v>
      </c>
      <c r="L1480" s="3" t="s">
        <v>19</v>
      </c>
      <c r="M1480" s="26"/>
    </row>
    <row r="1481" spans="1:13" x14ac:dyDescent="0.25">
      <c r="A1481" s="6">
        <v>1.6317151352755002E+17</v>
      </c>
      <c r="B1481" s="31" t="s">
        <v>779</v>
      </c>
      <c r="C1481" s="32" t="str">
        <f t="shared" si="39"/>
        <v>Jun</v>
      </c>
      <c r="D1481" s="3" t="s">
        <v>16</v>
      </c>
      <c r="E1481" s="6">
        <v>421002</v>
      </c>
      <c r="F1481" s="6">
        <v>7117</v>
      </c>
      <c r="G1481" s="6">
        <v>3</v>
      </c>
      <c r="H1481" s="6">
        <v>153.3980583</v>
      </c>
      <c r="I1481" s="6">
        <v>4</v>
      </c>
      <c r="J1481" s="6">
        <v>158</v>
      </c>
      <c r="K1481" s="6">
        <v>35.922330100000003</v>
      </c>
      <c r="L1481" s="3" t="s">
        <v>63</v>
      </c>
      <c r="M1481" s="26"/>
    </row>
    <row r="1482" spans="1:13" x14ac:dyDescent="0.25">
      <c r="A1482" s="6">
        <v>1.6323484271991501E+17</v>
      </c>
      <c r="B1482" s="31" t="s">
        <v>779</v>
      </c>
      <c r="C1482" s="32" t="str">
        <f t="shared" si="39"/>
        <v>Jun</v>
      </c>
      <c r="D1482" s="3" t="s">
        <v>16</v>
      </c>
      <c r="E1482" s="6">
        <v>852109</v>
      </c>
      <c r="F1482" s="6">
        <v>330410</v>
      </c>
      <c r="G1482" s="6">
        <v>18</v>
      </c>
      <c r="H1482" s="6">
        <v>202.5423729</v>
      </c>
      <c r="I1482" s="6">
        <v>36</v>
      </c>
      <c r="J1482" s="6">
        <v>239</v>
      </c>
      <c r="K1482" s="6">
        <v>45.762711860000003</v>
      </c>
      <c r="L1482" s="3" t="s">
        <v>17</v>
      </c>
      <c r="M1482" s="26"/>
    </row>
    <row r="1483" spans="1:13" x14ac:dyDescent="0.25">
      <c r="A1483" s="6">
        <v>1.6310536698990099E+17</v>
      </c>
      <c r="B1483" s="31" t="s">
        <v>779</v>
      </c>
      <c r="C1483" s="32" t="str">
        <f t="shared" si="39"/>
        <v>Jun</v>
      </c>
      <c r="D1483" s="3" t="s">
        <v>25</v>
      </c>
      <c r="E1483" s="6">
        <v>403521</v>
      </c>
      <c r="F1483" s="6">
        <v>7117</v>
      </c>
      <c r="G1483" s="6">
        <v>3</v>
      </c>
      <c r="H1483" s="6">
        <v>147.57281549999999</v>
      </c>
      <c r="I1483" s="6">
        <v>4</v>
      </c>
      <c r="J1483" s="6">
        <v>152</v>
      </c>
      <c r="K1483" s="6">
        <v>53.398058249999998</v>
      </c>
      <c r="L1483" s="3" t="s">
        <v>27</v>
      </c>
      <c r="M1483" s="26"/>
    </row>
    <row r="1484" spans="1:13" x14ac:dyDescent="0.25">
      <c r="A1484" s="6">
        <v>1.7084407999847101E+17</v>
      </c>
      <c r="B1484" s="31" t="s">
        <v>775</v>
      </c>
      <c r="C1484" s="32" t="str">
        <f t="shared" si="39"/>
        <v>Jun</v>
      </c>
      <c r="D1484" s="3" t="s">
        <v>16</v>
      </c>
      <c r="E1484" s="6">
        <v>804432</v>
      </c>
      <c r="F1484" s="6">
        <v>7117</v>
      </c>
      <c r="G1484" s="6">
        <v>3</v>
      </c>
      <c r="H1484" s="6">
        <v>188.34951459999999</v>
      </c>
      <c r="I1484" s="6">
        <v>5</v>
      </c>
      <c r="J1484" s="6">
        <v>194</v>
      </c>
      <c r="K1484" s="6">
        <v>70.873786409999994</v>
      </c>
      <c r="L1484" s="3" t="s">
        <v>54</v>
      </c>
      <c r="M1484" s="26"/>
    </row>
    <row r="1485" spans="1:13" x14ac:dyDescent="0.25">
      <c r="A1485" s="6">
        <v>1.6056692148438E+17</v>
      </c>
      <c r="B1485" s="31" t="s">
        <v>790</v>
      </c>
      <c r="C1485" s="32" t="str">
        <f t="shared" si="39"/>
        <v>Jun</v>
      </c>
      <c r="D1485" s="3" t="s">
        <v>52</v>
      </c>
      <c r="E1485" s="6">
        <v>495004</v>
      </c>
      <c r="F1485" s="6">
        <v>7117</v>
      </c>
      <c r="G1485" s="6">
        <v>3</v>
      </c>
      <c r="H1485" s="6">
        <v>162.1359223</v>
      </c>
      <c r="I1485" s="6">
        <v>4</v>
      </c>
      <c r="J1485" s="6">
        <v>167</v>
      </c>
      <c r="K1485" s="6">
        <v>48.543689319999999</v>
      </c>
      <c r="L1485" s="3" t="s">
        <v>10</v>
      </c>
      <c r="M1485" s="26"/>
    </row>
    <row r="1486" spans="1:13" x14ac:dyDescent="0.25">
      <c r="A1486" s="6">
        <v>1.61399886058196E+17</v>
      </c>
      <c r="B1486" s="31" t="s">
        <v>813</v>
      </c>
      <c r="C1486" s="32" t="str">
        <f t="shared" si="39"/>
        <v>Jun</v>
      </c>
      <c r="D1486" s="3" t="s">
        <v>16</v>
      </c>
      <c r="E1486" s="6">
        <v>335501</v>
      </c>
      <c r="F1486" s="6">
        <v>7117</v>
      </c>
      <c r="G1486" s="6">
        <v>3</v>
      </c>
      <c r="H1486" s="6">
        <v>147.57281549999999</v>
      </c>
      <c r="I1486" s="6">
        <v>4</v>
      </c>
      <c r="J1486" s="6">
        <v>152</v>
      </c>
      <c r="K1486" s="6">
        <v>53.398058249999998</v>
      </c>
      <c r="L1486" s="3" t="s">
        <v>12</v>
      </c>
      <c r="M1486" s="26"/>
    </row>
    <row r="1487" spans="1:13" x14ac:dyDescent="0.25">
      <c r="A1487" s="6">
        <v>1.6903216643136198E+17</v>
      </c>
      <c r="B1487" s="31" t="s">
        <v>815</v>
      </c>
      <c r="C1487" s="32" t="str">
        <f t="shared" si="39"/>
        <v>Jun</v>
      </c>
      <c r="D1487" s="3" t="s">
        <v>9</v>
      </c>
      <c r="E1487" s="6">
        <v>829301</v>
      </c>
      <c r="F1487" s="6">
        <v>7117</v>
      </c>
      <c r="G1487" s="6">
        <v>3</v>
      </c>
      <c r="H1487" s="6">
        <v>111.65048539999999</v>
      </c>
      <c r="I1487" s="6">
        <v>3</v>
      </c>
      <c r="J1487" s="6">
        <v>115</v>
      </c>
      <c r="K1487" s="6">
        <v>44.660194169999997</v>
      </c>
      <c r="L1487" s="3" t="s">
        <v>10</v>
      </c>
      <c r="M1487" s="26"/>
    </row>
    <row r="1488" spans="1:13" x14ac:dyDescent="0.25">
      <c r="A1488" s="6">
        <v>1.6721144941304198E+17</v>
      </c>
      <c r="B1488" s="31" t="s">
        <v>817</v>
      </c>
      <c r="C1488" s="32" t="str">
        <f t="shared" si="39"/>
        <v>Jun</v>
      </c>
      <c r="D1488" s="3" t="s">
        <v>16</v>
      </c>
      <c r="E1488" s="6">
        <v>534437</v>
      </c>
      <c r="F1488" s="6">
        <v>7117</v>
      </c>
      <c r="G1488" s="6">
        <v>3</v>
      </c>
      <c r="H1488" s="6">
        <v>146.6019417</v>
      </c>
      <c r="I1488" s="6">
        <v>4</v>
      </c>
      <c r="J1488" s="6">
        <v>151</v>
      </c>
      <c r="K1488" s="6">
        <v>66.990291260000006</v>
      </c>
      <c r="L1488" s="3" t="s">
        <v>19</v>
      </c>
      <c r="M1488" s="26"/>
    </row>
    <row r="1489" spans="1:13" x14ac:dyDescent="0.25">
      <c r="A1489" s="6">
        <v>1.6317190564464198E+17</v>
      </c>
      <c r="B1489" s="31" t="s">
        <v>779</v>
      </c>
      <c r="C1489" s="32" t="str">
        <f t="shared" si="39"/>
        <v>Jun</v>
      </c>
      <c r="D1489" s="3" t="s">
        <v>16</v>
      </c>
      <c r="E1489" s="6">
        <v>811315</v>
      </c>
      <c r="F1489" s="6">
        <v>7117</v>
      </c>
      <c r="G1489" s="6">
        <v>3</v>
      </c>
      <c r="H1489" s="6">
        <v>214.56310680000001</v>
      </c>
      <c r="I1489" s="6">
        <v>6</v>
      </c>
      <c r="J1489" s="6">
        <v>221</v>
      </c>
      <c r="K1489" s="6">
        <v>60.194174760000003</v>
      </c>
      <c r="L1489" s="3" t="s">
        <v>41</v>
      </c>
      <c r="M1489" s="26"/>
    </row>
    <row r="1490" spans="1:13" x14ac:dyDescent="0.25">
      <c r="A1490" s="6">
        <v>1.62794638481408E+17</v>
      </c>
      <c r="B1490" s="31" t="s">
        <v>793</v>
      </c>
      <c r="C1490" s="32" t="str">
        <f t="shared" si="39"/>
        <v>Jun</v>
      </c>
      <c r="D1490" s="3" t="s">
        <v>9</v>
      </c>
      <c r="E1490" s="6">
        <v>281501</v>
      </c>
      <c r="F1490" s="6">
        <v>7117</v>
      </c>
      <c r="G1490" s="6">
        <v>3</v>
      </c>
      <c r="H1490" s="6">
        <v>161.16504850000001</v>
      </c>
      <c r="I1490" s="6">
        <v>4</v>
      </c>
      <c r="J1490" s="6">
        <v>166</v>
      </c>
      <c r="K1490" s="6">
        <v>43.689320389999999</v>
      </c>
      <c r="L1490" s="3" t="s">
        <v>53</v>
      </c>
      <c r="M1490" s="26"/>
    </row>
    <row r="1491" spans="1:13" x14ac:dyDescent="0.25">
      <c r="A1491" s="6">
        <v>1.6694239435590899E+17</v>
      </c>
      <c r="B1491" s="31" t="s">
        <v>769</v>
      </c>
      <c r="C1491" s="32" t="str">
        <f t="shared" si="39"/>
        <v>Jun</v>
      </c>
      <c r="D1491" s="3" t="s">
        <v>9</v>
      </c>
      <c r="E1491" s="6">
        <v>814152</v>
      </c>
      <c r="F1491" s="6">
        <v>7117</v>
      </c>
      <c r="G1491" s="6">
        <v>3</v>
      </c>
      <c r="H1491" s="6">
        <v>170.8737864</v>
      </c>
      <c r="I1491" s="6">
        <v>5</v>
      </c>
      <c r="J1491" s="6">
        <v>176</v>
      </c>
      <c r="K1491" s="6">
        <v>53.398058249999998</v>
      </c>
      <c r="L1491" s="3" t="s">
        <v>12</v>
      </c>
      <c r="M1491" s="26"/>
    </row>
    <row r="1492" spans="1:13" x14ac:dyDescent="0.25">
      <c r="A1492" s="6">
        <v>1.6765862815578899E+17</v>
      </c>
      <c r="B1492" s="31" t="s">
        <v>802</v>
      </c>
      <c r="C1492" s="32" t="str">
        <f t="shared" si="39"/>
        <v>Jun</v>
      </c>
      <c r="D1492" s="3" t="s">
        <v>9</v>
      </c>
      <c r="E1492" s="6">
        <v>531024</v>
      </c>
      <c r="F1492" s="6">
        <v>7117</v>
      </c>
      <c r="G1492" s="6">
        <v>3</v>
      </c>
      <c r="H1492" s="6">
        <v>193.20388349999999</v>
      </c>
      <c r="I1492" s="6">
        <v>5</v>
      </c>
      <c r="J1492" s="6">
        <v>199</v>
      </c>
      <c r="K1492" s="6">
        <v>52.42718447</v>
      </c>
      <c r="L1492" s="3" t="s">
        <v>27</v>
      </c>
      <c r="M1492" s="26"/>
    </row>
    <row r="1493" spans="1:13" x14ac:dyDescent="0.25">
      <c r="A1493" s="6">
        <v>1.6082333255867802E+17</v>
      </c>
      <c r="B1493" s="31" t="s">
        <v>823</v>
      </c>
      <c r="C1493" s="32" t="str">
        <f t="shared" si="39"/>
        <v>Jun</v>
      </c>
      <c r="D1493" s="3" t="s">
        <v>16</v>
      </c>
      <c r="E1493" s="6">
        <v>431501</v>
      </c>
      <c r="F1493" s="6">
        <v>7117</v>
      </c>
      <c r="G1493" s="6">
        <v>3</v>
      </c>
      <c r="H1493" s="6">
        <v>122.3300971</v>
      </c>
      <c r="I1493" s="6">
        <v>3</v>
      </c>
      <c r="J1493" s="6">
        <v>126</v>
      </c>
      <c r="K1493" s="6">
        <v>28.155339810000001</v>
      </c>
      <c r="L1493" s="3" t="s">
        <v>46</v>
      </c>
      <c r="M1493" s="26"/>
    </row>
    <row r="1494" spans="1:13" x14ac:dyDescent="0.25">
      <c r="A1494" s="6">
        <v>1.6781045548512099E+17</v>
      </c>
      <c r="B1494" s="31" t="s">
        <v>767</v>
      </c>
      <c r="C1494" s="32" t="str">
        <f t="shared" si="39"/>
        <v>Jun</v>
      </c>
      <c r="D1494" s="3" t="s">
        <v>16</v>
      </c>
      <c r="E1494" s="6">
        <v>140402</v>
      </c>
      <c r="F1494" s="6">
        <v>7117</v>
      </c>
      <c r="G1494" s="6">
        <v>3</v>
      </c>
      <c r="H1494" s="6">
        <v>152.42718450000001</v>
      </c>
      <c r="I1494" s="6">
        <v>4</v>
      </c>
      <c r="J1494" s="6">
        <v>157</v>
      </c>
      <c r="K1494" s="6">
        <v>48.543689319999999</v>
      </c>
      <c r="L1494" s="3" t="s">
        <v>22</v>
      </c>
      <c r="M1494" s="26"/>
    </row>
    <row r="1495" spans="1:13" x14ac:dyDescent="0.25">
      <c r="A1495" s="6">
        <v>1.6538283656062701E+17</v>
      </c>
      <c r="B1495" s="31" t="s">
        <v>771</v>
      </c>
      <c r="C1495" s="32" t="str">
        <f t="shared" si="39"/>
        <v>Jun</v>
      </c>
      <c r="D1495" s="3" t="s">
        <v>16</v>
      </c>
      <c r="E1495" s="6">
        <v>501218</v>
      </c>
      <c r="F1495" s="6">
        <v>7117</v>
      </c>
      <c r="G1495" s="6">
        <v>3</v>
      </c>
      <c r="H1495" s="6">
        <v>166.0194175</v>
      </c>
      <c r="I1495" s="6">
        <v>4</v>
      </c>
      <c r="J1495" s="6">
        <v>171</v>
      </c>
      <c r="K1495" s="6">
        <v>44.660194169999997</v>
      </c>
      <c r="L1495" s="3" t="s">
        <v>10</v>
      </c>
      <c r="M1495" s="26"/>
    </row>
    <row r="1496" spans="1:13" x14ac:dyDescent="0.25">
      <c r="A1496" s="6">
        <v>1.6468264103212E+17</v>
      </c>
      <c r="B1496" s="31" t="s">
        <v>786</v>
      </c>
      <c r="C1496" s="32" t="str">
        <f t="shared" si="39"/>
        <v>Jun</v>
      </c>
      <c r="D1496" s="3" t="s">
        <v>25</v>
      </c>
      <c r="E1496" s="6">
        <v>273006</v>
      </c>
      <c r="F1496" s="6">
        <v>7117</v>
      </c>
      <c r="G1496" s="6">
        <v>3</v>
      </c>
      <c r="H1496" s="6">
        <v>160.19417480000001</v>
      </c>
      <c r="I1496" s="6">
        <v>4</v>
      </c>
      <c r="J1496" s="6">
        <v>165</v>
      </c>
      <c r="K1496" s="6">
        <v>42.7184466</v>
      </c>
      <c r="L1496" s="3" t="s">
        <v>10</v>
      </c>
      <c r="M1496" s="26"/>
    </row>
    <row r="1497" spans="1:13" x14ac:dyDescent="0.25">
      <c r="A1497" s="6">
        <v>1.6807806952023699E+17</v>
      </c>
      <c r="B1497" s="31" t="s">
        <v>784</v>
      </c>
      <c r="C1497" s="32" t="str">
        <f t="shared" si="39"/>
        <v>Jun</v>
      </c>
      <c r="D1497" s="3" t="s">
        <v>16</v>
      </c>
      <c r="E1497" s="6">
        <v>440034</v>
      </c>
      <c r="F1497" s="6">
        <v>7117</v>
      </c>
      <c r="G1497" s="6">
        <v>3</v>
      </c>
      <c r="H1497" s="6">
        <v>174.7572816</v>
      </c>
      <c r="I1497" s="6">
        <v>5</v>
      </c>
      <c r="J1497" s="6">
        <v>180</v>
      </c>
      <c r="K1497" s="6">
        <v>33.009708740000001</v>
      </c>
      <c r="L1497" s="3" t="s">
        <v>28</v>
      </c>
      <c r="M1497" s="26"/>
    </row>
    <row r="1498" spans="1:13" x14ac:dyDescent="0.25">
      <c r="A1498" s="6">
        <v>1.6312760568706202E+17</v>
      </c>
      <c r="B1498" s="31" t="s">
        <v>779</v>
      </c>
      <c r="C1498" s="32" t="str">
        <f t="shared" si="39"/>
        <v>Jun</v>
      </c>
      <c r="D1498" s="3" t="s">
        <v>16</v>
      </c>
      <c r="E1498" s="6">
        <v>276205</v>
      </c>
      <c r="F1498" s="6">
        <v>7117</v>
      </c>
      <c r="G1498" s="6">
        <v>3</v>
      </c>
      <c r="H1498" s="6">
        <v>165.04854370000001</v>
      </c>
      <c r="I1498" s="6">
        <v>4</v>
      </c>
      <c r="J1498" s="6">
        <v>170</v>
      </c>
      <c r="K1498" s="6">
        <v>47.57281553</v>
      </c>
      <c r="L1498" s="3" t="s">
        <v>28</v>
      </c>
      <c r="M1498" s="26"/>
    </row>
    <row r="1499" spans="1:13" x14ac:dyDescent="0.25">
      <c r="A1499" s="6">
        <v>1.6062680723260499E+17</v>
      </c>
      <c r="B1499" s="31" t="s">
        <v>790</v>
      </c>
      <c r="C1499" s="32" t="str">
        <f t="shared" si="39"/>
        <v>Jun</v>
      </c>
      <c r="D1499" s="3" t="s">
        <v>16</v>
      </c>
      <c r="E1499" s="6">
        <v>303712</v>
      </c>
      <c r="F1499" s="6">
        <v>330410</v>
      </c>
      <c r="G1499" s="6">
        <v>18</v>
      </c>
      <c r="H1499" s="6">
        <v>176.2711864</v>
      </c>
      <c r="I1499" s="6">
        <v>31</v>
      </c>
      <c r="J1499" s="6">
        <v>208</v>
      </c>
      <c r="K1499" s="6">
        <v>45.762711860000003</v>
      </c>
      <c r="L1499" s="3" t="s">
        <v>10</v>
      </c>
      <c r="M1499" s="26"/>
    </row>
    <row r="1500" spans="1:13" x14ac:dyDescent="0.25">
      <c r="A1500" s="6">
        <v>1.69400631906372E+17</v>
      </c>
      <c r="B1500" s="31" t="s">
        <v>782</v>
      </c>
      <c r="C1500" s="32" t="str">
        <f t="shared" si="39"/>
        <v>Jun</v>
      </c>
      <c r="D1500" s="3" t="s">
        <v>16</v>
      </c>
      <c r="E1500" s="6">
        <v>493118</v>
      </c>
      <c r="F1500" s="6">
        <v>7117</v>
      </c>
      <c r="G1500" s="6">
        <v>3</v>
      </c>
      <c r="H1500" s="6">
        <v>128.15533980000001</v>
      </c>
      <c r="I1500" s="6">
        <v>3</v>
      </c>
      <c r="J1500" s="6">
        <v>132</v>
      </c>
      <c r="K1500" s="6">
        <v>33.980582519999999</v>
      </c>
      <c r="L1500" s="3" t="s">
        <v>46</v>
      </c>
      <c r="M1500" s="26"/>
    </row>
    <row r="1501" spans="1:13" x14ac:dyDescent="0.25">
      <c r="A1501" s="6">
        <v>1.6547176512517101E+17</v>
      </c>
      <c r="B1501" s="31" t="s">
        <v>771</v>
      </c>
      <c r="C1501" s="32" t="str">
        <f t="shared" si="39"/>
        <v>Jun</v>
      </c>
      <c r="D1501" s="3" t="s">
        <v>21</v>
      </c>
      <c r="E1501" s="6">
        <v>145025</v>
      </c>
      <c r="F1501" s="6">
        <v>7117</v>
      </c>
      <c r="G1501" s="6">
        <v>3</v>
      </c>
      <c r="H1501" s="6">
        <v>151.45631069999999</v>
      </c>
      <c r="I1501" s="6">
        <v>4</v>
      </c>
      <c r="J1501" s="6">
        <v>156</v>
      </c>
      <c r="K1501" s="6">
        <v>47.57281553</v>
      </c>
      <c r="L1501" s="3" t="s">
        <v>22</v>
      </c>
      <c r="M1501" s="26"/>
    </row>
    <row r="1502" spans="1:13" x14ac:dyDescent="0.25">
      <c r="A1502" s="6">
        <v>1.6586363562600198E+17</v>
      </c>
      <c r="B1502" s="31" t="s">
        <v>795</v>
      </c>
      <c r="C1502" s="32" t="str">
        <f t="shared" si="39"/>
        <v>Jun</v>
      </c>
      <c r="D1502" s="3" t="s">
        <v>25</v>
      </c>
      <c r="E1502" s="6">
        <v>121003</v>
      </c>
      <c r="F1502" s="6">
        <v>7117</v>
      </c>
      <c r="G1502" s="6">
        <v>3</v>
      </c>
      <c r="H1502" s="6">
        <v>207.7669903</v>
      </c>
      <c r="I1502" s="6">
        <v>6</v>
      </c>
      <c r="J1502" s="6">
        <v>214</v>
      </c>
      <c r="K1502" s="6">
        <v>53.398058249999998</v>
      </c>
      <c r="L1502" s="3" t="s">
        <v>14</v>
      </c>
      <c r="M1502" s="26"/>
    </row>
    <row r="1503" spans="1:13" x14ac:dyDescent="0.25">
      <c r="A1503" s="6">
        <v>1.70756798972792E+17</v>
      </c>
      <c r="B1503" s="31" t="s">
        <v>775</v>
      </c>
      <c r="C1503" s="32" t="str">
        <f t="shared" si="39"/>
        <v>Jun</v>
      </c>
      <c r="D1503" s="3" t="s">
        <v>16</v>
      </c>
      <c r="E1503" s="6">
        <v>207242</v>
      </c>
      <c r="F1503" s="6">
        <v>7117</v>
      </c>
      <c r="G1503" s="6">
        <v>3</v>
      </c>
      <c r="H1503" s="6">
        <v>169.90291260000001</v>
      </c>
      <c r="I1503" s="6">
        <v>5</v>
      </c>
      <c r="J1503" s="6">
        <v>175</v>
      </c>
      <c r="K1503" s="6">
        <v>52.42718447</v>
      </c>
      <c r="L1503" s="3" t="s">
        <v>98</v>
      </c>
      <c r="M1503" s="26"/>
    </row>
    <row r="1504" spans="1:13" x14ac:dyDescent="0.25">
      <c r="A1504" s="6">
        <v>1.6825197328659398E+17</v>
      </c>
      <c r="B1504" s="31" t="s">
        <v>784</v>
      </c>
      <c r="C1504" s="32" t="str">
        <f t="shared" si="39"/>
        <v>Jun</v>
      </c>
      <c r="D1504" s="3" t="s">
        <v>16</v>
      </c>
      <c r="E1504" s="6">
        <v>788001</v>
      </c>
      <c r="F1504" s="6">
        <v>7117</v>
      </c>
      <c r="G1504" s="6">
        <v>3</v>
      </c>
      <c r="H1504" s="6">
        <v>171.84466019999999</v>
      </c>
      <c r="I1504" s="6">
        <v>5</v>
      </c>
      <c r="J1504" s="6">
        <v>177</v>
      </c>
      <c r="K1504" s="6">
        <v>54.368932039999997</v>
      </c>
      <c r="L1504" s="3" t="s">
        <v>41</v>
      </c>
      <c r="M1504" s="26"/>
    </row>
    <row r="1505" spans="1:13" x14ac:dyDescent="0.25">
      <c r="A1505" s="6">
        <v>1.6577503901368602E+17</v>
      </c>
      <c r="B1505" s="31" t="s">
        <v>795</v>
      </c>
      <c r="C1505" s="32" t="str">
        <f t="shared" si="39"/>
        <v>Jun</v>
      </c>
      <c r="D1505" s="3" t="s">
        <v>16</v>
      </c>
      <c r="E1505" s="6">
        <v>501501</v>
      </c>
      <c r="F1505" s="6">
        <v>7117</v>
      </c>
      <c r="G1505" s="6">
        <v>3</v>
      </c>
      <c r="H1505" s="6">
        <v>263.1067961</v>
      </c>
      <c r="I1505" s="6">
        <v>7</v>
      </c>
      <c r="J1505" s="6">
        <v>271</v>
      </c>
      <c r="K1505" s="6">
        <v>66.990291260000006</v>
      </c>
      <c r="L1505" s="3" t="s">
        <v>39</v>
      </c>
      <c r="M1505" s="26"/>
    </row>
    <row r="1506" spans="1:13" x14ac:dyDescent="0.25">
      <c r="A1506" s="6">
        <v>1.7126938601893501E+17</v>
      </c>
      <c r="B1506" s="31" t="s">
        <v>837</v>
      </c>
      <c r="C1506" s="32" t="str">
        <f t="shared" si="39"/>
        <v>Jun</v>
      </c>
      <c r="D1506" s="3" t="s">
        <v>25</v>
      </c>
      <c r="E1506" s="6">
        <v>847240</v>
      </c>
      <c r="F1506" s="6">
        <v>7117</v>
      </c>
      <c r="G1506" s="6">
        <v>3</v>
      </c>
      <c r="H1506" s="6">
        <v>114.5631068</v>
      </c>
      <c r="I1506" s="6">
        <v>3</v>
      </c>
      <c r="J1506" s="6">
        <v>118</v>
      </c>
      <c r="K1506" s="6">
        <v>47.57281553</v>
      </c>
      <c r="L1506" s="3" t="s">
        <v>17</v>
      </c>
      <c r="M1506" s="26"/>
    </row>
    <row r="1507" spans="1:13" x14ac:dyDescent="0.25">
      <c r="A1507" s="6">
        <v>1.66049447548652E+17</v>
      </c>
      <c r="B1507" s="31" t="s">
        <v>839</v>
      </c>
      <c r="C1507" s="32" t="str">
        <f t="shared" si="39"/>
        <v>Jun</v>
      </c>
      <c r="D1507" s="3" t="s">
        <v>16</v>
      </c>
      <c r="E1507" s="6">
        <v>844115</v>
      </c>
      <c r="F1507" s="6">
        <v>7117</v>
      </c>
      <c r="G1507" s="6">
        <v>3</v>
      </c>
      <c r="H1507" s="6">
        <v>146.6019417</v>
      </c>
      <c r="I1507" s="6">
        <v>4</v>
      </c>
      <c r="J1507" s="6">
        <v>151</v>
      </c>
      <c r="K1507" s="6">
        <v>29.126213589999999</v>
      </c>
      <c r="L1507" s="3" t="s">
        <v>10</v>
      </c>
      <c r="M1507" s="26"/>
    </row>
    <row r="1508" spans="1:13" x14ac:dyDescent="0.25">
      <c r="A1508" s="6">
        <v>1.6348626200622202E+17</v>
      </c>
      <c r="B1508" s="31" t="s">
        <v>797</v>
      </c>
      <c r="C1508" s="32" t="str">
        <f t="shared" si="39"/>
        <v>Jun</v>
      </c>
      <c r="D1508" s="3" t="s">
        <v>16</v>
      </c>
      <c r="E1508" s="6">
        <v>276123</v>
      </c>
      <c r="F1508" s="6">
        <v>330410</v>
      </c>
      <c r="G1508" s="6">
        <v>18</v>
      </c>
      <c r="H1508" s="6">
        <v>205.93220339999999</v>
      </c>
      <c r="I1508" s="6">
        <v>37</v>
      </c>
      <c r="J1508" s="6">
        <v>243</v>
      </c>
      <c r="K1508" s="6">
        <v>49.152542369999999</v>
      </c>
      <c r="L1508" s="3" t="s">
        <v>63</v>
      </c>
      <c r="M1508" s="26"/>
    </row>
    <row r="1509" spans="1:13" x14ac:dyDescent="0.25">
      <c r="A1509" s="6">
        <v>1.6934976552742499E+17</v>
      </c>
      <c r="B1509" s="31" t="s">
        <v>782</v>
      </c>
      <c r="C1509" s="32" t="str">
        <f t="shared" si="39"/>
        <v>Jun</v>
      </c>
      <c r="D1509" s="3" t="s">
        <v>25</v>
      </c>
      <c r="E1509" s="6">
        <v>761105</v>
      </c>
      <c r="F1509" s="6">
        <v>7117</v>
      </c>
      <c r="G1509" s="6">
        <v>3</v>
      </c>
      <c r="H1509" s="6">
        <v>147.57281549999999</v>
      </c>
      <c r="I1509" s="6">
        <v>4</v>
      </c>
      <c r="J1509" s="6">
        <v>152</v>
      </c>
      <c r="K1509" s="6">
        <v>53.398058249999998</v>
      </c>
      <c r="L1509" s="3" t="s">
        <v>26</v>
      </c>
      <c r="M1509" s="26"/>
    </row>
    <row r="1510" spans="1:13" x14ac:dyDescent="0.25">
      <c r="A1510" s="6">
        <v>1.60951512309796E+17</v>
      </c>
      <c r="B1510" s="31" t="s">
        <v>823</v>
      </c>
      <c r="C1510" s="32" t="str">
        <f t="shared" si="39"/>
        <v>Jun</v>
      </c>
      <c r="D1510" s="3" t="s">
        <v>9</v>
      </c>
      <c r="E1510" s="6">
        <v>400053</v>
      </c>
      <c r="F1510" s="6">
        <v>7117</v>
      </c>
      <c r="G1510" s="6">
        <v>3</v>
      </c>
      <c r="H1510" s="6">
        <v>166.9902913</v>
      </c>
      <c r="I1510" s="6">
        <v>5</v>
      </c>
      <c r="J1510" s="6">
        <v>172</v>
      </c>
      <c r="K1510" s="6">
        <v>45.631067960000003</v>
      </c>
      <c r="L1510" s="3" t="s">
        <v>10</v>
      </c>
      <c r="M1510" s="26"/>
    </row>
    <row r="1511" spans="1:13" x14ac:dyDescent="0.25">
      <c r="A1511" s="6">
        <v>1.6550842529248198E+17</v>
      </c>
      <c r="B1511" s="31" t="s">
        <v>771</v>
      </c>
      <c r="C1511" s="32" t="str">
        <f t="shared" si="39"/>
        <v>Jun</v>
      </c>
      <c r="D1511" s="3" t="s">
        <v>21</v>
      </c>
      <c r="E1511" s="6">
        <v>845451</v>
      </c>
      <c r="F1511" s="6">
        <v>7117</v>
      </c>
      <c r="G1511" s="6">
        <v>3</v>
      </c>
      <c r="H1511" s="6">
        <v>159.22330099999999</v>
      </c>
      <c r="I1511" s="6">
        <v>4</v>
      </c>
      <c r="J1511" s="6">
        <v>164</v>
      </c>
      <c r="K1511" s="6">
        <v>37.86407767</v>
      </c>
      <c r="L1511" s="3" t="s">
        <v>27</v>
      </c>
      <c r="M1511" s="26"/>
    </row>
    <row r="1512" spans="1:13" x14ac:dyDescent="0.25">
      <c r="A1512" s="6">
        <v>1.6617768685360701E+17</v>
      </c>
      <c r="B1512" s="31" t="s">
        <v>839</v>
      </c>
      <c r="C1512" s="32" t="str">
        <f t="shared" si="39"/>
        <v>Jun</v>
      </c>
      <c r="D1512" s="3" t="s">
        <v>16</v>
      </c>
      <c r="E1512" s="6">
        <v>332719</v>
      </c>
      <c r="F1512" s="6">
        <v>7117</v>
      </c>
      <c r="G1512" s="6">
        <v>3</v>
      </c>
      <c r="H1512" s="6">
        <v>150.4854369</v>
      </c>
      <c r="I1512" s="6">
        <v>4</v>
      </c>
      <c r="J1512" s="6">
        <v>155</v>
      </c>
      <c r="K1512" s="6">
        <v>33.009708740000001</v>
      </c>
      <c r="L1512" s="3" t="s">
        <v>44</v>
      </c>
      <c r="M1512" s="26"/>
    </row>
    <row r="1513" spans="1:13" x14ac:dyDescent="0.25">
      <c r="A1513" s="6">
        <v>1.6241463919020198E+17</v>
      </c>
      <c r="B1513" s="31" t="s">
        <v>777</v>
      </c>
      <c r="C1513" s="32" t="str">
        <f t="shared" si="39"/>
        <v>Jun</v>
      </c>
      <c r="D1513" s="3" t="s">
        <v>21</v>
      </c>
      <c r="E1513" s="6">
        <v>281501</v>
      </c>
      <c r="F1513" s="6">
        <v>7117</v>
      </c>
      <c r="G1513" s="6">
        <v>3</v>
      </c>
      <c r="H1513" s="6">
        <v>204.8543689</v>
      </c>
      <c r="I1513" s="6">
        <v>6</v>
      </c>
      <c r="J1513" s="6">
        <v>211</v>
      </c>
      <c r="K1513" s="6">
        <v>49.514563109999997</v>
      </c>
      <c r="L1513" s="3" t="s">
        <v>63</v>
      </c>
      <c r="M1513" s="26"/>
    </row>
    <row r="1514" spans="1:13" x14ac:dyDescent="0.25">
      <c r="A1514" s="6">
        <v>1.6961423765555299E+17</v>
      </c>
      <c r="B1514" s="31" t="s">
        <v>847</v>
      </c>
      <c r="C1514" s="32" t="str">
        <f t="shared" si="39"/>
        <v>Jun</v>
      </c>
      <c r="D1514" s="3" t="s">
        <v>9</v>
      </c>
      <c r="E1514" s="6">
        <v>263126</v>
      </c>
      <c r="F1514" s="6">
        <v>7117</v>
      </c>
      <c r="G1514" s="6">
        <v>3</v>
      </c>
      <c r="H1514" s="6">
        <v>112.6213592</v>
      </c>
      <c r="I1514" s="6">
        <v>3</v>
      </c>
      <c r="J1514" s="6">
        <v>116</v>
      </c>
      <c r="K1514" s="6">
        <v>45.631067960000003</v>
      </c>
      <c r="L1514" s="3" t="s">
        <v>10</v>
      </c>
      <c r="M1514" s="26"/>
    </row>
    <row r="1515" spans="1:13" x14ac:dyDescent="0.25">
      <c r="A1515" s="6">
        <v>1.7119511609388602E+17</v>
      </c>
      <c r="B1515" s="31" t="s">
        <v>837</v>
      </c>
      <c r="C1515" s="32" t="str">
        <f t="shared" si="39"/>
        <v>Jun</v>
      </c>
      <c r="D1515" s="3" t="s">
        <v>16</v>
      </c>
      <c r="E1515" s="6">
        <v>312601</v>
      </c>
      <c r="F1515" s="6">
        <v>7117</v>
      </c>
      <c r="G1515" s="6">
        <v>3</v>
      </c>
      <c r="H1515" s="6">
        <v>176.69902909999999</v>
      </c>
      <c r="I1515" s="6">
        <v>5</v>
      </c>
      <c r="J1515" s="6">
        <v>182</v>
      </c>
      <c r="K1515" s="6">
        <v>55.339805830000003</v>
      </c>
      <c r="L1515" s="3" t="s">
        <v>12</v>
      </c>
      <c r="M1515" s="26"/>
    </row>
    <row r="1516" spans="1:13" x14ac:dyDescent="0.25">
      <c r="A1516" s="6">
        <v>1.69954152685012E+17</v>
      </c>
      <c r="B1516" s="31" t="s">
        <v>850</v>
      </c>
      <c r="C1516" s="32" t="str">
        <f t="shared" si="39"/>
        <v>Jun</v>
      </c>
      <c r="D1516" s="3" t="s">
        <v>16</v>
      </c>
      <c r="E1516" s="6">
        <v>110053</v>
      </c>
      <c r="F1516" s="6">
        <v>7117</v>
      </c>
      <c r="G1516" s="6">
        <v>3</v>
      </c>
      <c r="H1516" s="6">
        <v>167.96116499999999</v>
      </c>
      <c r="I1516" s="6">
        <v>5</v>
      </c>
      <c r="J1516" s="6">
        <v>173</v>
      </c>
      <c r="K1516" s="6">
        <v>36.893203880000002</v>
      </c>
      <c r="L1516" s="3" t="s">
        <v>14</v>
      </c>
      <c r="M1516" s="26"/>
    </row>
    <row r="1517" spans="1:13" x14ac:dyDescent="0.25">
      <c r="A1517" s="6">
        <v>1.71265125775412E+17</v>
      </c>
      <c r="B1517" s="31" t="s">
        <v>837</v>
      </c>
      <c r="C1517" s="32" t="str">
        <f t="shared" si="39"/>
        <v>Jun</v>
      </c>
      <c r="D1517" s="3" t="s">
        <v>25</v>
      </c>
      <c r="E1517" s="6">
        <v>277123</v>
      </c>
      <c r="F1517" s="6">
        <v>7117</v>
      </c>
      <c r="G1517" s="6">
        <v>3</v>
      </c>
      <c r="H1517" s="6">
        <v>163.1067961</v>
      </c>
      <c r="I1517" s="6">
        <v>4</v>
      </c>
      <c r="J1517" s="6">
        <v>168</v>
      </c>
      <c r="K1517" s="6">
        <v>45.631067960000003</v>
      </c>
      <c r="L1517" s="3" t="s">
        <v>17</v>
      </c>
      <c r="M1517" s="26"/>
    </row>
    <row r="1518" spans="1:13" x14ac:dyDescent="0.25">
      <c r="A1518" s="6">
        <v>1.67154385890348E+17</v>
      </c>
      <c r="B1518" s="31" t="s">
        <v>817</v>
      </c>
      <c r="C1518" s="32" t="str">
        <f t="shared" si="39"/>
        <v>Jun</v>
      </c>
      <c r="D1518" s="3" t="s">
        <v>16</v>
      </c>
      <c r="E1518" s="6">
        <v>700119</v>
      </c>
      <c r="F1518" s="6">
        <v>7117</v>
      </c>
      <c r="G1518" s="6">
        <v>3</v>
      </c>
      <c r="H1518" s="6">
        <v>208.7378641</v>
      </c>
      <c r="I1518" s="6">
        <v>6</v>
      </c>
      <c r="J1518" s="6">
        <v>215</v>
      </c>
      <c r="K1518" s="6">
        <v>54.368932039999997</v>
      </c>
      <c r="L1518" s="3" t="s">
        <v>41</v>
      </c>
      <c r="M1518" s="26"/>
    </row>
    <row r="1519" spans="1:13" x14ac:dyDescent="0.25">
      <c r="A1519" s="6">
        <v>1.6723841137831699E+17</v>
      </c>
      <c r="B1519" s="31" t="s">
        <v>817</v>
      </c>
      <c r="C1519" s="32" t="str">
        <f t="shared" si="39"/>
        <v>Jun</v>
      </c>
      <c r="D1519" s="3" t="s">
        <v>16</v>
      </c>
      <c r="E1519" s="6">
        <v>440017</v>
      </c>
      <c r="F1519" s="6">
        <v>7117</v>
      </c>
      <c r="G1519" s="6">
        <v>3</v>
      </c>
      <c r="H1519" s="6">
        <v>141.7475728</v>
      </c>
      <c r="I1519" s="6">
        <v>4</v>
      </c>
      <c r="J1519" s="6">
        <v>146</v>
      </c>
      <c r="K1519" s="6">
        <v>47.57281553</v>
      </c>
      <c r="L1519" s="3" t="s">
        <v>28</v>
      </c>
      <c r="M1519" s="26"/>
    </row>
    <row r="1520" spans="1:13" x14ac:dyDescent="0.25">
      <c r="A1520" s="6">
        <v>1.7110175898185299E+17</v>
      </c>
      <c r="B1520" s="31" t="s">
        <v>837</v>
      </c>
      <c r="C1520" s="32" t="str">
        <f t="shared" si="39"/>
        <v>Jun</v>
      </c>
      <c r="D1520" s="3" t="s">
        <v>25</v>
      </c>
      <c r="E1520" s="6">
        <v>232327</v>
      </c>
      <c r="F1520" s="6">
        <v>7117</v>
      </c>
      <c r="G1520" s="6">
        <v>3</v>
      </c>
      <c r="H1520" s="6">
        <v>191.2621359</v>
      </c>
      <c r="I1520" s="6">
        <v>5</v>
      </c>
      <c r="J1520" s="6">
        <v>197</v>
      </c>
      <c r="K1520" s="6">
        <v>69.902912619999995</v>
      </c>
      <c r="L1520" s="3" t="s">
        <v>967</v>
      </c>
      <c r="M1520" s="26"/>
    </row>
    <row r="1521" spans="1:13" x14ac:dyDescent="0.25">
      <c r="A1521" s="6">
        <v>1.7074322231502499E+17</v>
      </c>
      <c r="B1521" s="31" t="s">
        <v>775</v>
      </c>
      <c r="C1521" s="32" t="str">
        <f t="shared" si="39"/>
        <v>Jun</v>
      </c>
      <c r="D1521" s="3" t="s">
        <v>25</v>
      </c>
      <c r="E1521" s="6">
        <v>144001</v>
      </c>
      <c r="F1521" s="6">
        <v>7117</v>
      </c>
      <c r="G1521" s="6">
        <v>3</v>
      </c>
      <c r="H1521" s="6">
        <v>147.57281549999999</v>
      </c>
      <c r="I1521" s="6">
        <v>4</v>
      </c>
      <c r="J1521" s="6">
        <v>152</v>
      </c>
      <c r="K1521" s="6">
        <v>53.398058249999998</v>
      </c>
      <c r="L1521" s="3" t="s">
        <v>37</v>
      </c>
      <c r="M1521" s="26"/>
    </row>
    <row r="1522" spans="1:13" x14ac:dyDescent="0.25">
      <c r="A1522" s="6">
        <v>1.6934380414130899E+17</v>
      </c>
      <c r="B1522" s="31" t="s">
        <v>782</v>
      </c>
      <c r="C1522" s="32" t="str">
        <f t="shared" si="39"/>
        <v>Jun</v>
      </c>
      <c r="D1522" s="3" t="s">
        <v>9</v>
      </c>
      <c r="E1522" s="6">
        <v>766100</v>
      </c>
      <c r="F1522" s="6">
        <v>7117</v>
      </c>
      <c r="G1522" s="6">
        <v>3</v>
      </c>
      <c r="H1522" s="6">
        <v>186.40776700000001</v>
      </c>
      <c r="I1522" s="6">
        <v>5</v>
      </c>
      <c r="J1522" s="6">
        <v>192</v>
      </c>
      <c r="K1522" s="6">
        <v>32.038834950000002</v>
      </c>
      <c r="L1522" s="3" t="s">
        <v>10</v>
      </c>
      <c r="M1522" s="26"/>
    </row>
    <row r="1523" spans="1:13" x14ac:dyDescent="0.25">
      <c r="A1523" s="6">
        <v>1.6336015643491299E+17</v>
      </c>
      <c r="B1523" s="31" t="s">
        <v>797</v>
      </c>
      <c r="C1523" s="32" t="str">
        <f t="shared" si="39"/>
        <v>Jun</v>
      </c>
      <c r="D1523" s="3" t="s">
        <v>25</v>
      </c>
      <c r="E1523" s="6">
        <v>276123</v>
      </c>
      <c r="F1523" s="6">
        <v>7117</v>
      </c>
      <c r="G1523" s="6">
        <v>3</v>
      </c>
      <c r="H1523" s="6">
        <v>153.3980583</v>
      </c>
      <c r="I1523" s="6">
        <v>4</v>
      </c>
      <c r="J1523" s="6">
        <v>158</v>
      </c>
      <c r="K1523" s="6">
        <v>35.922330100000003</v>
      </c>
      <c r="L1523" s="3" t="s">
        <v>46</v>
      </c>
      <c r="M1523" s="26"/>
    </row>
    <row r="1524" spans="1:13" x14ac:dyDescent="0.25">
      <c r="A1524" s="6">
        <v>1.7833124518774598E+17</v>
      </c>
      <c r="B1524" s="31" t="s">
        <v>859</v>
      </c>
      <c r="C1524" s="32" t="str">
        <f t="shared" si="39"/>
        <v>Jul</v>
      </c>
      <c r="D1524" s="3" t="s">
        <v>25</v>
      </c>
      <c r="E1524" s="6">
        <v>591234</v>
      </c>
      <c r="F1524" s="6">
        <v>7117</v>
      </c>
      <c r="G1524" s="6">
        <v>3</v>
      </c>
      <c r="H1524" s="6">
        <v>166.9902913</v>
      </c>
      <c r="I1524" s="6">
        <v>5</v>
      </c>
      <c r="J1524" s="6">
        <v>172</v>
      </c>
      <c r="K1524" s="6">
        <v>45.631067960000003</v>
      </c>
      <c r="L1524" s="3" t="s">
        <v>10</v>
      </c>
      <c r="M1524" s="26"/>
    </row>
    <row r="1525" spans="1:13" x14ac:dyDescent="0.25">
      <c r="A1525" s="6">
        <v>1.7731450319570598E+17</v>
      </c>
      <c r="B1525" s="31" t="s">
        <v>861</v>
      </c>
      <c r="C1525" s="32" t="str">
        <f t="shared" si="39"/>
        <v>Jul</v>
      </c>
      <c r="D1525" s="3" t="s">
        <v>52</v>
      </c>
      <c r="E1525" s="6">
        <v>844102</v>
      </c>
      <c r="F1525" s="6">
        <v>330410</v>
      </c>
      <c r="G1525" s="6">
        <v>18</v>
      </c>
      <c r="H1525" s="6">
        <v>413.55932200000001</v>
      </c>
      <c r="I1525" s="6">
        <v>74</v>
      </c>
      <c r="J1525" s="6">
        <v>488</v>
      </c>
      <c r="K1525" s="6">
        <v>133.89830508</v>
      </c>
      <c r="L1525" s="3" t="s">
        <v>967</v>
      </c>
      <c r="M1525" s="26"/>
    </row>
    <row r="1526" spans="1:13" x14ac:dyDescent="0.25">
      <c r="A1526" s="6">
        <v>1.7798666551880899E+17</v>
      </c>
      <c r="B1526" s="31" t="s">
        <v>863</v>
      </c>
      <c r="C1526" s="32" t="str">
        <f t="shared" si="39"/>
        <v>Jul</v>
      </c>
      <c r="D1526" s="3" t="s">
        <v>25</v>
      </c>
      <c r="E1526" s="6">
        <v>274702</v>
      </c>
      <c r="F1526" s="6">
        <v>7117</v>
      </c>
      <c r="G1526" s="6">
        <v>3</v>
      </c>
      <c r="H1526" s="6">
        <v>174.7572816</v>
      </c>
      <c r="I1526" s="6">
        <v>5</v>
      </c>
      <c r="J1526" s="6">
        <v>180</v>
      </c>
      <c r="K1526" s="6">
        <v>53.398058249999998</v>
      </c>
      <c r="L1526" s="3" t="s">
        <v>23</v>
      </c>
      <c r="M1526" s="26"/>
    </row>
    <row r="1527" spans="1:13" x14ac:dyDescent="0.25">
      <c r="A1527" s="6">
        <v>1.7375207529653901E+17</v>
      </c>
      <c r="B1527" s="31" t="s">
        <v>865</v>
      </c>
      <c r="C1527" s="32" t="str">
        <f t="shared" si="39"/>
        <v>Jul</v>
      </c>
      <c r="D1527" s="3" t="s">
        <v>25</v>
      </c>
      <c r="E1527" s="6">
        <v>825408</v>
      </c>
      <c r="F1527" s="6">
        <v>7117</v>
      </c>
      <c r="G1527" s="6">
        <v>3</v>
      </c>
      <c r="H1527" s="6">
        <v>177.66990290000001</v>
      </c>
      <c r="I1527" s="6">
        <v>5</v>
      </c>
      <c r="J1527" s="6">
        <v>183</v>
      </c>
      <c r="K1527" s="6">
        <v>36.893203880000002</v>
      </c>
      <c r="L1527" s="3" t="s">
        <v>39</v>
      </c>
      <c r="M1527" s="26"/>
    </row>
    <row r="1528" spans="1:13" x14ac:dyDescent="0.25">
      <c r="A1528" s="6">
        <v>1.7320436721256099E+17</v>
      </c>
      <c r="B1528" s="31" t="s">
        <v>867</v>
      </c>
      <c r="C1528" s="32" t="str">
        <f t="shared" si="39"/>
        <v>Jul</v>
      </c>
      <c r="D1528" s="3" t="s">
        <v>9</v>
      </c>
      <c r="E1528" s="6">
        <v>307024</v>
      </c>
      <c r="F1528" s="6">
        <v>7117</v>
      </c>
      <c r="G1528" s="6">
        <v>3</v>
      </c>
      <c r="H1528" s="6">
        <v>137.8640777</v>
      </c>
      <c r="I1528" s="6">
        <v>4</v>
      </c>
      <c r="J1528" s="6">
        <v>142</v>
      </c>
      <c r="K1528" s="6">
        <v>48.543689319999999</v>
      </c>
      <c r="L1528" s="3" t="s">
        <v>10</v>
      </c>
      <c r="M1528" s="26"/>
    </row>
    <row r="1529" spans="1:13" x14ac:dyDescent="0.25">
      <c r="A1529" s="6">
        <v>1.7163597062508E+17</v>
      </c>
      <c r="B1529" s="31" t="s">
        <v>869</v>
      </c>
      <c r="C1529" s="32" t="str">
        <f t="shared" si="39"/>
        <v>Jul</v>
      </c>
      <c r="D1529" s="3" t="s">
        <v>16</v>
      </c>
      <c r="E1529" s="6">
        <v>532430</v>
      </c>
      <c r="F1529" s="6">
        <v>7117</v>
      </c>
      <c r="G1529" s="6">
        <v>3</v>
      </c>
      <c r="H1529" s="6">
        <v>168.93203879999999</v>
      </c>
      <c r="I1529" s="6">
        <v>5</v>
      </c>
      <c r="J1529" s="6">
        <v>174</v>
      </c>
      <c r="K1529" s="6">
        <v>47.57281553</v>
      </c>
      <c r="L1529" s="3" t="s">
        <v>17</v>
      </c>
      <c r="M1529" s="26"/>
    </row>
    <row r="1530" spans="1:13" x14ac:dyDescent="0.25">
      <c r="A1530" s="6">
        <v>1.7765524770601699E+17</v>
      </c>
      <c r="B1530" s="31" t="s">
        <v>871</v>
      </c>
      <c r="C1530" s="32" t="str">
        <f t="shared" si="39"/>
        <v>Jul</v>
      </c>
      <c r="D1530" s="3" t="s">
        <v>16</v>
      </c>
      <c r="E1530" s="6">
        <v>208021</v>
      </c>
      <c r="F1530" s="6">
        <v>330410</v>
      </c>
      <c r="G1530" s="6">
        <v>18</v>
      </c>
      <c r="H1530" s="6">
        <v>202.5423729</v>
      </c>
      <c r="I1530" s="6">
        <v>36</v>
      </c>
      <c r="J1530" s="6">
        <v>239</v>
      </c>
      <c r="K1530" s="6">
        <v>45.762711860000003</v>
      </c>
      <c r="L1530" s="3" t="s">
        <v>63</v>
      </c>
      <c r="M1530" s="26"/>
    </row>
    <row r="1531" spans="1:13" x14ac:dyDescent="0.25">
      <c r="A1531" s="6">
        <v>1.80731761629852E+17</v>
      </c>
      <c r="B1531" s="31" t="s">
        <v>873</v>
      </c>
      <c r="C1531" s="32" t="str">
        <f t="shared" si="39"/>
        <v>Jul</v>
      </c>
      <c r="D1531" s="3" t="s">
        <v>25</v>
      </c>
      <c r="E1531" s="6">
        <v>803114</v>
      </c>
      <c r="F1531" s="6">
        <v>7117</v>
      </c>
      <c r="G1531" s="6">
        <v>3</v>
      </c>
      <c r="H1531" s="6">
        <v>175.7281553</v>
      </c>
      <c r="I1531" s="6">
        <v>5</v>
      </c>
      <c r="J1531" s="6">
        <v>181</v>
      </c>
      <c r="K1531" s="6">
        <v>54.368932039999997</v>
      </c>
      <c r="L1531" s="3" t="s">
        <v>19</v>
      </c>
      <c r="M1531" s="26"/>
    </row>
    <row r="1532" spans="1:13" x14ac:dyDescent="0.25">
      <c r="A1532" s="6">
        <v>1.7890544603548602E+17</v>
      </c>
      <c r="B1532" s="31" t="s">
        <v>875</v>
      </c>
      <c r="C1532" s="32" t="str">
        <f t="shared" si="39"/>
        <v>Jul</v>
      </c>
      <c r="D1532" s="3" t="s">
        <v>25</v>
      </c>
      <c r="E1532" s="6">
        <v>825409</v>
      </c>
      <c r="F1532" s="6">
        <v>7117</v>
      </c>
      <c r="G1532" s="6">
        <v>3</v>
      </c>
      <c r="H1532" s="6">
        <v>189.32038829999999</v>
      </c>
      <c r="I1532" s="6">
        <v>5</v>
      </c>
      <c r="J1532" s="6">
        <v>195</v>
      </c>
      <c r="K1532" s="6">
        <v>71.844660189999999</v>
      </c>
      <c r="L1532" s="3" t="s">
        <v>967</v>
      </c>
      <c r="M1532" s="26"/>
    </row>
    <row r="1533" spans="1:13" x14ac:dyDescent="0.25">
      <c r="A1533" s="6">
        <v>1.7199713578754099E+17</v>
      </c>
      <c r="B1533" s="31" t="s">
        <v>877</v>
      </c>
      <c r="C1533" s="32" t="str">
        <f t="shared" si="39"/>
        <v>Jul</v>
      </c>
      <c r="D1533" s="3" t="s">
        <v>21</v>
      </c>
      <c r="E1533" s="6">
        <v>481880</v>
      </c>
      <c r="F1533" s="6">
        <v>7117</v>
      </c>
      <c r="G1533" s="6">
        <v>3</v>
      </c>
      <c r="H1533" s="6">
        <v>148.54368930000001</v>
      </c>
      <c r="I1533" s="6">
        <v>4</v>
      </c>
      <c r="J1533" s="6">
        <v>153</v>
      </c>
      <c r="K1533" s="6">
        <v>44.660194169999997</v>
      </c>
      <c r="L1533" s="3" t="s">
        <v>53</v>
      </c>
      <c r="M1533" s="26"/>
    </row>
    <row r="1534" spans="1:13" x14ac:dyDescent="0.25">
      <c r="A1534" s="6">
        <v>1.72169563222328E+17</v>
      </c>
      <c r="B1534" s="31" t="s">
        <v>879</v>
      </c>
      <c r="C1534" s="32" t="str">
        <f t="shared" si="39"/>
        <v>Jul</v>
      </c>
      <c r="D1534" s="3" t="s">
        <v>16</v>
      </c>
      <c r="E1534" s="6">
        <v>638152</v>
      </c>
      <c r="F1534" s="6">
        <v>7117</v>
      </c>
      <c r="G1534" s="6">
        <v>3</v>
      </c>
      <c r="H1534" s="6">
        <v>273.78640780000001</v>
      </c>
      <c r="I1534" s="6">
        <v>8</v>
      </c>
      <c r="J1534" s="6">
        <v>282</v>
      </c>
      <c r="K1534" s="6">
        <v>77.669902910000005</v>
      </c>
      <c r="L1534" s="3" t="s">
        <v>39</v>
      </c>
      <c r="M1534" s="26"/>
    </row>
    <row r="1535" spans="1:13" x14ac:dyDescent="0.25">
      <c r="A1535" s="6">
        <v>1.7665875544062301E+17</v>
      </c>
      <c r="B1535" s="31" t="s">
        <v>881</v>
      </c>
      <c r="C1535" s="32" t="str">
        <f t="shared" si="39"/>
        <v>Jul</v>
      </c>
      <c r="D1535" s="3" t="s">
        <v>9</v>
      </c>
      <c r="E1535" s="6">
        <v>141006</v>
      </c>
      <c r="F1535" s="6">
        <v>7117</v>
      </c>
      <c r="G1535" s="6">
        <v>3</v>
      </c>
      <c r="H1535" s="6">
        <v>227.18446599999999</v>
      </c>
      <c r="I1535" s="6">
        <v>6</v>
      </c>
      <c r="J1535" s="6">
        <v>234</v>
      </c>
      <c r="K1535" s="6">
        <v>33.009708740000001</v>
      </c>
      <c r="L1535" s="3" t="s">
        <v>10</v>
      </c>
      <c r="M1535" s="26"/>
    </row>
    <row r="1536" spans="1:13" x14ac:dyDescent="0.25">
      <c r="A1536" s="6">
        <v>1.8064200380075901E+17</v>
      </c>
      <c r="B1536" s="31" t="s">
        <v>873</v>
      </c>
      <c r="C1536" s="32" t="str">
        <f t="shared" si="39"/>
        <v>Jul</v>
      </c>
      <c r="D1536" s="3" t="s">
        <v>16</v>
      </c>
      <c r="E1536" s="6">
        <v>841436</v>
      </c>
      <c r="F1536" s="6">
        <v>7117</v>
      </c>
      <c r="G1536" s="6">
        <v>3</v>
      </c>
      <c r="H1536" s="6">
        <v>166.0194175</v>
      </c>
      <c r="I1536" s="6">
        <v>4</v>
      </c>
      <c r="J1536" s="6">
        <v>171</v>
      </c>
      <c r="K1536" s="6">
        <v>48.543689319999999</v>
      </c>
      <c r="L1536" s="3" t="s">
        <v>22</v>
      </c>
      <c r="M1536" s="26"/>
    </row>
    <row r="1537" spans="1:13" x14ac:dyDescent="0.25">
      <c r="A1537" s="6">
        <v>1.7927884355382598E+17</v>
      </c>
      <c r="B1537" s="31" t="s">
        <v>884</v>
      </c>
      <c r="C1537" s="32" t="str">
        <f t="shared" si="39"/>
        <v>Jul</v>
      </c>
      <c r="D1537" s="3" t="s">
        <v>25</v>
      </c>
      <c r="E1537" s="6">
        <v>591234</v>
      </c>
      <c r="F1537" s="6">
        <v>7117</v>
      </c>
      <c r="G1537" s="6">
        <v>3</v>
      </c>
      <c r="H1537" s="6">
        <v>145.631068</v>
      </c>
      <c r="I1537" s="6">
        <v>4</v>
      </c>
      <c r="J1537" s="6">
        <v>150</v>
      </c>
      <c r="K1537" s="6">
        <v>48.543689319999999</v>
      </c>
      <c r="L1537" s="3" t="s">
        <v>10</v>
      </c>
      <c r="M1537" s="26"/>
    </row>
    <row r="1538" spans="1:13" x14ac:dyDescent="0.25">
      <c r="A1538" s="6">
        <v>1.7819249089215101E+17</v>
      </c>
      <c r="B1538" s="31" t="s">
        <v>863</v>
      </c>
      <c r="C1538" s="32" t="str">
        <f t="shared" si="39"/>
        <v>Jul</v>
      </c>
      <c r="D1538" s="3" t="s">
        <v>9</v>
      </c>
      <c r="E1538" s="6">
        <v>601201</v>
      </c>
      <c r="F1538" s="6">
        <v>330410</v>
      </c>
      <c r="G1538" s="6">
        <v>18</v>
      </c>
      <c r="H1538" s="6">
        <v>190.67796609999999</v>
      </c>
      <c r="I1538" s="6">
        <v>34</v>
      </c>
      <c r="J1538" s="6">
        <v>225</v>
      </c>
      <c r="K1538" s="6">
        <v>54.237288139999997</v>
      </c>
      <c r="L1538" s="3" t="s">
        <v>19</v>
      </c>
      <c r="M1538" s="26"/>
    </row>
    <row r="1539" spans="1:13" x14ac:dyDescent="0.25">
      <c r="A1539" s="6">
        <v>1.736142559107E+17</v>
      </c>
      <c r="B1539" s="31" t="s">
        <v>865</v>
      </c>
      <c r="C1539" s="32" t="str">
        <f t="shared" ref="C1539:C1589" si="40">TEXT(B1539, "mmm")</f>
        <v>Jul</v>
      </c>
      <c r="D1539" s="3" t="s">
        <v>25</v>
      </c>
      <c r="E1539" s="6">
        <v>822117</v>
      </c>
      <c r="F1539" s="6">
        <v>330410</v>
      </c>
      <c r="G1539" s="6">
        <v>18</v>
      </c>
      <c r="H1539" s="6">
        <v>186.44067799999999</v>
      </c>
      <c r="I1539" s="6">
        <v>33</v>
      </c>
      <c r="J1539" s="6">
        <v>220</v>
      </c>
      <c r="K1539" s="6">
        <v>46.610169489999997</v>
      </c>
      <c r="L1539" s="3" t="s">
        <v>10</v>
      </c>
      <c r="M1539" s="26"/>
    </row>
    <row r="1540" spans="1:13" x14ac:dyDescent="0.25">
      <c r="A1540" s="6">
        <v>1.71543003508168E+17</v>
      </c>
      <c r="B1540" s="31" t="s">
        <v>869</v>
      </c>
      <c r="C1540" s="32" t="str">
        <f t="shared" si="40"/>
        <v>Jul</v>
      </c>
      <c r="D1540" s="3" t="s">
        <v>25</v>
      </c>
      <c r="E1540" s="6">
        <v>493445</v>
      </c>
      <c r="F1540" s="6">
        <v>7117</v>
      </c>
      <c r="G1540" s="6">
        <v>3</v>
      </c>
      <c r="H1540" s="6">
        <v>193.20388349999999</v>
      </c>
      <c r="I1540" s="6">
        <v>5</v>
      </c>
      <c r="J1540" s="6">
        <v>199</v>
      </c>
      <c r="K1540" s="6">
        <v>52.42718447</v>
      </c>
      <c r="L1540" s="3" t="s">
        <v>27</v>
      </c>
      <c r="M1540" s="26"/>
    </row>
    <row r="1541" spans="1:13" x14ac:dyDescent="0.25">
      <c r="A1541" s="6">
        <v>1.81674591500104E+17</v>
      </c>
      <c r="B1541" s="31" t="s">
        <v>889</v>
      </c>
      <c r="C1541" s="32" t="str">
        <f t="shared" si="40"/>
        <v>Jul</v>
      </c>
      <c r="D1541" s="3" t="s">
        <v>16</v>
      </c>
      <c r="E1541" s="6">
        <v>272194</v>
      </c>
      <c r="F1541" s="6">
        <v>7117</v>
      </c>
      <c r="G1541" s="6">
        <v>3</v>
      </c>
      <c r="H1541" s="6">
        <v>166.9902913</v>
      </c>
      <c r="I1541" s="6">
        <v>5</v>
      </c>
      <c r="J1541" s="6">
        <v>172</v>
      </c>
      <c r="K1541" s="6">
        <v>45.631067960000003</v>
      </c>
      <c r="L1541" s="3" t="s">
        <v>10</v>
      </c>
      <c r="M1541" s="26"/>
    </row>
    <row r="1542" spans="1:13" x14ac:dyDescent="0.25">
      <c r="A1542" s="6">
        <v>1.7296036101883501E+17</v>
      </c>
      <c r="B1542" s="31" t="s">
        <v>891</v>
      </c>
      <c r="C1542" s="32" t="str">
        <f t="shared" si="40"/>
        <v>Jul</v>
      </c>
      <c r="D1542" s="3" t="s">
        <v>16</v>
      </c>
      <c r="E1542" s="6">
        <v>272191</v>
      </c>
      <c r="F1542" s="6">
        <v>7117</v>
      </c>
      <c r="G1542" s="6">
        <v>3</v>
      </c>
      <c r="H1542" s="6">
        <v>174.7572816</v>
      </c>
      <c r="I1542" s="6">
        <v>5</v>
      </c>
      <c r="J1542" s="6">
        <v>180</v>
      </c>
      <c r="K1542" s="6">
        <v>53.398058249999998</v>
      </c>
      <c r="L1542" s="3" t="s">
        <v>23</v>
      </c>
      <c r="M1542" s="26"/>
    </row>
    <row r="1543" spans="1:13" x14ac:dyDescent="0.25">
      <c r="A1543" s="6">
        <v>1.74457561167792E+17</v>
      </c>
      <c r="B1543" s="31" t="s">
        <v>893</v>
      </c>
      <c r="C1543" s="32" t="str">
        <f t="shared" si="40"/>
        <v>Jul</v>
      </c>
      <c r="D1543" s="3" t="s">
        <v>16</v>
      </c>
      <c r="E1543" s="6">
        <v>455001</v>
      </c>
      <c r="F1543" s="6">
        <v>7117</v>
      </c>
      <c r="G1543" s="6">
        <v>3</v>
      </c>
      <c r="H1543" s="6">
        <v>174.7572816</v>
      </c>
      <c r="I1543" s="6">
        <v>5</v>
      </c>
      <c r="J1543" s="6">
        <v>180</v>
      </c>
      <c r="K1543" s="6">
        <v>53.398058249999998</v>
      </c>
      <c r="L1543" s="3" t="s">
        <v>22</v>
      </c>
      <c r="M1543" s="26"/>
    </row>
    <row r="1544" spans="1:13" x14ac:dyDescent="0.25">
      <c r="A1544" s="6">
        <v>1.7983444460916602E+17</v>
      </c>
      <c r="B1544" s="31" t="s">
        <v>895</v>
      </c>
      <c r="C1544" s="32" t="str">
        <f t="shared" si="40"/>
        <v>Jul</v>
      </c>
      <c r="D1544" s="3" t="s">
        <v>21</v>
      </c>
      <c r="E1544" s="6">
        <v>212659</v>
      </c>
      <c r="F1544" s="6">
        <v>7117</v>
      </c>
      <c r="G1544" s="6">
        <v>3</v>
      </c>
      <c r="H1544" s="6">
        <v>158.2524272</v>
      </c>
      <c r="I1544" s="6">
        <v>4</v>
      </c>
      <c r="J1544" s="6">
        <v>163</v>
      </c>
      <c r="K1544" s="6">
        <v>54.368932039999997</v>
      </c>
      <c r="L1544" s="3" t="s">
        <v>22</v>
      </c>
      <c r="M1544" s="26"/>
    </row>
    <row r="1545" spans="1:13" x14ac:dyDescent="0.25">
      <c r="A1545" s="6">
        <v>1.7160307114623299E+17</v>
      </c>
      <c r="B1545" s="31" t="s">
        <v>869</v>
      </c>
      <c r="C1545" s="32" t="str">
        <f t="shared" si="40"/>
        <v>Jul</v>
      </c>
      <c r="D1545" s="3" t="s">
        <v>71</v>
      </c>
      <c r="E1545" s="6">
        <v>442905</v>
      </c>
      <c r="F1545" s="6">
        <v>7117</v>
      </c>
      <c r="G1545" s="6">
        <v>3</v>
      </c>
      <c r="H1545" s="6">
        <v>250.4854369</v>
      </c>
      <c r="I1545" s="6">
        <v>7</v>
      </c>
      <c r="J1545" s="6">
        <v>258</v>
      </c>
      <c r="K1545" s="6">
        <v>54.368932039999997</v>
      </c>
      <c r="L1545" s="3" t="s">
        <v>26</v>
      </c>
      <c r="M1545" s="26"/>
    </row>
    <row r="1546" spans="1:13" x14ac:dyDescent="0.25">
      <c r="A1546" s="6">
        <v>1.81309712045732E+17</v>
      </c>
      <c r="B1546" s="31" t="s">
        <v>898</v>
      </c>
      <c r="C1546" s="32" t="str">
        <f t="shared" si="40"/>
        <v>Jul</v>
      </c>
      <c r="D1546" s="3" t="s">
        <v>16</v>
      </c>
      <c r="E1546" s="6">
        <v>799264</v>
      </c>
      <c r="F1546" s="6">
        <v>7117</v>
      </c>
      <c r="G1546" s="6">
        <v>3</v>
      </c>
      <c r="H1546" s="6">
        <v>171.84466019999999</v>
      </c>
      <c r="I1546" s="6">
        <v>5</v>
      </c>
      <c r="J1546" s="6">
        <v>177</v>
      </c>
      <c r="K1546" s="6">
        <v>54.368932039999997</v>
      </c>
      <c r="L1546" s="3" t="s">
        <v>27</v>
      </c>
      <c r="M1546" s="26"/>
    </row>
    <row r="1547" spans="1:13" x14ac:dyDescent="0.25">
      <c r="A1547" s="6">
        <v>1.8237589985296E+17</v>
      </c>
      <c r="B1547" s="31" t="s">
        <v>900</v>
      </c>
      <c r="C1547" s="32" t="str">
        <f t="shared" si="40"/>
        <v>Jul</v>
      </c>
      <c r="D1547" s="3" t="s">
        <v>25</v>
      </c>
      <c r="E1547" s="6">
        <v>284204</v>
      </c>
      <c r="F1547" s="6">
        <v>7117</v>
      </c>
      <c r="G1547" s="6">
        <v>3</v>
      </c>
      <c r="H1547" s="6">
        <v>135.92233010000001</v>
      </c>
      <c r="I1547" s="6">
        <v>4</v>
      </c>
      <c r="J1547" s="6">
        <v>140</v>
      </c>
      <c r="K1547" s="6">
        <v>38.834951459999999</v>
      </c>
      <c r="L1547" s="3" t="s">
        <v>27</v>
      </c>
      <c r="M1547" s="26"/>
    </row>
    <row r="1548" spans="1:13" x14ac:dyDescent="0.25">
      <c r="A1548" s="6">
        <v>1.7195646176418202E+17</v>
      </c>
      <c r="B1548" s="31" t="s">
        <v>877</v>
      </c>
      <c r="C1548" s="32" t="str">
        <f t="shared" si="40"/>
        <v>Jul</v>
      </c>
      <c r="D1548" s="3" t="s">
        <v>16</v>
      </c>
      <c r="E1548" s="6">
        <v>243005</v>
      </c>
      <c r="F1548" s="6">
        <v>7117</v>
      </c>
      <c r="G1548" s="6">
        <v>3</v>
      </c>
      <c r="H1548" s="6">
        <v>181.55339810000001</v>
      </c>
      <c r="I1548" s="6">
        <v>5</v>
      </c>
      <c r="J1548" s="6">
        <v>187</v>
      </c>
      <c r="K1548" s="6">
        <v>60.194174760000003</v>
      </c>
      <c r="L1548" s="3" t="s">
        <v>39</v>
      </c>
      <c r="M1548" s="26"/>
    </row>
    <row r="1549" spans="1:13" x14ac:dyDescent="0.25">
      <c r="A1549" s="6">
        <v>1.7198522442555398E+17</v>
      </c>
      <c r="B1549" s="31" t="s">
        <v>877</v>
      </c>
      <c r="C1549" s="32" t="str">
        <f t="shared" si="40"/>
        <v>Jul</v>
      </c>
      <c r="D1549" s="3" t="s">
        <v>16</v>
      </c>
      <c r="E1549" s="6">
        <v>475675</v>
      </c>
      <c r="F1549" s="6">
        <v>7117</v>
      </c>
      <c r="G1549" s="6">
        <v>3</v>
      </c>
      <c r="H1549" s="6">
        <v>166.0194175</v>
      </c>
      <c r="I1549" s="6">
        <v>4</v>
      </c>
      <c r="J1549" s="6">
        <v>171</v>
      </c>
      <c r="K1549" s="6">
        <v>44.660194169999997</v>
      </c>
      <c r="L1549" s="3" t="s">
        <v>10</v>
      </c>
      <c r="M1549" s="26"/>
    </row>
    <row r="1550" spans="1:13" x14ac:dyDescent="0.25">
      <c r="A1550" s="6">
        <v>1.7698644211505402E+17</v>
      </c>
      <c r="B1550" s="31" t="s">
        <v>904</v>
      </c>
      <c r="C1550" s="32" t="str">
        <f t="shared" si="40"/>
        <v>Jul</v>
      </c>
      <c r="D1550" s="3" t="s">
        <v>71</v>
      </c>
      <c r="E1550" s="6">
        <v>824211</v>
      </c>
      <c r="F1550" s="6">
        <v>7117</v>
      </c>
      <c r="G1550" s="6">
        <v>3</v>
      </c>
      <c r="H1550" s="6">
        <v>166.9902913</v>
      </c>
      <c r="I1550" s="6">
        <v>5</v>
      </c>
      <c r="J1550" s="6">
        <v>172</v>
      </c>
      <c r="K1550" s="6">
        <v>45.631067960000003</v>
      </c>
      <c r="L1550" s="3" t="s">
        <v>10</v>
      </c>
      <c r="M1550" s="26"/>
    </row>
    <row r="1551" spans="1:13" x14ac:dyDescent="0.25">
      <c r="A1551" s="6">
        <v>1.8249100701912E+17</v>
      </c>
      <c r="B1551" s="31" t="s">
        <v>900</v>
      </c>
      <c r="C1551" s="32" t="str">
        <f t="shared" si="40"/>
        <v>Jul</v>
      </c>
      <c r="D1551" s="3" t="s">
        <v>25</v>
      </c>
      <c r="E1551" s="6">
        <v>123029</v>
      </c>
      <c r="F1551" s="6">
        <v>7117</v>
      </c>
      <c r="G1551" s="6">
        <v>3</v>
      </c>
      <c r="H1551" s="6">
        <v>145.631068</v>
      </c>
      <c r="I1551" s="6">
        <v>4</v>
      </c>
      <c r="J1551" s="6">
        <v>150</v>
      </c>
      <c r="K1551" s="6">
        <v>48.543689319999999</v>
      </c>
      <c r="L1551" s="3" t="s">
        <v>10</v>
      </c>
      <c r="M1551" s="26"/>
    </row>
    <row r="1552" spans="1:13" x14ac:dyDescent="0.25">
      <c r="A1552" s="6">
        <v>1.7916288801518099E+17</v>
      </c>
      <c r="B1552" s="31" t="s">
        <v>884</v>
      </c>
      <c r="C1552" s="32" t="str">
        <f t="shared" si="40"/>
        <v>Jul</v>
      </c>
      <c r="D1552" s="3" t="s">
        <v>16</v>
      </c>
      <c r="E1552" s="6">
        <v>768110</v>
      </c>
      <c r="F1552" s="6">
        <v>7117</v>
      </c>
      <c r="G1552" s="6">
        <v>3</v>
      </c>
      <c r="H1552" s="6">
        <v>166.0194175</v>
      </c>
      <c r="I1552" s="6">
        <v>4</v>
      </c>
      <c r="J1552" s="6">
        <v>171</v>
      </c>
      <c r="K1552" s="6">
        <v>48.543689319999999</v>
      </c>
      <c r="L1552" s="3" t="s">
        <v>10</v>
      </c>
      <c r="M1552" s="26"/>
    </row>
    <row r="1553" spans="1:13" x14ac:dyDescent="0.25">
      <c r="A1553" s="6">
        <v>1.8253363278230301E+17</v>
      </c>
      <c r="B1553" s="31" t="s">
        <v>900</v>
      </c>
      <c r="C1553" s="32" t="str">
        <f t="shared" si="40"/>
        <v>Jul</v>
      </c>
      <c r="D1553" s="3" t="s">
        <v>25</v>
      </c>
      <c r="E1553" s="6">
        <v>110074</v>
      </c>
      <c r="F1553" s="6">
        <v>7117</v>
      </c>
      <c r="G1553" s="6">
        <v>3</v>
      </c>
      <c r="H1553" s="6">
        <v>169.90291260000001</v>
      </c>
      <c r="I1553" s="6">
        <v>5</v>
      </c>
      <c r="J1553" s="6">
        <v>175</v>
      </c>
      <c r="K1553" s="6">
        <v>48.543689319999999</v>
      </c>
      <c r="L1553" s="3" t="s">
        <v>23</v>
      </c>
      <c r="M1553" s="26"/>
    </row>
    <row r="1554" spans="1:13" x14ac:dyDescent="0.25">
      <c r="A1554" s="6">
        <v>1.93717719068284E+17</v>
      </c>
      <c r="B1554" s="31" t="s">
        <v>909</v>
      </c>
      <c r="C1554" s="32" t="str">
        <f t="shared" si="40"/>
        <v>Aug</v>
      </c>
      <c r="D1554" s="3" t="s">
        <v>25</v>
      </c>
      <c r="E1554" s="6">
        <v>390010</v>
      </c>
      <c r="F1554" s="6">
        <v>7117</v>
      </c>
      <c r="G1554" s="6">
        <v>3</v>
      </c>
      <c r="H1554" s="6">
        <v>145.631068</v>
      </c>
      <c r="I1554" s="6">
        <v>4</v>
      </c>
      <c r="J1554" s="6">
        <v>150</v>
      </c>
      <c r="K1554" s="6">
        <v>51.456310680000001</v>
      </c>
      <c r="L1554" s="3" t="s">
        <v>46</v>
      </c>
      <c r="M1554" s="26"/>
    </row>
    <row r="1555" spans="1:13" x14ac:dyDescent="0.25">
      <c r="A1555" s="6">
        <v>1.9160204051775501E+17</v>
      </c>
      <c r="B1555" s="31" t="s">
        <v>911</v>
      </c>
      <c r="C1555" s="32" t="str">
        <f t="shared" si="40"/>
        <v>Aug</v>
      </c>
      <c r="D1555" s="3" t="s">
        <v>21</v>
      </c>
      <c r="E1555" s="6">
        <v>445301</v>
      </c>
      <c r="F1555" s="6">
        <v>7117</v>
      </c>
      <c r="G1555" s="6">
        <v>3</v>
      </c>
      <c r="H1555" s="6">
        <v>168.93203879999999</v>
      </c>
      <c r="I1555" s="6">
        <v>5</v>
      </c>
      <c r="J1555" s="6">
        <v>174</v>
      </c>
      <c r="K1555" s="6">
        <v>51.456310680000001</v>
      </c>
      <c r="L1555" s="3" t="s">
        <v>17</v>
      </c>
      <c r="M1555" s="26"/>
    </row>
    <row r="1556" spans="1:13" x14ac:dyDescent="0.25">
      <c r="A1556" s="6">
        <v>1.89341000141144E+17</v>
      </c>
      <c r="B1556" s="31" t="s">
        <v>913</v>
      </c>
      <c r="C1556" s="32" t="str">
        <f t="shared" si="40"/>
        <v>Aug</v>
      </c>
      <c r="D1556" s="3" t="s">
        <v>21</v>
      </c>
      <c r="E1556" s="6">
        <v>743504</v>
      </c>
      <c r="F1556" s="6">
        <v>7117</v>
      </c>
      <c r="G1556" s="6">
        <v>3</v>
      </c>
      <c r="H1556" s="6">
        <v>287.37864080000003</v>
      </c>
      <c r="I1556" s="6">
        <v>8</v>
      </c>
      <c r="J1556" s="6">
        <v>296</v>
      </c>
      <c r="K1556" s="6">
        <v>38.834951459999999</v>
      </c>
      <c r="L1556" s="3" t="s">
        <v>54</v>
      </c>
      <c r="M1556" s="26"/>
    </row>
    <row r="1557" spans="1:13" x14ac:dyDescent="0.25">
      <c r="A1557" s="6">
        <v>1.9104293055869798E+17</v>
      </c>
      <c r="B1557" s="31" t="s">
        <v>915</v>
      </c>
      <c r="C1557" s="32" t="str">
        <f t="shared" si="40"/>
        <v>Aug</v>
      </c>
      <c r="D1557" s="3" t="s">
        <v>16</v>
      </c>
      <c r="E1557" s="6">
        <v>500067</v>
      </c>
      <c r="F1557" s="6">
        <v>7117</v>
      </c>
      <c r="G1557" s="6">
        <v>3</v>
      </c>
      <c r="H1557" s="6">
        <v>150.4854369</v>
      </c>
      <c r="I1557" s="6">
        <v>4</v>
      </c>
      <c r="J1557" s="6">
        <v>155</v>
      </c>
      <c r="K1557" s="6">
        <v>40.776699030000003</v>
      </c>
      <c r="L1557" s="3" t="s">
        <v>22</v>
      </c>
      <c r="M1557" s="26"/>
    </row>
    <row r="1558" spans="1:13" x14ac:dyDescent="0.25">
      <c r="A1558" s="6">
        <v>1.8760061283758899E+17</v>
      </c>
      <c r="B1558" s="31" t="s">
        <v>917</v>
      </c>
      <c r="C1558" s="32" t="str">
        <f t="shared" si="40"/>
        <v>Aug</v>
      </c>
      <c r="D1558" s="3" t="s">
        <v>52</v>
      </c>
      <c r="E1558" s="6">
        <v>517408</v>
      </c>
      <c r="F1558" s="6">
        <v>7117</v>
      </c>
      <c r="G1558" s="6">
        <v>3</v>
      </c>
      <c r="H1558" s="6">
        <v>131.06796120000001</v>
      </c>
      <c r="I1558" s="6">
        <v>3</v>
      </c>
      <c r="J1558" s="6">
        <v>135</v>
      </c>
      <c r="K1558" s="6">
        <v>36.893203880000002</v>
      </c>
      <c r="L1558" s="3" t="s">
        <v>54</v>
      </c>
      <c r="M1558" s="26"/>
    </row>
    <row r="1559" spans="1:13" x14ac:dyDescent="0.25">
      <c r="A1559" s="6">
        <v>1.8677096849922E+17</v>
      </c>
      <c r="B1559" s="31" t="s">
        <v>919</v>
      </c>
      <c r="C1559" s="32" t="str">
        <f t="shared" si="40"/>
        <v>Aug</v>
      </c>
      <c r="D1559" s="3" t="s">
        <v>16</v>
      </c>
      <c r="E1559" s="6">
        <v>281005</v>
      </c>
      <c r="F1559" s="6">
        <v>7117</v>
      </c>
      <c r="G1559" s="6">
        <v>3</v>
      </c>
      <c r="H1559" s="6">
        <v>219.41747570000001</v>
      </c>
      <c r="I1559" s="6">
        <v>6</v>
      </c>
      <c r="J1559" s="6">
        <v>226</v>
      </c>
      <c r="K1559" s="6">
        <v>57.2815534</v>
      </c>
      <c r="L1559" s="3" t="s">
        <v>22</v>
      </c>
      <c r="M1559" s="26"/>
    </row>
    <row r="1560" spans="1:13" x14ac:dyDescent="0.25">
      <c r="A1560" s="6">
        <v>1.8303912652551002E+17</v>
      </c>
      <c r="B1560" s="31" t="s">
        <v>921</v>
      </c>
      <c r="C1560" s="32" t="str">
        <f t="shared" si="40"/>
        <v>Aug</v>
      </c>
      <c r="D1560" s="3" t="s">
        <v>16</v>
      </c>
      <c r="E1560" s="6">
        <v>624710</v>
      </c>
      <c r="F1560" s="6">
        <v>7117</v>
      </c>
      <c r="G1560" s="6">
        <v>3</v>
      </c>
      <c r="H1560" s="6">
        <v>166.0194175</v>
      </c>
      <c r="I1560" s="6">
        <v>4</v>
      </c>
      <c r="J1560" s="6">
        <v>171</v>
      </c>
      <c r="K1560" s="6">
        <v>56.310679610000001</v>
      </c>
      <c r="L1560" s="3" t="s">
        <v>12</v>
      </c>
      <c r="M1560" s="26"/>
    </row>
    <row r="1561" spans="1:13" x14ac:dyDescent="0.25">
      <c r="A1561" s="6">
        <v>1.84983578541868E+17</v>
      </c>
      <c r="B1561" s="31" t="s">
        <v>923</v>
      </c>
      <c r="C1561" s="32" t="str">
        <f t="shared" si="40"/>
        <v>Aug</v>
      </c>
      <c r="D1561" s="3" t="s">
        <v>16</v>
      </c>
      <c r="E1561" s="6">
        <v>828402</v>
      </c>
      <c r="F1561" s="6">
        <v>7117</v>
      </c>
      <c r="G1561" s="6">
        <v>3</v>
      </c>
      <c r="H1561" s="6">
        <v>174.7572816</v>
      </c>
      <c r="I1561" s="6">
        <v>5</v>
      </c>
      <c r="J1561" s="6">
        <v>180</v>
      </c>
      <c r="K1561" s="6">
        <v>57.2815534</v>
      </c>
      <c r="L1561" s="3" t="s">
        <v>39</v>
      </c>
      <c r="M1561" s="26"/>
    </row>
    <row r="1562" spans="1:13" x14ac:dyDescent="0.25">
      <c r="A1562" s="6">
        <v>1.8420587991318899E+17</v>
      </c>
      <c r="B1562" s="31" t="s">
        <v>925</v>
      </c>
      <c r="C1562" s="32" t="str">
        <f t="shared" si="40"/>
        <v>Aug</v>
      </c>
      <c r="D1562" s="3" t="s">
        <v>25</v>
      </c>
      <c r="E1562" s="6">
        <v>440016</v>
      </c>
      <c r="F1562" s="6">
        <v>7117</v>
      </c>
      <c r="G1562" s="6">
        <v>3</v>
      </c>
      <c r="H1562" s="6">
        <v>146.6019417</v>
      </c>
      <c r="I1562" s="6">
        <v>4</v>
      </c>
      <c r="J1562" s="6">
        <v>151</v>
      </c>
      <c r="K1562" s="6">
        <v>29.126213589999999</v>
      </c>
      <c r="L1562" s="3" t="s">
        <v>22</v>
      </c>
      <c r="M1562" s="26"/>
    </row>
    <row r="1563" spans="1:13" x14ac:dyDescent="0.25">
      <c r="A1563" s="6">
        <v>1.90718104342168E+17</v>
      </c>
      <c r="B1563" s="31" t="s">
        <v>927</v>
      </c>
      <c r="C1563" s="32" t="str">
        <f t="shared" si="40"/>
        <v>Aug</v>
      </c>
      <c r="D1563" s="3" t="s">
        <v>16</v>
      </c>
      <c r="E1563" s="6">
        <v>782105</v>
      </c>
      <c r="F1563" s="6">
        <v>7117</v>
      </c>
      <c r="G1563" s="6">
        <v>3</v>
      </c>
      <c r="H1563" s="6">
        <v>199.02912620000001</v>
      </c>
      <c r="I1563" s="6">
        <v>5</v>
      </c>
      <c r="J1563" s="6">
        <v>205</v>
      </c>
      <c r="K1563" s="6">
        <v>58.252427179999998</v>
      </c>
      <c r="L1563" s="3" t="s">
        <v>27</v>
      </c>
      <c r="M1563" s="26"/>
    </row>
    <row r="1564" spans="1:13" x14ac:dyDescent="0.25">
      <c r="A1564" s="6">
        <v>1.8569095621618899E+17</v>
      </c>
      <c r="B1564" s="31" t="s">
        <v>929</v>
      </c>
      <c r="C1564" s="32" t="str">
        <f t="shared" si="40"/>
        <v>Aug</v>
      </c>
      <c r="D1564" s="3" t="s">
        <v>16</v>
      </c>
      <c r="E1564" s="6">
        <v>621719</v>
      </c>
      <c r="F1564" s="6">
        <v>7117</v>
      </c>
      <c r="G1564" s="6">
        <v>3</v>
      </c>
      <c r="H1564" s="6">
        <v>153.3980583</v>
      </c>
      <c r="I1564" s="6">
        <v>4</v>
      </c>
      <c r="J1564" s="6">
        <v>158</v>
      </c>
      <c r="K1564" s="6">
        <v>35.922330100000003</v>
      </c>
      <c r="L1564" s="3" t="s">
        <v>19</v>
      </c>
      <c r="M1564" s="26"/>
    </row>
    <row r="1565" spans="1:13" x14ac:dyDescent="0.25">
      <c r="A1565" s="6">
        <v>1.8925052726610701E+17</v>
      </c>
      <c r="B1565" s="31" t="s">
        <v>913</v>
      </c>
      <c r="C1565" s="32" t="str">
        <f t="shared" si="40"/>
        <v>Aug</v>
      </c>
      <c r="D1565" s="3" t="s">
        <v>16</v>
      </c>
      <c r="E1565" s="6">
        <v>332025</v>
      </c>
      <c r="F1565" s="6">
        <v>330410</v>
      </c>
      <c r="G1565" s="6">
        <v>18</v>
      </c>
      <c r="H1565" s="6">
        <v>187.2881356</v>
      </c>
      <c r="I1565" s="6">
        <v>33</v>
      </c>
      <c r="J1565" s="6">
        <v>221</v>
      </c>
      <c r="K1565" s="6">
        <v>30.508474580000001</v>
      </c>
      <c r="L1565" s="3" t="s">
        <v>10</v>
      </c>
      <c r="M1565" s="26"/>
    </row>
    <row r="1566" spans="1:13" x14ac:dyDescent="0.25">
      <c r="A1566" s="6">
        <v>1.91144630480584E+17</v>
      </c>
      <c r="B1566" s="31" t="s">
        <v>915</v>
      </c>
      <c r="C1566" s="32" t="str">
        <f t="shared" si="40"/>
        <v>Aug</v>
      </c>
      <c r="D1566" s="3" t="s">
        <v>16</v>
      </c>
      <c r="E1566" s="6">
        <v>508222</v>
      </c>
      <c r="F1566" s="6">
        <v>7117</v>
      </c>
      <c r="G1566" s="6">
        <v>3</v>
      </c>
      <c r="H1566" s="6">
        <v>149.5145631</v>
      </c>
      <c r="I1566" s="6">
        <v>4</v>
      </c>
      <c r="J1566" s="6">
        <v>154</v>
      </c>
      <c r="K1566" s="6">
        <v>39.805825239999997</v>
      </c>
      <c r="L1566" s="3" t="s">
        <v>53</v>
      </c>
      <c r="M1566" s="26"/>
    </row>
    <row r="1567" spans="1:13" x14ac:dyDescent="0.25">
      <c r="A1567" s="6">
        <v>1.90796621737672E+17</v>
      </c>
      <c r="B1567" s="31" t="s">
        <v>927</v>
      </c>
      <c r="C1567" s="32" t="str">
        <f t="shared" si="40"/>
        <v>Aug</v>
      </c>
      <c r="D1567" s="3" t="s">
        <v>16</v>
      </c>
      <c r="E1567" s="6">
        <v>148023</v>
      </c>
      <c r="F1567" s="6">
        <v>7117</v>
      </c>
      <c r="G1567" s="6">
        <v>3</v>
      </c>
      <c r="H1567" s="6">
        <v>151.45631069999999</v>
      </c>
      <c r="I1567" s="6">
        <v>4</v>
      </c>
      <c r="J1567" s="6">
        <v>156</v>
      </c>
      <c r="K1567" s="6">
        <v>33.980582519999999</v>
      </c>
      <c r="L1567" s="3" t="s">
        <v>28</v>
      </c>
      <c r="M1567" s="26"/>
    </row>
    <row r="1568" spans="1:13" x14ac:dyDescent="0.25">
      <c r="A1568" s="6">
        <v>1.9079680994551398E+17</v>
      </c>
      <c r="B1568" s="31" t="s">
        <v>927</v>
      </c>
      <c r="C1568" s="32" t="str">
        <f t="shared" si="40"/>
        <v>Aug</v>
      </c>
      <c r="D1568" s="3" t="s">
        <v>16</v>
      </c>
      <c r="E1568" s="6">
        <v>497225</v>
      </c>
      <c r="F1568" s="6">
        <v>7117</v>
      </c>
      <c r="G1568" s="6">
        <v>3</v>
      </c>
      <c r="H1568" s="6">
        <v>167.96116499999999</v>
      </c>
      <c r="I1568" s="6">
        <v>5</v>
      </c>
      <c r="J1568" s="6">
        <v>173</v>
      </c>
      <c r="K1568" s="6">
        <v>50.485436890000003</v>
      </c>
      <c r="L1568" s="3" t="s">
        <v>28</v>
      </c>
      <c r="M1568" s="26"/>
    </row>
    <row r="1569" spans="1:13" x14ac:dyDescent="0.25">
      <c r="A1569" s="6">
        <v>1.8321811232021299E+17</v>
      </c>
      <c r="B1569" s="31" t="s">
        <v>921</v>
      </c>
      <c r="C1569" s="32" t="str">
        <f t="shared" si="40"/>
        <v>Aug</v>
      </c>
      <c r="D1569" s="3" t="s">
        <v>16</v>
      </c>
      <c r="E1569" s="6">
        <v>764073</v>
      </c>
      <c r="F1569" s="6">
        <v>7117</v>
      </c>
      <c r="G1569" s="6">
        <v>3</v>
      </c>
      <c r="H1569" s="6">
        <v>159.22330099999999</v>
      </c>
      <c r="I1569" s="6">
        <v>4</v>
      </c>
      <c r="J1569" s="6">
        <v>164</v>
      </c>
      <c r="K1569" s="6">
        <v>58.252427179999998</v>
      </c>
      <c r="L1569" s="3" t="s">
        <v>54</v>
      </c>
      <c r="M1569" s="26"/>
    </row>
    <row r="1570" spans="1:13" x14ac:dyDescent="0.25">
      <c r="A1570" s="6">
        <v>1.9047194362278499E+17</v>
      </c>
      <c r="B1570" s="31" t="s">
        <v>936</v>
      </c>
      <c r="C1570" s="32" t="str">
        <f t="shared" si="40"/>
        <v>Aug</v>
      </c>
      <c r="D1570" s="3" t="s">
        <v>52</v>
      </c>
      <c r="E1570" s="6">
        <v>382418</v>
      </c>
      <c r="F1570" s="6">
        <v>7117</v>
      </c>
      <c r="G1570" s="6">
        <v>3</v>
      </c>
      <c r="H1570" s="6">
        <v>174.7572816</v>
      </c>
      <c r="I1570" s="6">
        <v>5</v>
      </c>
      <c r="J1570" s="6">
        <v>180</v>
      </c>
      <c r="K1570" s="6">
        <v>57.2815534</v>
      </c>
      <c r="L1570" s="3" t="s">
        <v>22</v>
      </c>
      <c r="M1570" s="26"/>
    </row>
    <row r="1571" spans="1:13" x14ac:dyDescent="0.25">
      <c r="A1571" s="6">
        <v>1.8687862412863101E+17</v>
      </c>
      <c r="B1571" s="31" t="s">
        <v>919</v>
      </c>
      <c r="C1571" s="32" t="str">
        <f t="shared" si="40"/>
        <v>Aug</v>
      </c>
      <c r="D1571" s="3" t="s">
        <v>25</v>
      </c>
      <c r="E1571" s="6">
        <v>243751</v>
      </c>
      <c r="F1571" s="6">
        <v>7117</v>
      </c>
      <c r="G1571" s="6">
        <v>3</v>
      </c>
      <c r="H1571" s="6">
        <v>151.45631069999999</v>
      </c>
      <c r="I1571" s="6">
        <v>4</v>
      </c>
      <c r="J1571" s="6">
        <v>156</v>
      </c>
      <c r="K1571" s="6">
        <v>33.980582519999999</v>
      </c>
      <c r="L1571" s="3" t="s">
        <v>10</v>
      </c>
      <c r="M1571" s="26"/>
    </row>
    <row r="1572" spans="1:13" x14ac:dyDescent="0.25">
      <c r="A1572" s="6">
        <v>1.8613230800866701E+17</v>
      </c>
      <c r="B1572" s="31" t="s">
        <v>939</v>
      </c>
      <c r="C1572" s="32" t="str">
        <f t="shared" si="40"/>
        <v>Aug</v>
      </c>
      <c r="D1572" s="3" t="s">
        <v>16</v>
      </c>
      <c r="E1572" s="6">
        <v>110081</v>
      </c>
      <c r="F1572" s="6">
        <v>7117</v>
      </c>
      <c r="G1572" s="6">
        <v>3</v>
      </c>
      <c r="H1572" s="6">
        <v>167.96116499999999</v>
      </c>
      <c r="I1572" s="6">
        <v>5</v>
      </c>
      <c r="J1572" s="6">
        <v>173</v>
      </c>
      <c r="K1572" s="6">
        <v>50.485436890000003</v>
      </c>
      <c r="L1572" s="3" t="s">
        <v>63</v>
      </c>
      <c r="M1572" s="26"/>
    </row>
    <row r="1573" spans="1:13" x14ac:dyDescent="0.25">
      <c r="A1573" s="6">
        <v>1.89238800294396E+17</v>
      </c>
      <c r="B1573" s="31" t="s">
        <v>913</v>
      </c>
      <c r="C1573" s="32" t="str">
        <f t="shared" si="40"/>
        <v>Aug</v>
      </c>
      <c r="D1573" s="3" t="s">
        <v>9</v>
      </c>
      <c r="E1573" s="6">
        <v>123501</v>
      </c>
      <c r="F1573" s="6">
        <v>7117</v>
      </c>
      <c r="G1573" s="6">
        <v>3</v>
      </c>
      <c r="H1573" s="6">
        <v>150.4854369</v>
      </c>
      <c r="I1573" s="6">
        <v>4</v>
      </c>
      <c r="J1573" s="6">
        <v>155</v>
      </c>
      <c r="K1573" s="6">
        <v>33.009708740000001</v>
      </c>
      <c r="L1573" s="3" t="s">
        <v>28</v>
      </c>
      <c r="M1573" s="26"/>
    </row>
    <row r="1574" spans="1:13" x14ac:dyDescent="0.25">
      <c r="A1574" s="6">
        <v>1.8797452284104301E+17</v>
      </c>
      <c r="B1574" s="31" t="s">
        <v>942</v>
      </c>
      <c r="C1574" s="32" t="str">
        <f t="shared" si="40"/>
        <v>Aug</v>
      </c>
      <c r="D1574" s="3" t="s">
        <v>16</v>
      </c>
      <c r="E1574" s="6">
        <v>532421</v>
      </c>
      <c r="F1574" s="6">
        <v>7117</v>
      </c>
      <c r="G1574" s="6">
        <v>3</v>
      </c>
      <c r="H1574" s="6">
        <v>131.06796120000001</v>
      </c>
      <c r="I1574" s="6">
        <v>3</v>
      </c>
      <c r="J1574" s="6">
        <v>135</v>
      </c>
      <c r="K1574" s="6">
        <v>36.893203880000002</v>
      </c>
      <c r="L1574" s="3" t="s">
        <v>41</v>
      </c>
      <c r="M1574" s="26"/>
    </row>
    <row r="1575" spans="1:13" x14ac:dyDescent="0.25">
      <c r="A1575" s="6">
        <v>1.92444402906464E+17</v>
      </c>
      <c r="B1575" s="31" t="s">
        <v>944</v>
      </c>
      <c r="C1575" s="32" t="str">
        <f t="shared" si="40"/>
        <v>Aug</v>
      </c>
      <c r="D1575" s="3" t="s">
        <v>16</v>
      </c>
      <c r="E1575" s="6">
        <v>444107</v>
      </c>
      <c r="F1575" s="6">
        <v>7117</v>
      </c>
      <c r="G1575" s="6">
        <v>3</v>
      </c>
      <c r="H1575" s="6">
        <v>136.8932039</v>
      </c>
      <c r="I1575" s="6">
        <v>4</v>
      </c>
      <c r="J1575" s="6">
        <v>141</v>
      </c>
      <c r="K1575" s="6">
        <v>42.7184466</v>
      </c>
      <c r="L1575" s="3" t="s">
        <v>98</v>
      </c>
      <c r="M1575" s="26"/>
    </row>
    <row r="1576" spans="1:13" x14ac:dyDescent="0.25">
      <c r="A1576" s="6">
        <v>1.9117028322187699E+17</v>
      </c>
      <c r="B1576" s="31" t="s">
        <v>915</v>
      </c>
      <c r="C1576" s="32" t="str">
        <f t="shared" si="40"/>
        <v>Aug</v>
      </c>
      <c r="D1576" s="3" t="s">
        <v>16</v>
      </c>
      <c r="E1576" s="6">
        <v>121003</v>
      </c>
      <c r="F1576" s="6">
        <v>7117</v>
      </c>
      <c r="G1576" s="6">
        <v>3</v>
      </c>
      <c r="H1576" s="6">
        <v>178.6407767</v>
      </c>
      <c r="I1576" s="6">
        <v>5</v>
      </c>
      <c r="J1576" s="6">
        <v>184</v>
      </c>
      <c r="K1576" s="6">
        <v>49.514563109999997</v>
      </c>
      <c r="L1576" s="3" t="s">
        <v>46</v>
      </c>
      <c r="M1576" s="26"/>
    </row>
    <row r="1577" spans="1:13" x14ac:dyDescent="0.25">
      <c r="A1577" s="6">
        <v>1.8743784930521901E+17</v>
      </c>
      <c r="B1577" s="31" t="s">
        <v>917</v>
      </c>
      <c r="C1577" s="32" t="str">
        <f t="shared" si="40"/>
        <v>Aug</v>
      </c>
      <c r="D1577" s="3" t="s">
        <v>16</v>
      </c>
      <c r="E1577" s="6">
        <v>209733</v>
      </c>
      <c r="F1577" s="6">
        <v>7117</v>
      </c>
      <c r="G1577" s="6">
        <v>3</v>
      </c>
      <c r="H1577" s="6">
        <v>171.84466019999999</v>
      </c>
      <c r="I1577" s="6">
        <v>5</v>
      </c>
      <c r="J1577" s="6">
        <v>177</v>
      </c>
      <c r="K1577" s="6">
        <v>50.485436890000003</v>
      </c>
      <c r="L1577" s="3" t="s">
        <v>49</v>
      </c>
      <c r="M1577" s="26"/>
    </row>
    <row r="1578" spans="1:13" x14ac:dyDescent="0.25">
      <c r="A1578" s="6">
        <v>1.92769994638692E+17</v>
      </c>
      <c r="B1578" s="31" t="s">
        <v>948</v>
      </c>
      <c r="C1578" s="32" t="str">
        <f t="shared" si="40"/>
        <v>Aug</v>
      </c>
      <c r="D1578" s="3" t="s">
        <v>25</v>
      </c>
      <c r="E1578" s="6">
        <v>517424</v>
      </c>
      <c r="F1578" s="6">
        <v>7117</v>
      </c>
      <c r="G1578" s="6">
        <v>3</v>
      </c>
      <c r="H1578" s="6">
        <v>155.33980579999999</v>
      </c>
      <c r="I1578" s="6">
        <v>4</v>
      </c>
      <c r="J1578" s="6">
        <v>160</v>
      </c>
      <c r="K1578" s="6">
        <v>58.252427179999998</v>
      </c>
      <c r="L1578" s="3" t="s">
        <v>19</v>
      </c>
      <c r="M1578" s="26"/>
    </row>
    <row r="1579" spans="1:13" x14ac:dyDescent="0.25">
      <c r="A1579" s="6">
        <v>1.8270729695841299E+17</v>
      </c>
      <c r="B1579" s="31" t="s">
        <v>950</v>
      </c>
      <c r="C1579" s="32" t="str">
        <f t="shared" si="40"/>
        <v>Aug</v>
      </c>
      <c r="D1579" s="3" t="s">
        <v>16</v>
      </c>
      <c r="E1579" s="6">
        <v>226022</v>
      </c>
      <c r="F1579" s="6">
        <v>7117</v>
      </c>
      <c r="G1579" s="6">
        <v>3</v>
      </c>
      <c r="H1579" s="6">
        <v>168.93203879999999</v>
      </c>
      <c r="I1579" s="6">
        <v>5</v>
      </c>
      <c r="J1579" s="6">
        <v>174</v>
      </c>
      <c r="K1579" s="6">
        <v>47.57281553</v>
      </c>
      <c r="L1579" s="3" t="s">
        <v>28</v>
      </c>
      <c r="M1579" s="26"/>
    </row>
    <row r="1580" spans="1:13" x14ac:dyDescent="0.25">
      <c r="A1580" s="6">
        <v>1.8941387020045501E+17</v>
      </c>
      <c r="B1580" s="31" t="s">
        <v>913</v>
      </c>
      <c r="C1580" s="32" t="str">
        <f t="shared" si="40"/>
        <v>Aug</v>
      </c>
      <c r="D1580" s="3" t="s">
        <v>25</v>
      </c>
      <c r="E1580" s="6">
        <v>753001</v>
      </c>
      <c r="F1580" s="6">
        <v>7117</v>
      </c>
      <c r="G1580" s="6">
        <v>3</v>
      </c>
      <c r="H1580" s="6">
        <v>176.69902909999999</v>
      </c>
      <c r="I1580" s="6">
        <v>5</v>
      </c>
      <c r="J1580" s="6">
        <v>182</v>
      </c>
      <c r="K1580" s="6">
        <v>55.339805830000003</v>
      </c>
      <c r="L1580" s="3" t="s">
        <v>39</v>
      </c>
      <c r="M1580" s="26"/>
    </row>
    <row r="1581" spans="1:13" x14ac:dyDescent="0.25">
      <c r="A1581" s="6">
        <v>1.89691917872956E+17</v>
      </c>
      <c r="B1581" s="31" t="s">
        <v>953</v>
      </c>
      <c r="C1581" s="32" t="str">
        <f t="shared" si="40"/>
        <v>Aug</v>
      </c>
      <c r="D1581" s="3" t="s">
        <v>16</v>
      </c>
      <c r="E1581" s="6">
        <v>201102</v>
      </c>
      <c r="F1581" s="6">
        <v>7117</v>
      </c>
      <c r="G1581" s="6">
        <v>3</v>
      </c>
      <c r="H1581" s="6">
        <v>161.16504850000001</v>
      </c>
      <c r="I1581" s="6">
        <v>4</v>
      </c>
      <c r="J1581" s="6">
        <v>166</v>
      </c>
      <c r="K1581" s="6">
        <v>57.2815534</v>
      </c>
      <c r="L1581" s="3" t="s">
        <v>23</v>
      </c>
      <c r="M1581" s="26"/>
    </row>
    <row r="1582" spans="1:13" x14ac:dyDescent="0.25">
      <c r="A1582" s="6">
        <v>1.93328474524516E+17</v>
      </c>
      <c r="B1582" s="31" t="s">
        <v>955</v>
      </c>
      <c r="C1582" s="32" t="str">
        <f t="shared" si="40"/>
        <v>Aug</v>
      </c>
      <c r="D1582" s="3" t="s">
        <v>21</v>
      </c>
      <c r="E1582" s="6">
        <v>847402</v>
      </c>
      <c r="F1582" s="6">
        <v>7117</v>
      </c>
      <c r="G1582" s="6">
        <v>3</v>
      </c>
      <c r="H1582" s="6">
        <v>130.09708739999999</v>
      </c>
      <c r="I1582" s="6">
        <v>3</v>
      </c>
      <c r="J1582" s="6">
        <v>134</v>
      </c>
      <c r="K1582" s="6">
        <v>35.922330100000003</v>
      </c>
      <c r="L1582" s="3" t="s">
        <v>23</v>
      </c>
      <c r="M1582" s="26"/>
    </row>
    <row r="1583" spans="1:13" x14ac:dyDescent="0.25">
      <c r="A1583" s="6">
        <v>1.8618178887873699E+17</v>
      </c>
      <c r="B1583" s="31" t="s">
        <v>939</v>
      </c>
      <c r="C1583" s="32" t="str">
        <f t="shared" si="40"/>
        <v>Aug</v>
      </c>
      <c r="D1583" s="3" t="s">
        <v>21</v>
      </c>
      <c r="E1583" s="6">
        <v>759122</v>
      </c>
      <c r="F1583" s="6">
        <v>7117</v>
      </c>
      <c r="G1583" s="6">
        <v>3</v>
      </c>
      <c r="H1583" s="6">
        <v>149.5145631</v>
      </c>
      <c r="I1583" s="6">
        <v>4</v>
      </c>
      <c r="J1583" s="6">
        <v>154</v>
      </c>
      <c r="K1583" s="6">
        <v>55.339805830000003</v>
      </c>
      <c r="L1583" s="3" t="s">
        <v>27</v>
      </c>
      <c r="M1583" s="26"/>
    </row>
    <row r="1584" spans="1:13" x14ac:dyDescent="0.25">
      <c r="A1584" s="6">
        <v>1.9227037084133299E+17</v>
      </c>
      <c r="B1584" s="31" t="s">
        <v>958</v>
      </c>
      <c r="C1584" s="32" t="str">
        <f t="shared" si="40"/>
        <v>Aug</v>
      </c>
      <c r="D1584" s="3" t="s">
        <v>25</v>
      </c>
      <c r="E1584" s="6">
        <v>411039</v>
      </c>
      <c r="F1584" s="6">
        <v>7117</v>
      </c>
      <c r="G1584" s="6">
        <v>3</v>
      </c>
      <c r="H1584" s="6">
        <v>148.54368930000001</v>
      </c>
      <c r="I1584" s="6">
        <v>4</v>
      </c>
      <c r="J1584" s="6">
        <v>153</v>
      </c>
      <c r="K1584" s="6">
        <v>38.834951459999999</v>
      </c>
      <c r="L1584" s="3" t="s">
        <v>41</v>
      </c>
      <c r="M1584" s="26"/>
    </row>
    <row r="1585" spans="1:13" x14ac:dyDescent="0.25">
      <c r="A1585" s="6">
        <v>1.8859722842287299E+17</v>
      </c>
      <c r="B1585" s="31" t="s">
        <v>960</v>
      </c>
      <c r="C1585" s="32" t="str">
        <f t="shared" si="40"/>
        <v>Aug</v>
      </c>
      <c r="D1585" s="3" t="s">
        <v>16</v>
      </c>
      <c r="E1585" s="6">
        <v>274409</v>
      </c>
      <c r="F1585" s="6">
        <v>7117</v>
      </c>
      <c r="G1585" s="6">
        <v>3</v>
      </c>
      <c r="H1585" s="6">
        <v>141.7475728</v>
      </c>
      <c r="I1585" s="6">
        <v>4</v>
      </c>
      <c r="J1585" s="6">
        <v>146</v>
      </c>
      <c r="K1585" s="6">
        <v>55.339805830000003</v>
      </c>
      <c r="L1585" s="3" t="s">
        <v>26</v>
      </c>
      <c r="M1585" s="26"/>
    </row>
    <row r="1586" spans="1:13" x14ac:dyDescent="0.25">
      <c r="A1586" s="6">
        <v>1.9116997258271501E+17</v>
      </c>
      <c r="B1586" s="31" t="s">
        <v>915</v>
      </c>
      <c r="C1586" s="32" t="str">
        <f t="shared" si="40"/>
        <v>Aug</v>
      </c>
      <c r="D1586" s="3" t="s">
        <v>21</v>
      </c>
      <c r="E1586" s="6">
        <v>636905</v>
      </c>
      <c r="F1586" s="6">
        <v>7117</v>
      </c>
      <c r="G1586" s="6">
        <v>3</v>
      </c>
      <c r="H1586" s="6">
        <v>138.83495149999999</v>
      </c>
      <c r="I1586" s="6">
        <v>4</v>
      </c>
      <c r="J1586" s="6">
        <v>143</v>
      </c>
      <c r="K1586" s="6">
        <v>50.485436890000003</v>
      </c>
      <c r="L1586" s="3" t="s">
        <v>22</v>
      </c>
      <c r="M1586" s="26"/>
    </row>
    <row r="1587" spans="1:13" x14ac:dyDescent="0.25">
      <c r="A1587" s="6">
        <v>1.9179392109723699E+17</v>
      </c>
      <c r="B1587" s="31" t="s">
        <v>963</v>
      </c>
      <c r="C1587" s="32" t="str">
        <f t="shared" si="40"/>
        <v>Aug</v>
      </c>
      <c r="D1587" s="3" t="s">
        <v>9</v>
      </c>
      <c r="E1587" s="6">
        <v>560026</v>
      </c>
      <c r="F1587" s="6">
        <v>7117</v>
      </c>
      <c r="G1587" s="6">
        <v>3</v>
      </c>
      <c r="H1587" s="6">
        <v>174.7572816</v>
      </c>
      <c r="I1587" s="6">
        <v>5</v>
      </c>
      <c r="J1587" s="6">
        <v>180</v>
      </c>
      <c r="K1587" s="6">
        <v>57.2815534</v>
      </c>
      <c r="L1587" s="3" t="s">
        <v>27</v>
      </c>
      <c r="M1587" s="26"/>
    </row>
    <row r="1588" spans="1:13" x14ac:dyDescent="0.25">
      <c r="A1588" s="6">
        <v>1.88546398412632E+17</v>
      </c>
      <c r="B1588" s="31" t="s">
        <v>960</v>
      </c>
      <c r="C1588" s="32" t="str">
        <f t="shared" si="40"/>
        <v>Aug</v>
      </c>
      <c r="D1588" s="3" t="s">
        <v>71</v>
      </c>
      <c r="E1588" s="6">
        <v>225409</v>
      </c>
      <c r="F1588" s="6">
        <v>7117</v>
      </c>
      <c r="G1588" s="6">
        <v>3</v>
      </c>
      <c r="H1588" s="6">
        <v>143.68932040000001</v>
      </c>
      <c r="I1588" s="6">
        <v>4</v>
      </c>
      <c r="J1588" s="6">
        <v>148</v>
      </c>
      <c r="K1588" s="6">
        <v>33.980582519999999</v>
      </c>
      <c r="L1588" s="3" t="s">
        <v>28</v>
      </c>
      <c r="M1588" s="26"/>
    </row>
    <row r="1589" spans="1:13" x14ac:dyDescent="0.25">
      <c r="A1589" s="6">
        <v>1.8748880055700301E+17</v>
      </c>
      <c r="B1589" s="31" t="s">
        <v>917</v>
      </c>
      <c r="C1589" s="32" t="str">
        <f t="shared" si="40"/>
        <v>Aug</v>
      </c>
      <c r="D1589" s="3" t="s">
        <v>21</v>
      </c>
      <c r="E1589" s="6">
        <v>403516</v>
      </c>
      <c r="F1589" s="6">
        <v>7117</v>
      </c>
      <c r="G1589" s="6">
        <v>3</v>
      </c>
      <c r="H1589" s="6">
        <v>134.95145629999999</v>
      </c>
      <c r="I1589" s="6">
        <v>4</v>
      </c>
      <c r="J1589" s="6">
        <v>139</v>
      </c>
      <c r="K1589" s="6">
        <v>37.86407767</v>
      </c>
      <c r="L1589" s="3" t="s">
        <v>12</v>
      </c>
      <c r="M1589" s="26"/>
    </row>
  </sheetData>
  <autoFilter ref="A1:L1589" xr:uid="{00000000-0001-0000-0200-000000000000}"/>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57FCF-F656-47F0-9FEF-71229C381474}">
  <dimension ref="A1:C11"/>
  <sheetViews>
    <sheetView workbookViewId="0">
      <selection activeCell="C11" sqref="C11"/>
    </sheetView>
  </sheetViews>
  <sheetFormatPr defaultRowHeight="15" x14ac:dyDescent="0.25"/>
  <cols>
    <col min="1" max="1" width="27.140625" customWidth="1"/>
    <col min="2" max="2" width="29.42578125" customWidth="1"/>
  </cols>
  <sheetData>
    <row r="1" spans="1:3" x14ac:dyDescent="0.25">
      <c r="A1" s="16" t="s">
        <v>1</v>
      </c>
      <c r="B1" s="16" t="s">
        <v>1</v>
      </c>
      <c r="C1">
        <f>MATCH(A1, B1, 0)</f>
        <v>1</v>
      </c>
    </row>
    <row r="2" spans="1:3" x14ac:dyDescent="0.25">
      <c r="A2" s="16" t="s">
        <v>0</v>
      </c>
      <c r="B2" s="16" t="s">
        <v>0</v>
      </c>
      <c r="C2">
        <f t="shared" ref="C2:C11" si="0">MATCH(A2, B2, 0)</f>
        <v>1</v>
      </c>
    </row>
    <row r="3" spans="1:3" x14ac:dyDescent="0.25">
      <c r="A3" s="16" t="s">
        <v>2</v>
      </c>
      <c r="B3" s="16" t="s">
        <v>2</v>
      </c>
      <c r="C3">
        <f t="shared" si="0"/>
        <v>1</v>
      </c>
    </row>
    <row r="4" spans="1:3" x14ac:dyDescent="0.25">
      <c r="A4" s="16" t="s">
        <v>3</v>
      </c>
      <c r="B4" s="16" t="s">
        <v>3</v>
      </c>
      <c r="C4">
        <f t="shared" si="0"/>
        <v>1</v>
      </c>
    </row>
    <row r="5" spans="1:3" x14ac:dyDescent="0.25">
      <c r="A5" s="16" t="s">
        <v>4</v>
      </c>
      <c r="B5" s="16" t="s">
        <v>4</v>
      </c>
      <c r="C5">
        <f t="shared" si="0"/>
        <v>1</v>
      </c>
    </row>
    <row r="6" spans="1:3" x14ac:dyDescent="0.25">
      <c r="A6" s="16" t="s">
        <v>5</v>
      </c>
      <c r="B6" s="16" t="s">
        <v>5</v>
      </c>
      <c r="C6">
        <f t="shared" si="0"/>
        <v>1</v>
      </c>
    </row>
    <row r="7" spans="1:3" x14ac:dyDescent="0.25">
      <c r="A7" s="17" t="s">
        <v>197</v>
      </c>
      <c r="B7" s="16" t="s">
        <v>197</v>
      </c>
      <c r="C7">
        <f t="shared" si="0"/>
        <v>1</v>
      </c>
    </row>
    <row r="8" spans="1:3" x14ac:dyDescent="0.25">
      <c r="A8" s="18" t="s">
        <v>198</v>
      </c>
      <c r="B8" s="16" t="s">
        <v>198</v>
      </c>
      <c r="C8">
        <f t="shared" si="0"/>
        <v>1</v>
      </c>
    </row>
    <row r="9" spans="1:3" x14ac:dyDescent="0.25">
      <c r="A9" s="18" t="s">
        <v>199</v>
      </c>
      <c r="B9" s="16" t="s">
        <v>199</v>
      </c>
      <c r="C9">
        <f t="shared" si="0"/>
        <v>1</v>
      </c>
    </row>
    <row r="10" spans="1:3" x14ac:dyDescent="0.25">
      <c r="A10" s="19" t="s">
        <v>6</v>
      </c>
      <c r="B10" s="16" t="s">
        <v>6</v>
      </c>
      <c r="C10">
        <f t="shared" si="0"/>
        <v>1</v>
      </c>
    </row>
    <row r="11" spans="1:3" x14ac:dyDescent="0.25">
      <c r="A11" s="16" t="s">
        <v>7</v>
      </c>
      <c r="B11" s="16" t="s">
        <v>7</v>
      </c>
      <c r="C11">
        <f t="shared" si="0"/>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F9423-DE2B-4367-AEB3-5D676310B65D}">
  <dimension ref="B5:D11"/>
  <sheetViews>
    <sheetView workbookViewId="0">
      <selection activeCell="D6" sqref="D6"/>
    </sheetView>
  </sheetViews>
  <sheetFormatPr defaultRowHeight="15" x14ac:dyDescent="0.25"/>
  <cols>
    <col min="2" max="2" width="14.5703125" customWidth="1"/>
    <col min="3" max="3" width="25.42578125" customWidth="1"/>
    <col min="4" max="4" width="18.5703125" customWidth="1"/>
  </cols>
  <sheetData>
    <row r="5" spans="2:4" x14ac:dyDescent="0.25">
      <c r="B5" s="29" t="s">
        <v>981</v>
      </c>
      <c r="C5" s="29" t="s">
        <v>972</v>
      </c>
      <c r="D5" s="29" t="s">
        <v>973</v>
      </c>
    </row>
    <row r="6" spans="2:4" x14ac:dyDescent="0.25">
      <c r="B6" s="29" t="s">
        <v>982</v>
      </c>
      <c r="C6" s="29" t="s">
        <v>989</v>
      </c>
      <c r="D6" s="29" t="s">
        <v>974</v>
      </c>
    </row>
    <row r="7" spans="2:4" x14ac:dyDescent="0.25">
      <c r="B7" s="29" t="s">
        <v>983</v>
      </c>
      <c r="C7" s="29" t="s">
        <v>977</v>
      </c>
      <c r="D7" s="29" t="s">
        <v>975</v>
      </c>
    </row>
    <row r="8" spans="2:4" x14ac:dyDescent="0.25">
      <c r="B8" s="29" t="s">
        <v>984</v>
      </c>
      <c r="C8" s="29" t="s">
        <v>978</v>
      </c>
      <c r="D8" s="29" t="s">
        <v>976</v>
      </c>
    </row>
    <row r="9" spans="2:4" x14ac:dyDescent="0.25">
      <c r="B9" s="29"/>
      <c r="C9" s="29" t="s">
        <v>980</v>
      </c>
      <c r="D9" s="29" t="s">
        <v>979</v>
      </c>
    </row>
    <row r="10" spans="2:4" x14ac:dyDescent="0.25">
      <c r="B10" s="29"/>
      <c r="C10" s="29" t="s">
        <v>988</v>
      </c>
      <c r="D10" s="29" t="s">
        <v>971</v>
      </c>
    </row>
    <row r="11" spans="2:4" x14ac:dyDescent="0.25">
      <c r="B11" s="29"/>
      <c r="C11" s="29"/>
      <c r="D11" s="29" t="s">
        <v>970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4873D-9516-4B0B-8DD7-F6ED34FC3B7E}">
  <dimension ref="A3:B11"/>
  <sheetViews>
    <sheetView workbookViewId="0">
      <selection activeCell="B4" sqref="B4"/>
    </sheetView>
  </sheetViews>
  <sheetFormatPr defaultRowHeight="15" x14ac:dyDescent="0.25"/>
  <cols>
    <col min="1" max="1" width="13.140625" bestFit="1" customWidth="1"/>
    <col min="2" max="2" width="25.5703125" bestFit="1" customWidth="1"/>
  </cols>
  <sheetData>
    <row r="3" spans="1:2" x14ac:dyDescent="0.25">
      <c r="A3" s="27" t="s">
        <v>985</v>
      </c>
      <c r="B3" t="s">
        <v>987</v>
      </c>
    </row>
    <row r="4" spans="1:2" x14ac:dyDescent="0.25">
      <c r="A4" s="28" t="s">
        <v>25</v>
      </c>
      <c r="B4">
        <v>56746.745157384947</v>
      </c>
    </row>
    <row r="5" spans="1:2" x14ac:dyDescent="0.25">
      <c r="A5" s="28" t="s">
        <v>16</v>
      </c>
      <c r="B5">
        <v>115134.46418580569</v>
      </c>
    </row>
    <row r="6" spans="1:2" x14ac:dyDescent="0.25">
      <c r="A6" s="28" t="s">
        <v>71</v>
      </c>
      <c r="B6">
        <v>4956.7621359223194</v>
      </c>
    </row>
    <row r="7" spans="1:2" x14ac:dyDescent="0.25">
      <c r="A7" s="28" t="s">
        <v>33</v>
      </c>
      <c r="B7">
        <v>7986.4202496532489</v>
      </c>
    </row>
    <row r="8" spans="1:2" x14ac:dyDescent="0.25">
      <c r="A8" s="28" t="s">
        <v>52</v>
      </c>
      <c r="B8">
        <v>14186.009708737838</v>
      </c>
    </row>
    <row r="9" spans="1:2" x14ac:dyDescent="0.25">
      <c r="A9" s="28" t="s">
        <v>21</v>
      </c>
      <c r="B9">
        <v>23571.57086438324</v>
      </c>
    </row>
    <row r="10" spans="1:2" x14ac:dyDescent="0.25">
      <c r="A10" s="28" t="s">
        <v>9</v>
      </c>
      <c r="B10">
        <v>38395.64995651046</v>
      </c>
    </row>
    <row r="11" spans="1:2" x14ac:dyDescent="0.25">
      <c r="A11" s="28" t="s">
        <v>986</v>
      </c>
      <c r="B11">
        <v>260977.62225839743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06734-305A-4AB9-AB49-6F167BA01380}">
  <dimension ref="A3:B36"/>
  <sheetViews>
    <sheetView topLeftCell="D1" workbookViewId="0">
      <selection activeCell="L18" sqref="L18"/>
    </sheetView>
  </sheetViews>
  <sheetFormatPr defaultRowHeight="15" x14ac:dyDescent="0.25"/>
  <cols>
    <col min="1" max="1" width="27.85546875" bestFit="1" customWidth="1"/>
    <col min="2" max="2" width="25.5703125" bestFit="1" customWidth="1"/>
  </cols>
  <sheetData>
    <row r="3" spans="1:2" x14ac:dyDescent="0.25">
      <c r="A3" s="27" t="s">
        <v>985</v>
      </c>
      <c r="B3" t="s">
        <v>987</v>
      </c>
    </row>
    <row r="4" spans="1:2" x14ac:dyDescent="0.25">
      <c r="A4" s="28" t="s">
        <v>966</v>
      </c>
      <c r="B4" s="26">
        <v>171</v>
      </c>
    </row>
    <row r="5" spans="1:2" x14ac:dyDescent="0.25">
      <c r="A5" s="28" t="s">
        <v>39</v>
      </c>
      <c r="B5" s="26">
        <v>4808.9999999999945</v>
      </c>
    </row>
    <row r="6" spans="1:2" x14ac:dyDescent="0.25">
      <c r="A6" s="28" t="s">
        <v>97</v>
      </c>
      <c r="B6" s="26">
        <v>245.9999999999998</v>
      </c>
    </row>
    <row r="7" spans="1:2" x14ac:dyDescent="0.25">
      <c r="A7" s="28" t="s">
        <v>35</v>
      </c>
      <c r="B7" s="26">
        <v>1543.7499999999977</v>
      </c>
    </row>
    <row r="8" spans="1:2" x14ac:dyDescent="0.25">
      <c r="A8" s="28" t="s">
        <v>22</v>
      </c>
      <c r="B8" s="26">
        <v>12562.251386962536</v>
      </c>
    </row>
    <row r="9" spans="1:2" x14ac:dyDescent="0.25">
      <c r="A9" s="28" t="s">
        <v>85</v>
      </c>
      <c r="B9" s="26">
        <v>150.26213592233006</v>
      </c>
    </row>
    <row r="10" spans="1:2" x14ac:dyDescent="0.25">
      <c r="A10" s="28" t="s">
        <v>23</v>
      </c>
      <c r="B10" s="26">
        <v>2894.5145631067908</v>
      </c>
    </row>
    <row r="11" spans="1:2" x14ac:dyDescent="0.25">
      <c r="A11" s="28" t="s">
        <v>28</v>
      </c>
      <c r="B11" s="26">
        <v>4730.2074684407171</v>
      </c>
    </row>
    <row r="12" spans="1:2" x14ac:dyDescent="0.25">
      <c r="A12" s="28" t="s">
        <v>104</v>
      </c>
      <c r="B12" s="26">
        <v>200.9999999999992</v>
      </c>
    </row>
    <row r="13" spans="1:2" x14ac:dyDescent="0.25">
      <c r="A13" s="28" t="s">
        <v>12</v>
      </c>
      <c r="B13" s="26">
        <v>3491.1067961164981</v>
      </c>
    </row>
    <row r="14" spans="1:2" x14ac:dyDescent="0.25">
      <c r="A14" s="28" t="s">
        <v>63</v>
      </c>
      <c r="B14" s="26">
        <v>4070.9164355062321</v>
      </c>
    </row>
    <row r="15" spans="1:2" x14ac:dyDescent="0.25">
      <c r="A15" s="28" t="s">
        <v>44</v>
      </c>
      <c r="B15" s="26">
        <v>862.7149791955602</v>
      </c>
    </row>
    <row r="16" spans="1:2" x14ac:dyDescent="0.25">
      <c r="A16" s="28" t="s">
        <v>56</v>
      </c>
      <c r="B16" s="26">
        <v>328.1186440677958</v>
      </c>
    </row>
    <row r="17" spans="1:2" x14ac:dyDescent="0.25">
      <c r="A17" s="28" t="s">
        <v>967</v>
      </c>
      <c r="B17" s="26">
        <v>334</v>
      </c>
    </row>
    <row r="18" spans="1:2" x14ac:dyDescent="0.25">
      <c r="A18" s="28" t="s">
        <v>37</v>
      </c>
      <c r="B18" s="26">
        <v>4062.3398058252355</v>
      </c>
    </row>
    <row r="19" spans="1:2" x14ac:dyDescent="0.25">
      <c r="A19" s="28" t="s">
        <v>19</v>
      </c>
      <c r="B19" s="26">
        <v>5976.1581137309204</v>
      </c>
    </row>
    <row r="20" spans="1:2" x14ac:dyDescent="0.25">
      <c r="A20" s="28" t="s">
        <v>98</v>
      </c>
      <c r="B20" s="26">
        <v>1318.1182385575562</v>
      </c>
    </row>
    <row r="21" spans="1:2" x14ac:dyDescent="0.25">
      <c r="A21" s="28" t="s">
        <v>26</v>
      </c>
      <c r="B21" s="26">
        <v>5616.9999999999909</v>
      </c>
    </row>
    <row r="22" spans="1:2" x14ac:dyDescent="0.25">
      <c r="A22" s="28" t="s">
        <v>41</v>
      </c>
      <c r="B22" s="26">
        <v>8608.6327017560197</v>
      </c>
    </row>
    <row r="23" spans="1:2" x14ac:dyDescent="0.25">
      <c r="A23" s="28" t="s">
        <v>196</v>
      </c>
      <c r="B23" s="26">
        <v>189.99999999999926</v>
      </c>
    </row>
    <row r="24" spans="1:2" x14ac:dyDescent="0.25">
      <c r="A24" s="28" t="s">
        <v>103</v>
      </c>
      <c r="B24" s="26">
        <v>182.9999999999998</v>
      </c>
    </row>
    <row r="25" spans="1:2" x14ac:dyDescent="0.25">
      <c r="A25" s="28" t="s">
        <v>54</v>
      </c>
      <c r="B25" s="26">
        <v>3476.6601941747508</v>
      </c>
    </row>
    <row r="26" spans="1:2" x14ac:dyDescent="0.25">
      <c r="A26" s="28" t="s">
        <v>968</v>
      </c>
      <c r="B26" s="26">
        <v>159</v>
      </c>
    </row>
    <row r="27" spans="1:2" x14ac:dyDescent="0.25">
      <c r="A27" s="28" t="s">
        <v>17</v>
      </c>
      <c r="B27" s="26">
        <v>3945.7260102494129</v>
      </c>
    </row>
    <row r="28" spans="1:2" x14ac:dyDescent="0.25">
      <c r="A28" s="28" t="s">
        <v>46</v>
      </c>
      <c r="B28" s="26">
        <v>6098.9980253414369</v>
      </c>
    </row>
    <row r="29" spans="1:2" x14ac:dyDescent="0.25">
      <c r="A29" s="28" t="s">
        <v>969</v>
      </c>
      <c r="B29" s="26">
        <v>212</v>
      </c>
    </row>
    <row r="30" spans="1:2" x14ac:dyDescent="0.25">
      <c r="A30" s="28" t="s">
        <v>27</v>
      </c>
      <c r="B30" s="26">
        <v>3369.5533980582472</v>
      </c>
    </row>
    <row r="31" spans="1:2" x14ac:dyDescent="0.25">
      <c r="A31" s="28" t="s">
        <v>53</v>
      </c>
      <c r="B31" s="26">
        <v>4199.0679611650421</v>
      </c>
    </row>
    <row r="32" spans="1:2" x14ac:dyDescent="0.25">
      <c r="A32" s="28" t="s">
        <v>165</v>
      </c>
      <c r="B32" s="26">
        <v>565.99999999999852</v>
      </c>
    </row>
    <row r="33" spans="1:2" x14ac:dyDescent="0.25">
      <c r="A33" s="28" t="s">
        <v>10</v>
      </c>
      <c r="B33" s="26">
        <v>25694.472025670533</v>
      </c>
    </row>
    <row r="34" spans="1:2" x14ac:dyDescent="0.25">
      <c r="A34" s="28" t="s">
        <v>49</v>
      </c>
      <c r="B34" s="26">
        <v>1607.5991678224668</v>
      </c>
    </row>
    <row r="35" spans="1:2" x14ac:dyDescent="0.25">
      <c r="A35" s="28" t="s">
        <v>14</v>
      </c>
      <c r="B35" s="26">
        <v>3455.2961341357282</v>
      </c>
    </row>
    <row r="36" spans="1:2" x14ac:dyDescent="0.25">
      <c r="A36" s="28" t="s">
        <v>986</v>
      </c>
      <c r="B36" s="26">
        <v>115134.4641858058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3EBEA-EF58-4BD0-A130-B9B821188A07}">
  <dimension ref="A3:B8"/>
  <sheetViews>
    <sheetView workbookViewId="0">
      <selection activeCell="D22" sqref="D22"/>
    </sheetView>
  </sheetViews>
  <sheetFormatPr defaultRowHeight="15" x14ac:dyDescent="0.25"/>
  <cols>
    <col min="1" max="1" width="13.140625" bestFit="1" customWidth="1"/>
    <col min="2" max="2" width="18.42578125" bestFit="1" customWidth="1"/>
    <col min="3" max="302" width="10.42578125" bestFit="1" customWidth="1"/>
    <col min="303" max="303" width="11.28515625" bestFit="1" customWidth="1"/>
    <col min="304" max="513" width="4" bestFit="1" customWidth="1"/>
    <col min="514" max="514" width="11.28515625" bestFit="1" customWidth="1"/>
  </cols>
  <sheetData>
    <row r="3" spans="1:2" x14ac:dyDescent="0.25">
      <c r="A3" s="27" t="s">
        <v>985</v>
      </c>
      <c r="B3" t="s">
        <v>991</v>
      </c>
    </row>
    <row r="4" spans="1:2" x14ac:dyDescent="0.25">
      <c r="A4" s="34">
        <v>7117</v>
      </c>
      <c r="B4" s="26">
        <v>4584.7658384071092</v>
      </c>
    </row>
    <row r="5" spans="1:2" x14ac:dyDescent="0.25">
      <c r="A5" s="34">
        <v>330410</v>
      </c>
      <c r="B5" s="26">
        <v>432</v>
      </c>
    </row>
    <row r="6" spans="1:2" x14ac:dyDescent="0.25">
      <c r="A6" s="34">
        <v>340600</v>
      </c>
      <c r="B6" s="26">
        <v>747.96428571428396</v>
      </c>
    </row>
    <row r="7" spans="1:2" x14ac:dyDescent="0.25">
      <c r="A7" s="34">
        <v>711790</v>
      </c>
      <c r="B7" s="26">
        <v>287.81385317003156</v>
      </c>
    </row>
    <row r="8" spans="1:2" x14ac:dyDescent="0.25">
      <c r="A8" s="34" t="s">
        <v>986</v>
      </c>
      <c r="B8" s="26">
        <v>6052.5439772914251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61479-BFBA-4B8F-B7FC-8F1273DBBA3E}">
  <dimension ref="A3:B7"/>
  <sheetViews>
    <sheetView workbookViewId="0">
      <selection activeCell="A3" sqref="A3:B7"/>
    </sheetView>
  </sheetViews>
  <sheetFormatPr defaultRowHeight="15" x14ac:dyDescent="0.25"/>
  <cols>
    <col min="1" max="1" width="13.140625" bestFit="1" customWidth="1"/>
    <col min="2" max="2" width="29" bestFit="1" customWidth="1"/>
  </cols>
  <sheetData>
    <row r="3" spans="1:2" x14ac:dyDescent="0.25">
      <c r="A3" s="27" t="s">
        <v>985</v>
      </c>
      <c r="B3" t="s">
        <v>992</v>
      </c>
    </row>
    <row r="4" spans="1:2" x14ac:dyDescent="0.25">
      <c r="A4" s="34">
        <v>3</v>
      </c>
      <c r="B4" s="26">
        <v>166.84915245342373</v>
      </c>
    </row>
    <row r="5" spans="1:2" x14ac:dyDescent="0.25">
      <c r="A5" s="34">
        <v>12</v>
      </c>
      <c r="B5" s="26">
        <v>184.47222222222177</v>
      </c>
    </row>
    <row r="6" spans="1:2" x14ac:dyDescent="0.25">
      <c r="A6" s="34">
        <v>18</v>
      </c>
      <c r="B6" s="26">
        <v>171.77595338983031</v>
      </c>
    </row>
    <row r="7" spans="1:2" x14ac:dyDescent="0.25">
      <c r="A7" s="34" t="s">
        <v>986</v>
      </c>
      <c r="B7" s="26">
        <v>167.64682429797739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8C799-4333-4B8B-995C-844887A6CA4A}">
  <dimension ref="A3:B16"/>
  <sheetViews>
    <sheetView workbookViewId="0">
      <selection activeCell="B11" sqref="B11"/>
    </sheetView>
  </sheetViews>
  <sheetFormatPr defaultRowHeight="15" x14ac:dyDescent="0.25"/>
  <cols>
    <col min="1" max="1" width="13.140625" bestFit="1" customWidth="1"/>
    <col min="2" max="2" width="25.5703125" bestFit="1" customWidth="1"/>
  </cols>
  <sheetData>
    <row r="3" spans="1:2" x14ac:dyDescent="0.25">
      <c r="A3" s="27" t="s">
        <v>985</v>
      </c>
      <c r="B3" t="s">
        <v>987</v>
      </c>
    </row>
    <row r="4" spans="1:2" x14ac:dyDescent="0.25">
      <c r="A4" s="28" t="s">
        <v>1001</v>
      </c>
      <c r="B4">
        <v>1531.4729307223906</v>
      </c>
    </row>
    <row r="5" spans="1:2" x14ac:dyDescent="0.25">
      <c r="A5" s="28" t="s">
        <v>1002</v>
      </c>
      <c r="B5">
        <v>12754.659007028817</v>
      </c>
    </row>
    <row r="6" spans="1:2" x14ac:dyDescent="0.25">
      <c r="A6" s="28" t="s">
        <v>1003</v>
      </c>
      <c r="B6">
        <v>19514.987058934101</v>
      </c>
    </row>
    <row r="7" spans="1:2" x14ac:dyDescent="0.25">
      <c r="A7" s="28" t="s">
        <v>1004</v>
      </c>
      <c r="B7">
        <v>19598.592233009669</v>
      </c>
    </row>
    <row r="8" spans="1:2" x14ac:dyDescent="0.25">
      <c r="A8" s="28" t="s">
        <v>993</v>
      </c>
      <c r="B8">
        <v>21707.313453536713</v>
      </c>
    </row>
    <row r="9" spans="1:2" x14ac:dyDescent="0.25">
      <c r="A9" s="28" t="s">
        <v>994</v>
      </c>
      <c r="B9">
        <v>23221.271844660158</v>
      </c>
    </row>
    <row r="10" spans="1:2" x14ac:dyDescent="0.25">
      <c r="A10" s="28" t="s">
        <v>995</v>
      </c>
      <c r="B10">
        <v>18589</v>
      </c>
    </row>
    <row r="11" spans="1:2" x14ac:dyDescent="0.25">
      <c r="A11" s="28" t="s">
        <v>996</v>
      </c>
      <c r="B11">
        <v>23180</v>
      </c>
    </row>
    <row r="12" spans="1:2" x14ac:dyDescent="0.25">
      <c r="A12" s="28" t="s">
        <v>997</v>
      </c>
      <c r="B12">
        <v>11128</v>
      </c>
    </row>
    <row r="13" spans="1:2" x14ac:dyDescent="0.25">
      <c r="A13" s="28" t="s">
        <v>998</v>
      </c>
      <c r="B13">
        <v>8371</v>
      </c>
    </row>
    <row r="14" spans="1:2" x14ac:dyDescent="0.25">
      <c r="A14" s="28" t="s">
        <v>999</v>
      </c>
      <c r="B14">
        <v>3135</v>
      </c>
    </row>
    <row r="15" spans="1:2" x14ac:dyDescent="0.25">
      <c r="A15" s="28" t="s">
        <v>1000</v>
      </c>
      <c r="B15">
        <v>3742</v>
      </c>
    </row>
    <row r="16" spans="1:2" x14ac:dyDescent="0.25">
      <c r="A16" s="28" t="s">
        <v>986</v>
      </c>
      <c r="B16">
        <v>166473.29652789186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B5EE5-5A23-483F-A44B-00E9C2C2CA0F}">
  <dimension ref="A1:X38"/>
  <sheetViews>
    <sheetView tabSelected="1" view="pageBreakPreview" zoomScale="60" zoomScaleNormal="46" workbookViewId="0">
      <selection activeCell="Y11" sqref="Y11"/>
    </sheetView>
  </sheetViews>
  <sheetFormatPr defaultRowHeight="15" x14ac:dyDescent="0.25"/>
  <cols>
    <col min="1" max="1" width="5.28515625" style="40" customWidth="1"/>
    <col min="2" max="22" width="9.140625" style="33"/>
    <col min="23" max="23" width="6.7109375" style="41" customWidth="1"/>
    <col min="24" max="24" width="3.85546875" style="33" customWidth="1"/>
    <col min="25" max="16384" width="9.140625" style="33"/>
  </cols>
  <sheetData>
    <row r="1" spans="1:24" ht="15.75" thickBot="1" x14ac:dyDescent="0.3">
      <c r="A1" s="37"/>
      <c r="B1" s="38"/>
      <c r="C1" s="38"/>
      <c r="D1" s="38"/>
      <c r="E1" s="38"/>
      <c r="F1" s="38"/>
      <c r="G1" s="38"/>
      <c r="H1" s="38"/>
      <c r="I1" s="38"/>
      <c r="J1" s="38"/>
      <c r="K1" s="38"/>
      <c r="L1" s="38"/>
      <c r="M1" s="38"/>
      <c r="N1" s="38"/>
      <c r="O1" s="38"/>
      <c r="P1" s="38"/>
      <c r="Q1" s="38"/>
      <c r="R1" s="38"/>
      <c r="S1" s="38"/>
      <c r="T1" s="38"/>
      <c r="U1" s="38"/>
      <c r="V1" s="38"/>
      <c r="W1" s="39"/>
      <c r="X1" s="39"/>
    </row>
    <row r="2" spans="1:24" ht="18" customHeight="1" x14ac:dyDescent="0.25">
      <c r="H2" s="62" t="s">
        <v>1007</v>
      </c>
      <c r="I2" s="63"/>
      <c r="J2" s="63"/>
      <c r="K2" s="63"/>
      <c r="L2" s="63"/>
      <c r="M2" s="63"/>
      <c r="N2" s="63"/>
      <c r="O2" s="63"/>
      <c r="P2" s="64"/>
      <c r="Q2" s="35"/>
      <c r="R2" s="35"/>
      <c r="S2" s="35"/>
      <c r="T2" s="35"/>
      <c r="U2" s="35"/>
      <c r="V2" s="35"/>
      <c r="W2" s="45"/>
      <c r="X2" s="41"/>
    </row>
    <row r="3" spans="1:24" ht="15" customHeight="1" thickBot="1" x14ac:dyDescent="0.3">
      <c r="H3" s="65"/>
      <c r="I3" s="66"/>
      <c r="J3" s="66"/>
      <c r="K3" s="66"/>
      <c r="L3" s="66"/>
      <c r="M3" s="66"/>
      <c r="N3" s="66"/>
      <c r="O3" s="66"/>
      <c r="P3" s="67"/>
      <c r="Q3" s="35"/>
      <c r="R3" s="35"/>
      <c r="S3" s="35"/>
      <c r="T3" s="35"/>
      <c r="U3" s="35"/>
      <c r="V3" s="35"/>
      <c r="W3" s="45"/>
      <c r="X3" s="41"/>
    </row>
    <row r="4" spans="1:24" ht="15.75" thickBot="1" x14ac:dyDescent="0.3">
      <c r="X4" s="41"/>
    </row>
    <row r="5" spans="1:24" ht="15.75" x14ac:dyDescent="0.25">
      <c r="E5" s="52" t="s">
        <v>970</v>
      </c>
      <c r="F5" s="53"/>
      <c r="G5" s="53"/>
      <c r="H5" s="53"/>
      <c r="I5" s="54"/>
      <c r="K5" s="52" t="s">
        <v>971</v>
      </c>
      <c r="L5" s="53"/>
      <c r="M5" s="53"/>
      <c r="N5" s="54"/>
      <c r="P5" s="52" t="s">
        <v>1006</v>
      </c>
      <c r="Q5" s="53"/>
      <c r="R5" s="54"/>
      <c r="T5" s="52" t="s">
        <v>974</v>
      </c>
      <c r="U5" s="53"/>
      <c r="V5" s="54"/>
      <c r="X5" s="41"/>
    </row>
    <row r="6" spans="1:24" ht="15" customHeight="1" x14ac:dyDescent="0.7">
      <c r="E6" s="46">
        <f>SUM(all_sales!J2:J1589)</f>
        <v>260977.62225839743</v>
      </c>
      <c r="F6" s="47"/>
      <c r="G6" s="47"/>
      <c r="H6" s="47"/>
      <c r="I6" s="48"/>
      <c r="K6" s="55">
        <f>COUNTIF(all_sales!D2:D1589, "Delivered")</f>
        <v>693</v>
      </c>
      <c r="L6" s="56"/>
      <c r="M6" s="56"/>
      <c r="N6" s="57"/>
      <c r="P6" s="69">
        <f>AVERAGE(all_sales!J2:J1589)</f>
        <v>164.34359084281954</v>
      </c>
      <c r="Q6" s="70"/>
      <c r="R6" s="71"/>
      <c r="S6" s="36"/>
      <c r="T6" s="75">
        <f>COUNTIF(all_sales!D2:D1589, "Cancelled")</f>
        <v>372</v>
      </c>
      <c r="U6" s="76"/>
      <c r="V6" s="77"/>
      <c r="X6" s="41"/>
    </row>
    <row r="7" spans="1:24" ht="15" customHeight="1" x14ac:dyDescent="0.7">
      <c r="E7" s="46"/>
      <c r="F7" s="47"/>
      <c r="G7" s="47"/>
      <c r="H7" s="47"/>
      <c r="I7" s="48"/>
      <c r="K7" s="55"/>
      <c r="L7" s="56"/>
      <c r="M7" s="56"/>
      <c r="N7" s="57"/>
      <c r="P7" s="69"/>
      <c r="Q7" s="70"/>
      <c r="R7" s="71"/>
      <c r="S7" s="36"/>
      <c r="T7" s="75"/>
      <c r="U7" s="76"/>
      <c r="V7" s="77"/>
      <c r="X7" s="41"/>
    </row>
    <row r="8" spans="1:24" ht="15" customHeight="1" thickBot="1" x14ac:dyDescent="0.75">
      <c r="E8" s="49"/>
      <c r="F8" s="50"/>
      <c r="G8" s="50"/>
      <c r="H8" s="50"/>
      <c r="I8" s="51"/>
      <c r="K8" s="58"/>
      <c r="L8" s="59"/>
      <c r="M8" s="59"/>
      <c r="N8" s="60"/>
      <c r="P8" s="72"/>
      <c r="Q8" s="73"/>
      <c r="R8" s="74"/>
      <c r="S8" s="36"/>
      <c r="T8" s="78"/>
      <c r="U8" s="79"/>
      <c r="V8" s="80"/>
      <c r="X8" s="41"/>
    </row>
    <row r="9" spans="1:24" x14ac:dyDescent="0.25">
      <c r="X9" s="41"/>
    </row>
    <row r="10" spans="1:24" x14ac:dyDescent="0.25">
      <c r="X10" s="41"/>
    </row>
    <row r="11" spans="1:24" x14ac:dyDescent="0.25">
      <c r="X11" s="41"/>
    </row>
    <row r="12" spans="1:24" x14ac:dyDescent="0.25">
      <c r="X12" s="41"/>
    </row>
    <row r="13" spans="1:24" x14ac:dyDescent="0.25">
      <c r="X13" s="41"/>
    </row>
    <row r="14" spans="1:24" x14ac:dyDescent="0.25">
      <c r="X14" s="41"/>
    </row>
    <row r="15" spans="1:24" x14ac:dyDescent="0.25">
      <c r="X15" s="41"/>
    </row>
    <row r="16" spans="1:24" x14ac:dyDescent="0.25">
      <c r="X16" s="41"/>
    </row>
    <row r="17" spans="10:24" x14ac:dyDescent="0.25">
      <c r="X17" s="41"/>
    </row>
    <row r="18" spans="10:24" x14ac:dyDescent="0.25">
      <c r="X18" s="41"/>
    </row>
    <row r="19" spans="10:24" x14ac:dyDescent="0.25">
      <c r="X19" s="41"/>
    </row>
    <row r="20" spans="10:24" x14ac:dyDescent="0.25">
      <c r="X20" s="41"/>
    </row>
    <row r="21" spans="10:24" x14ac:dyDescent="0.25">
      <c r="X21" s="41"/>
    </row>
    <row r="22" spans="10:24" x14ac:dyDescent="0.25">
      <c r="X22" s="41"/>
    </row>
    <row r="23" spans="10:24" x14ac:dyDescent="0.25">
      <c r="X23" s="41"/>
    </row>
    <row r="24" spans="10:24" x14ac:dyDescent="0.25">
      <c r="X24" s="41"/>
    </row>
    <row r="25" spans="10:24" x14ac:dyDescent="0.25">
      <c r="X25" s="41"/>
    </row>
    <row r="26" spans="10:24" x14ac:dyDescent="0.25">
      <c r="X26" s="41"/>
    </row>
    <row r="27" spans="10:24" x14ac:dyDescent="0.25">
      <c r="X27" s="41"/>
    </row>
    <row r="28" spans="10:24" x14ac:dyDescent="0.25">
      <c r="X28" s="41"/>
    </row>
    <row r="29" spans="10:24" x14ac:dyDescent="0.25">
      <c r="X29" s="41"/>
    </row>
    <row r="30" spans="10:24" x14ac:dyDescent="0.25">
      <c r="X30" s="41"/>
    </row>
    <row r="31" spans="10:24" x14ac:dyDescent="0.25">
      <c r="X31" s="41"/>
    </row>
    <row r="32" spans="10:24" x14ac:dyDescent="0.25">
      <c r="J32" s="68"/>
      <c r="K32" s="68"/>
      <c r="L32" s="68"/>
      <c r="M32" s="68"/>
      <c r="N32" s="68"/>
      <c r="O32" s="68"/>
      <c r="P32" s="68"/>
      <c r="X32" s="41"/>
    </row>
    <row r="33" spans="1:24" x14ac:dyDescent="0.25">
      <c r="E33" s="61"/>
      <c r="F33" s="61"/>
      <c r="G33" s="61"/>
      <c r="H33" s="61"/>
      <c r="I33" s="61"/>
      <c r="J33" s="61"/>
      <c r="K33" s="61"/>
      <c r="L33" s="61"/>
      <c r="M33" s="61"/>
      <c r="N33" s="61"/>
      <c r="O33" s="61"/>
      <c r="P33" s="61"/>
      <c r="Q33" s="61"/>
      <c r="R33" s="61"/>
      <c r="S33" s="61"/>
      <c r="T33" s="61"/>
      <c r="U33" s="61"/>
      <c r="V33" s="61"/>
      <c r="X33" s="41"/>
    </row>
    <row r="34" spans="1:24" x14ac:dyDescent="0.25">
      <c r="E34" s="61"/>
      <c r="F34" s="61"/>
      <c r="G34" s="61"/>
      <c r="H34" s="61"/>
      <c r="I34" s="61"/>
      <c r="J34" s="61"/>
      <c r="K34" s="61"/>
      <c r="L34" s="61"/>
      <c r="M34" s="61"/>
      <c r="N34" s="61"/>
      <c r="O34" s="61"/>
      <c r="P34" s="61"/>
      <c r="Q34" s="61"/>
      <c r="R34" s="61"/>
      <c r="S34" s="61"/>
      <c r="T34" s="61"/>
      <c r="U34" s="61"/>
      <c r="V34" s="61"/>
      <c r="X34" s="41"/>
    </row>
    <row r="35" spans="1:24" x14ac:dyDescent="0.25">
      <c r="E35" s="61"/>
      <c r="F35" s="61"/>
      <c r="G35" s="61"/>
      <c r="H35" s="61"/>
      <c r="I35" s="61"/>
      <c r="J35" s="61"/>
      <c r="K35" s="61"/>
      <c r="L35" s="61"/>
      <c r="M35" s="61"/>
      <c r="N35" s="61"/>
      <c r="O35" s="61"/>
      <c r="P35" s="61"/>
      <c r="Q35" s="61"/>
      <c r="R35" s="61"/>
      <c r="S35" s="61"/>
      <c r="T35" s="61"/>
      <c r="U35" s="61"/>
      <c r="V35" s="61"/>
      <c r="X35" s="41"/>
    </row>
    <row r="36" spans="1:24" x14ac:dyDescent="0.25">
      <c r="E36" s="61"/>
      <c r="F36" s="61"/>
      <c r="G36" s="61"/>
      <c r="H36" s="61"/>
      <c r="I36" s="61"/>
      <c r="J36" s="61"/>
      <c r="K36" s="61"/>
      <c r="L36" s="61"/>
      <c r="M36" s="61"/>
      <c r="N36" s="61"/>
      <c r="O36" s="61"/>
      <c r="P36" s="61"/>
      <c r="Q36" s="61"/>
      <c r="R36" s="61"/>
      <c r="S36" s="61"/>
      <c r="T36" s="61"/>
      <c r="U36" s="61"/>
      <c r="V36" s="61"/>
      <c r="X36" s="41"/>
    </row>
    <row r="37" spans="1:24" x14ac:dyDescent="0.25">
      <c r="X37" s="41"/>
    </row>
    <row r="38" spans="1:24" x14ac:dyDescent="0.25">
      <c r="A38" s="42"/>
      <c r="B38" s="43"/>
      <c r="C38" s="43"/>
      <c r="D38" s="43"/>
      <c r="E38" s="43"/>
      <c r="F38" s="43"/>
      <c r="G38" s="43"/>
      <c r="H38" s="43"/>
      <c r="I38" s="43"/>
      <c r="J38" s="43"/>
      <c r="K38" s="43"/>
      <c r="L38" s="43"/>
      <c r="M38" s="43"/>
      <c r="N38" s="43"/>
      <c r="O38" s="43"/>
      <c r="P38" s="43"/>
      <c r="Q38" s="43"/>
      <c r="R38" s="43"/>
      <c r="S38" s="43"/>
      <c r="T38" s="43"/>
      <c r="U38" s="43"/>
      <c r="V38" s="43"/>
      <c r="W38" s="44"/>
      <c r="X38" s="44"/>
    </row>
  </sheetData>
  <mergeCells count="14">
    <mergeCell ref="E34:V34"/>
    <mergeCell ref="E35:V35"/>
    <mergeCell ref="E36:V36"/>
    <mergeCell ref="H2:P3"/>
    <mergeCell ref="J32:P32"/>
    <mergeCell ref="P5:R5"/>
    <mergeCell ref="P6:R8"/>
    <mergeCell ref="T5:V5"/>
    <mergeCell ref="T6:V8"/>
    <mergeCell ref="E6:I8"/>
    <mergeCell ref="E5:I5"/>
    <mergeCell ref="K5:N5"/>
    <mergeCell ref="K6:N8"/>
    <mergeCell ref="E33:V33"/>
  </mergeCells>
  <pageMargins left="0.7" right="0.7" top="0.75" bottom="0.75" header="0.3" footer="0.3"/>
  <pageSetup scale="44" orientation="landscape"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first_half</vt:lpstr>
      <vt:lpstr>second_half</vt:lpstr>
      <vt:lpstr>Sheet2</vt:lpstr>
      <vt:lpstr>all_sales</vt:lpstr>
      <vt:lpstr>Coulmn Match</vt:lpstr>
      <vt:lpstr>Insights</vt:lpstr>
      <vt:lpstr>Order by Status</vt:lpstr>
      <vt:lpstr>State-Wise </vt:lpstr>
      <vt:lpstr>By HSN</vt:lpstr>
      <vt:lpstr>by GST</vt:lpstr>
      <vt:lpstr>by Month</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2026-05-07T15:04:24Z</dcterms:modified>
</cp:coreProperties>
</file>